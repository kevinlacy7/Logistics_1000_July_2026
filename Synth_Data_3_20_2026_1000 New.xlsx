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evin\OneDrive\Desktop\"/>
    </mc:Choice>
  </mc:AlternateContent>
  <xr:revisionPtr revIDLastSave="0" documentId="8_{891F75BE-E27A-4686-88E0-3E73A1D8A9AF}" xr6:coauthVersionLast="47" xr6:coauthVersionMax="47" xr10:uidLastSave="{00000000-0000-0000-0000-000000000000}"/>
  <bookViews>
    <workbookView showHorizontalScroll="0" showVerticalScroll="0" xWindow="-108" yWindow="-108" windowWidth="23256" windowHeight="12456" tabRatio="539" firstSheet="13" activeTab="17" xr2:uid="{70AFD430-C1A2-4F0F-8A10-373C97530D47}"/>
  </bookViews>
  <sheets>
    <sheet name="dim_fleet_260" sheetId="5" r:id="rId1"/>
    <sheet name="fact_orders_1000" sheetId="4" r:id="rId2"/>
    <sheet name="Cascade_Cargo_late_20%" sheetId="10" r:id="rId3"/>
    <sheet name="Insights" sheetId="3" r:id="rId4"/>
    <sheet name="Day_of_the _week_Values" sheetId="6" r:id="rId5"/>
    <sheet name="Variable_CPM" sheetId="7" r:id="rId6"/>
    <sheet name="%delay_by_reason" sheetId="8" r:id="rId7"/>
    <sheet name="Deadhead_miles_per_region" sheetId="12" r:id="rId8"/>
    <sheet name="Sheet9" sheetId="13" r:id="rId9"/>
    <sheet name="SevereDelayAnalysis" sheetId="14" r:id="rId10"/>
    <sheet name="RegressionAnalysis" sheetId="15" r:id="rId11"/>
    <sheet name="RPM_Correlation" sheetId="17" r:id="rId12"/>
    <sheet name="OpCostAnalysis" sheetId="20" r:id="rId13"/>
    <sheet name="CostStrategy" sheetId="23" r:id="rId14"/>
    <sheet name="Capstone_Methodology" sheetId="25" r:id="rId15"/>
    <sheet name="RawDataSample" sheetId="30" r:id="rId16"/>
    <sheet name="DataCleaningLog" sheetId="28" r:id="rId17"/>
    <sheet name="Trucking Capstone Dashboard" sheetId="32" r:id="rId18"/>
    <sheet name="Key Insights DASHBOARD" sheetId="31" r:id="rId19"/>
  </sheets>
  <definedNames>
    <definedName name="_xlchart.v2.0" hidden="1">'Key Insights DASHBOARD'!$A$17:$B$26</definedName>
    <definedName name="_xlchart.v2.1" hidden="1">'Key Insights DASHBOARD'!$C$16</definedName>
    <definedName name="_xlchart.v2.10" hidden="1">'Key Insights DASHBOARD'!$C$16</definedName>
    <definedName name="_xlchart.v2.11" hidden="1">'Key Insights DASHBOARD'!$C$17:$C$26</definedName>
    <definedName name="_xlchart.v2.12" hidden="1">'Key Insights DASHBOARD'!$D$16</definedName>
    <definedName name="_xlchart.v2.13" hidden="1">'Key Insights DASHBOARD'!$D$17:$D$26</definedName>
    <definedName name="_xlchart.v2.14" hidden="1">'Key Insights DASHBOARD'!$E$16</definedName>
    <definedName name="_xlchart.v2.15" hidden="1">'Key Insights DASHBOARD'!$E$17:$E$26</definedName>
    <definedName name="_xlchart.v2.16" hidden="1">'Key Insights DASHBOARD'!$F$16</definedName>
    <definedName name="_xlchart.v2.17" hidden="1">'Key Insights DASHBOARD'!$F$17:$F$26</definedName>
    <definedName name="_xlchart.v2.18" hidden="1">'Key Insights DASHBOARD'!$A$17:$B$26</definedName>
    <definedName name="_xlchart.v2.19" hidden="1">'Key Insights DASHBOARD'!$C$16</definedName>
    <definedName name="_xlchart.v2.2" hidden="1">'Key Insights DASHBOARD'!$C$17:$C$26</definedName>
    <definedName name="_xlchart.v2.20" hidden="1">'Key Insights DASHBOARD'!$C$17:$C$26</definedName>
    <definedName name="_xlchart.v2.21" hidden="1">'Key Insights DASHBOARD'!$D$16</definedName>
    <definedName name="_xlchart.v2.22" hidden="1">'Key Insights DASHBOARD'!$D$17:$D$26</definedName>
    <definedName name="_xlchart.v2.23" hidden="1">'Key Insights DASHBOARD'!$E$16</definedName>
    <definedName name="_xlchart.v2.24" hidden="1">'Key Insights DASHBOARD'!$E$17:$E$26</definedName>
    <definedName name="_xlchart.v2.25" hidden="1">'Key Insights DASHBOARD'!$F$16</definedName>
    <definedName name="_xlchart.v2.26" hidden="1">'Key Insights DASHBOARD'!$F$17:$F$26</definedName>
    <definedName name="_xlchart.v2.3" hidden="1">'Key Insights DASHBOARD'!$D$16</definedName>
    <definedName name="_xlchart.v2.4" hidden="1">'Key Insights DASHBOARD'!$D$17:$D$26</definedName>
    <definedName name="_xlchart.v2.5" hidden="1">'Key Insights DASHBOARD'!$E$16</definedName>
    <definedName name="_xlchart.v2.6" hidden="1">'Key Insights DASHBOARD'!$E$17:$E$26</definedName>
    <definedName name="_xlchart.v2.7" hidden="1">'Key Insights DASHBOARD'!$F$16</definedName>
    <definedName name="_xlchart.v2.8" hidden="1">'Key Insights DASHBOARD'!$F$17:$F$26</definedName>
    <definedName name="_xlchart.v2.9" hidden="1">'Key Insights DASHBOARD'!$A$17:$B$26</definedName>
    <definedName name="ExternalData_1" localSheetId="1" hidden="1">fact_orders_1000!$A$1:$BA$1001</definedName>
    <definedName name="ExternalData_2" localSheetId="0" hidden="1">dim_fleet_260!$A$1:$U$261</definedName>
    <definedName name="Slicer_carrier_name">#N/A</definedName>
    <definedName name="Slicer_cost_per_mile">#N/A</definedName>
    <definedName name="Slicer_customer_name">#N/A</definedName>
    <definedName name="Slicer_deadhead_miles">#N/A</definedName>
    <definedName name="Slicer_driver_pay_total">#N/A</definedName>
    <definedName name="Slicer_empty_miles">#N/A</definedName>
    <definedName name="Slicer_truck_types">#N/A</definedName>
    <definedName name="Slicer_variable_cost_per_mile">#N/A</definedName>
    <definedName name="Slicer_Years__scheduled_delivery_datetime">#N/A</definedName>
  </definedNames>
  <calcPr calcId="191029"/>
  <pivotCaches>
    <pivotCache cacheId="222" r:id="rId20"/>
  </pivotCaches>
  <fileRecoveryPr repairLoad="1"/>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8" i="32" l="1"/>
  <c r="U17" i="32"/>
  <c r="I52" i="32"/>
  <c r="J52" i="32" s="1"/>
  <c r="I51" i="32"/>
  <c r="J51" i="32" s="1"/>
  <c r="I50" i="32"/>
  <c r="J50" i="32" s="1"/>
  <c r="I49" i="32"/>
  <c r="J49" i="32" s="1"/>
  <c r="F6" i="32"/>
  <c r="I67" i="32"/>
  <c r="I56" i="32"/>
  <c r="I57" i="32"/>
  <c r="I58" i="32"/>
  <c r="I59" i="32"/>
  <c r="F55" i="32"/>
  <c r="F56" i="32"/>
  <c r="F57" i="32"/>
  <c r="F58" i="32"/>
  <c r="F59" i="32"/>
  <c r="E55" i="32"/>
  <c r="E56" i="32"/>
  <c r="E57" i="32"/>
  <c r="E58" i="32"/>
  <c r="E59" i="32"/>
  <c r="D55" i="32"/>
  <c r="D56" i="32"/>
  <c r="D57" i="32"/>
  <c r="D58" i="32"/>
  <c r="D59" i="32"/>
  <c r="C55" i="32"/>
  <c r="C56" i="32"/>
  <c r="C57" i="32"/>
  <c r="C58" i="32"/>
  <c r="C59" i="32"/>
  <c r="L42" i="32"/>
  <c r="L43" i="32"/>
  <c r="L44" i="32"/>
  <c r="L45" i="32"/>
  <c r="K42" i="32"/>
  <c r="K43" i="32"/>
  <c r="K44" i="32"/>
  <c r="K45" i="32"/>
  <c r="J42" i="32"/>
  <c r="J43" i="32"/>
  <c r="J44" i="32"/>
  <c r="J45" i="32"/>
  <c r="I42" i="32"/>
  <c r="I43" i="32"/>
  <c r="I44" i="32"/>
  <c r="I45" i="32"/>
  <c r="F42" i="32"/>
  <c r="F43" i="32"/>
  <c r="F44" i="32"/>
  <c r="F45" i="32"/>
  <c r="F46" i="32"/>
  <c r="F47" i="32"/>
  <c r="F48" i="32"/>
  <c r="F49" i="32"/>
  <c r="F50" i="32"/>
  <c r="F51" i="32"/>
  <c r="E42" i="32"/>
  <c r="E43" i="32"/>
  <c r="E44" i="32"/>
  <c r="E45" i="32"/>
  <c r="E46" i="32"/>
  <c r="E47" i="32"/>
  <c r="E48" i="32"/>
  <c r="E49" i="32"/>
  <c r="E50" i="32"/>
  <c r="E51" i="32"/>
  <c r="D42" i="32"/>
  <c r="D43" i="32"/>
  <c r="D44" i="32"/>
  <c r="D45" i="32"/>
  <c r="D46" i="32"/>
  <c r="D47" i="32"/>
  <c r="D48" i="32"/>
  <c r="D49" i="32"/>
  <c r="D50" i="32"/>
  <c r="D51" i="32"/>
  <c r="C42" i="32"/>
  <c r="C43" i="32"/>
  <c r="C44" i="32"/>
  <c r="C45" i="32"/>
  <c r="C46" i="32"/>
  <c r="C47" i="32"/>
  <c r="C48" i="32"/>
  <c r="C49" i="32"/>
  <c r="C50" i="32"/>
  <c r="C51" i="32"/>
  <c r="B12" i="32"/>
  <c r="B11" i="32"/>
  <c r="B10" i="32"/>
  <c r="B9" i="32"/>
  <c r="L6" i="32"/>
  <c r="I6" i="32"/>
  <c r="C6" i="32"/>
  <c r="AL1002" i="4"/>
  <c r="C18" i="31"/>
  <c r="D18" i="31"/>
  <c r="E18" i="31"/>
  <c r="F18" i="31"/>
  <c r="C20" i="31"/>
  <c r="D20" i="31"/>
  <c r="E20" i="31"/>
  <c r="F20" i="31"/>
  <c r="C21" i="31"/>
  <c r="D21" i="31"/>
  <c r="E21" i="31"/>
  <c r="F21" i="31"/>
  <c r="C24" i="31"/>
  <c r="D24" i="31"/>
  <c r="E24" i="31"/>
  <c r="F24" i="31"/>
  <c r="C25" i="31"/>
  <c r="D25" i="31"/>
  <c r="E25" i="31"/>
  <c r="F25" i="31"/>
  <c r="C26" i="31"/>
  <c r="D26" i="31"/>
  <c r="E26" i="31"/>
  <c r="F26" i="31"/>
  <c r="C22" i="31"/>
  <c r="D22" i="31"/>
  <c r="E22" i="31"/>
  <c r="F22" i="31"/>
  <c r="C23" i="31"/>
  <c r="D23" i="31"/>
  <c r="E23" i="31"/>
  <c r="F23" i="31"/>
  <c r="C19" i="31"/>
  <c r="D19" i="31"/>
  <c r="E19" i="31"/>
  <c r="F19" i="31"/>
  <c r="C17" i="31"/>
  <c r="D17" i="31"/>
  <c r="E17" i="31"/>
  <c r="F17" i="31"/>
  <c r="O39" i="31"/>
  <c r="O40" i="31"/>
  <c r="O41" i="31"/>
  <c r="O42" i="31"/>
  <c r="O43" i="31"/>
  <c r="O44" i="31"/>
  <c r="O45" i="31"/>
  <c r="O46" i="31"/>
  <c r="E6" i="31"/>
  <c r="B6" i="31"/>
  <c r="I17" i="31"/>
  <c r="I19" i="31"/>
  <c r="I18" i="31"/>
  <c r="I20" i="31"/>
  <c r="O47" i="31"/>
  <c r="O48" i="31"/>
  <c r="O16" i="31"/>
  <c r="O17" i="31"/>
  <c r="J33" i="31"/>
  <c r="J32" i="31"/>
  <c r="J31" i="31"/>
  <c r="J30" i="31"/>
  <c r="K27" i="31"/>
  <c r="J27" i="31"/>
  <c r="I27" i="31"/>
  <c r="K26" i="31"/>
  <c r="J26" i="31"/>
  <c r="I26" i="31"/>
  <c r="K25" i="31"/>
  <c r="J25" i="31"/>
  <c r="I25" i="31"/>
  <c r="K24" i="31"/>
  <c r="J24" i="31"/>
  <c r="I24" i="31"/>
  <c r="L18" i="31"/>
  <c r="K18" i="31"/>
  <c r="J18" i="31"/>
  <c r="L19" i="31"/>
  <c r="K19" i="31"/>
  <c r="J19" i="31"/>
  <c r="L17" i="31"/>
  <c r="K17" i="31"/>
  <c r="J17" i="31"/>
  <c r="L20" i="31"/>
  <c r="K20" i="31"/>
  <c r="J20" i="31"/>
  <c r="B12" i="31"/>
  <c r="B11" i="31"/>
  <c r="B10" i="31"/>
  <c r="B9" i="31"/>
  <c r="K6" i="31"/>
  <c r="H6" i="31"/>
  <c r="C95" i="30"/>
  <c r="C94" i="30"/>
  <c r="C92" i="30"/>
  <c r="C91" i="30"/>
  <c r="C90" i="30"/>
  <c r="C89" i="30"/>
  <c r="C88" i="30"/>
  <c r="C87" i="30"/>
  <c r="C86" i="30"/>
  <c r="C85" i="30"/>
  <c r="E33" i="30"/>
  <c r="F28" i="30"/>
  <c r="F27" i="30"/>
  <c r="F26" i="30"/>
  <c r="F25" i="30"/>
  <c r="F24" i="30"/>
  <c r="F23" i="30"/>
  <c r="F22" i="30"/>
  <c r="F21" i="30"/>
  <c r="C93" i="30" a="1"/>
  <c r="C93" i="30" s="1"/>
  <c r="B79" i="30"/>
  <c r="B78" i="30"/>
  <c r="B77" i="30"/>
  <c r="B76" i="30"/>
  <c r="D79" i="30"/>
  <c r="D78" i="30" a="1"/>
  <c r="D78" i="30" s="1"/>
  <c r="D77" i="30" a="1"/>
  <c r="D77" i="30" s="1"/>
  <c r="D76" i="30" a="1"/>
  <c r="D76" i="30" s="1"/>
  <c r="F45" i="30"/>
  <c r="F44" i="30"/>
  <c r="F43" i="30"/>
  <c r="F42" i="30"/>
  <c r="F41" i="30"/>
  <c r="F40" i="30"/>
  <c r="F39" i="30"/>
  <c r="F38" i="30"/>
  <c r="F37" i="30"/>
  <c r="F36" i="30"/>
  <c r="E45" i="30"/>
  <c r="E44" i="30"/>
  <c r="E43" i="30"/>
  <c r="E42" i="30"/>
  <c r="E41" i="30"/>
  <c r="E40" i="30"/>
  <c r="E39" i="30"/>
  <c r="E38" i="30"/>
  <c r="E37" i="30"/>
  <c r="E36" i="30"/>
  <c r="D45" i="30"/>
  <c r="D44" i="30"/>
  <c r="D43" i="30"/>
  <c r="D42" i="30"/>
  <c r="D41" i="30"/>
  <c r="D40" i="30"/>
  <c r="D39" i="30"/>
  <c r="D38" i="30"/>
  <c r="D37" i="30"/>
  <c r="D36" i="30"/>
  <c r="C45" i="30"/>
  <c r="C44" i="30"/>
  <c r="C43" i="30"/>
  <c r="C42" i="30"/>
  <c r="C41" i="30"/>
  <c r="C40" i="30"/>
  <c r="C39" i="30"/>
  <c r="C38" i="30"/>
  <c r="C37" i="30"/>
  <c r="C36" i="30"/>
  <c r="B45" i="30"/>
  <c r="B44" i="30"/>
  <c r="B43" i="30"/>
  <c r="B42" i="30"/>
  <c r="B41" i="30"/>
  <c r="B40" i="30"/>
  <c r="B39" i="30"/>
  <c r="B38" i="30"/>
  <c r="B37" i="30"/>
  <c r="B36" i="30"/>
  <c r="D28" i="30"/>
  <c r="D27" i="30"/>
  <c r="D26" i="30"/>
  <c r="D25" i="30"/>
  <c r="D24" i="30"/>
  <c r="D23" i="30"/>
  <c r="D22" i="30"/>
  <c r="D21" i="30"/>
  <c r="C21" i="30"/>
  <c r="C22" i="30"/>
  <c r="C23" i="30"/>
  <c r="C24" i="30"/>
  <c r="C25" i="30"/>
  <c r="C26" i="30"/>
  <c r="C27" i="30"/>
  <c r="C28" i="30"/>
  <c r="D99" i="28"/>
  <c r="D98" i="28"/>
  <c r="D97" i="28"/>
  <c r="D96" i="28"/>
  <c r="C72" i="28"/>
  <c r="B68" i="28"/>
  <c r="B67" i="28"/>
  <c r="B66" i="28"/>
  <c r="B65" i="28"/>
  <c r="C34" i="28" a="1"/>
  <c r="C34" i="28" s="1"/>
  <c r="C35" i="28" a="1"/>
  <c r="C35" i="28" s="1"/>
  <c r="C36" i="28" a="1"/>
  <c r="C36" i="28" s="1"/>
  <c r="C37" i="28" a="1"/>
  <c r="C37" i="28" s="1"/>
  <c r="C38" i="28"/>
  <c r="B8" i="28"/>
  <c r="C8" i="28"/>
  <c r="C10" i="28"/>
  <c r="B14" i="28" a="1"/>
  <c r="B14" i="28" s="1"/>
  <c r="B15" i="28" a="1"/>
  <c r="B15" i="28" s="1"/>
  <c r="B16" i="28" a="1"/>
  <c r="B16" i="28" s="1"/>
  <c r="C20" i="28"/>
  <c r="C21" i="28"/>
  <c r="C22" i="28"/>
  <c r="C23" i="28"/>
  <c r="B27" i="28"/>
  <c r="D27" i="28"/>
  <c r="B28" i="28"/>
  <c r="B70" i="25" a="1"/>
  <c r="B70" i="25" s="1"/>
  <c r="B72" i="23"/>
  <c r="D67" i="23"/>
  <c r="C67" i="23"/>
  <c r="B67" i="23"/>
  <c r="D66" i="23"/>
  <c r="C66" i="23"/>
  <c r="B66" i="23"/>
  <c r="B59" i="23"/>
  <c r="B57" i="23"/>
  <c r="B49" i="23"/>
  <c r="B47" i="23"/>
  <c r="B46" i="23"/>
  <c r="B45" i="23"/>
  <c r="C40" i="23"/>
  <c r="B40" i="23"/>
  <c r="C39" i="23"/>
  <c r="B39" i="23"/>
  <c r="C38" i="23"/>
  <c r="B38" i="23"/>
  <c r="C37" i="23"/>
  <c r="B37" i="23"/>
  <c r="D37" i="23" s="1"/>
  <c r="C36" i="23"/>
  <c r="B36" i="23"/>
  <c r="D36" i="23" s="1"/>
  <c r="C35" i="23"/>
  <c r="B35" i="23"/>
  <c r="B26" i="23"/>
  <c r="B25" i="23"/>
  <c r="B17" i="23"/>
  <c r="B16" i="23"/>
  <c r="C16" i="23" s="1"/>
  <c r="C17" i="23" s="1"/>
  <c r="B81" i="20"/>
  <c r="C81" i="20"/>
  <c r="D81" i="20"/>
  <c r="E81" i="20"/>
  <c r="F81" i="20"/>
  <c r="B82" i="20"/>
  <c r="C82" i="20"/>
  <c r="D82" i="20"/>
  <c r="E82" i="20"/>
  <c r="F82" i="20"/>
  <c r="B83" i="20"/>
  <c r="C83" i="20"/>
  <c r="D83" i="20"/>
  <c r="E83" i="20"/>
  <c r="F83" i="20"/>
  <c r="B84" i="20"/>
  <c r="C84" i="20"/>
  <c r="D84" i="20"/>
  <c r="E84" i="20"/>
  <c r="F84" i="20"/>
  <c r="B85" i="20"/>
  <c r="C85" i="20"/>
  <c r="D85" i="20"/>
  <c r="E85" i="20"/>
  <c r="F85" i="20"/>
  <c r="B86" i="20"/>
  <c r="C86" i="20"/>
  <c r="D86" i="20"/>
  <c r="E86" i="20"/>
  <c r="F86" i="20"/>
  <c r="B87" i="20"/>
  <c r="C87" i="20"/>
  <c r="D87" i="20"/>
  <c r="E87" i="20"/>
  <c r="F87" i="20"/>
  <c r="B88" i="20"/>
  <c r="C88" i="20"/>
  <c r="D88" i="20"/>
  <c r="E88" i="20"/>
  <c r="F88" i="20"/>
  <c r="B89" i="20"/>
  <c r="C89" i="20"/>
  <c r="D89" i="20"/>
  <c r="E89" i="20"/>
  <c r="F89" i="20"/>
  <c r="B90" i="20"/>
  <c r="C90" i="20"/>
  <c r="D90" i="20"/>
  <c r="E90" i="20"/>
  <c r="F90" i="20"/>
  <c r="B71" i="20"/>
  <c r="C71" i="20"/>
  <c r="D71" i="20"/>
  <c r="E71" i="20"/>
  <c r="F71" i="20"/>
  <c r="B72" i="20"/>
  <c r="C72" i="20"/>
  <c r="D72" i="20"/>
  <c r="E72" i="20"/>
  <c r="F72" i="20"/>
  <c r="B73" i="20"/>
  <c r="C73" i="20"/>
  <c r="D73" i="20"/>
  <c r="E73" i="20"/>
  <c r="F73" i="20"/>
  <c r="B74" i="20"/>
  <c r="C74" i="20"/>
  <c r="D74" i="20"/>
  <c r="E74" i="20"/>
  <c r="F74" i="20"/>
  <c r="B75" i="20"/>
  <c r="C75" i="20"/>
  <c r="D75" i="20"/>
  <c r="E75" i="20"/>
  <c r="F75" i="20"/>
  <c r="B62" i="20"/>
  <c r="B63" i="20"/>
  <c r="B64" i="20"/>
  <c r="B65" i="20"/>
  <c r="B56" i="20"/>
  <c r="B57" i="20"/>
  <c r="B58" i="20"/>
  <c r="B59" i="20"/>
  <c r="B50" i="20"/>
  <c r="B51" i="20"/>
  <c r="B52" i="20"/>
  <c r="B44" i="20"/>
  <c r="B45" i="20"/>
  <c r="B46" i="20"/>
  <c r="B47" i="20"/>
  <c r="C25" i="20"/>
  <c r="D25" i="20" s="1"/>
  <c r="C26" i="20"/>
  <c r="D26" i="20" s="1"/>
  <c r="C27" i="20"/>
  <c r="C28" i="20"/>
  <c r="C29" i="20"/>
  <c r="C30" i="20"/>
  <c r="D30" i="20" s="1"/>
  <c r="C31" i="20"/>
  <c r="E31" i="20" s="1"/>
  <c r="C32" i="20"/>
  <c r="D32" i="20" s="1"/>
  <c r="C33" i="20"/>
  <c r="C34" i="20"/>
  <c r="E34" i="20" s="1"/>
  <c r="C35" i="20"/>
  <c r="C36" i="20"/>
  <c r="E36" i="20" s="1"/>
  <c r="C37" i="20"/>
  <c r="C38" i="20"/>
  <c r="D38" i="20" s="1"/>
  <c r="B17" i="20"/>
  <c r="B18" i="20"/>
  <c r="B19" i="20" s="1"/>
  <c r="B6" i="20"/>
  <c r="B7" i="20"/>
  <c r="B8" i="20"/>
  <c r="B9" i="20" s="1"/>
  <c r="B11" i="20"/>
  <c r="B12" i="20"/>
  <c r="B13" i="20"/>
  <c r="B14" i="20"/>
  <c r="B15" i="20"/>
  <c r="C59" i="17"/>
  <c r="B59" i="17"/>
  <c r="C58" i="17"/>
  <c r="B58" i="17"/>
  <c r="C57" i="17"/>
  <c r="B57" i="17"/>
  <c r="C56" i="17"/>
  <c r="B56" i="17"/>
  <c r="C55" i="17"/>
  <c r="B55" i="17"/>
  <c r="C52" i="17"/>
  <c r="B52" i="17"/>
  <c r="B45" i="17"/>
  <c r="B44" i="17"/>
  <c r="B43" i="17"/>
  <c r="B46" i="17" s="1"/>
  <c r="B38" i="17"/>
  <c r="B37" i="17"/>
  <c r="B36" i="17"/>
  <c r="B39" i="17" s="1"/>
  <c r="B23" i="17"/>
  <c r="B22" i="17"/>
  <c r="B21" i="17"/>
  <c r="B20" i="17"/>
  <c r="B19" i="17"/>
  <c r="B18" i="17"/>
  <c r="B17" i="17"/>
  <c r="B16" i="17"/>
  <c r="B13" i="17"/>
  <c r="B12" i="17"/>
  <c r="B11" i="17"/>
  <c r="B10" i="17"/>
  <c r="B9" i="17"/>
  <c r="B8" i="17"/>
  <c r="B7" i="17"/>
  <c r="B6" i="17"/>
  <c r="B40" i="15"/>
  <c r="C40" i="15"/>
  <c r="E40" i="15" s="1"/>
  <c r="B41" i="15"/>
  <c r="C41" i="15"/>
  <c r="E41" i="15" s="1"/>
  <c r="B42" i="15"/>
  <c r="C42" i="15"/>
  <c r="E42" i="15" s="1"/>
  <c r="B43" i="15"/>
  <c r="C43" i="15"/>
  <c r="E43" i="15" s="1"/>
  <c r="B44" i="15"/>
  <c r="C44" i="15"/>
  <c r="E44" i="15" s="1"/>
  <c r="B45" i="15"/>
  <c r="C45" i="15"/>
  <c r="E45" i="15" s="1"/>
  <c r="B46" i="15"/>
  <c r="C46" i="15"/>
  <c r="E46" i="15" s="1"/>
  <c r="B32" i="15"/>
  <c r="B33" i="15"/>
  <c r="B34" i="15"/>
  <c r="B35" i="15"/>
  <c r="B26" i="15"/>
  <c r="B27" i="15"/>
  <c r="B28" i="15"/>
  <c r="B29" i="15"/>
  <c r="B20" i="15"/>
  <c r="B21" i="15"/>
  <c r="B22" i="15"/>
  <c r="B23" i="15"/>
  <c r="B6" i="15"/>
  <c r="C6" i="15" s="1"/>
  <c r="B7" i="15"/>
  <c r="E7" i="15" s="1"/>
  <c r="B8" i="15"/>
  <c r="B9" i="15"/>
  <c r="C9" i="15" s="1"/>
  <c r="B10" i="15"/>
  <c r="B11" i="15"/>
  <c r="C11" i="15" s="1"/>
  <c r="B12" i="15"/>
  <c r="B13" i="15"/>
  <c r="B14" i="15"/>
  <c r="D14" i="15" s="1"/>
  <c r="B15" i="15"/>
  <c r="C15" i="15" s="1"/>
  <c r="A59" i="14"/>
  <c r="B69" i="14"/>
  <c r="B70" i="14"/>
  <c r="B71" i="14"/>
  <c r="B72" i="14"/>
  <c r="F30" i="3"/>
  <c r="F29" i="3"/>
  <c r="F28" i="3"/>
  <c r="F27" i="3"/>
  <c r="F23" i="3"/>
  <c r="F22" i="3"/>
  <c r="F21" i="3"/>
  <c r="F20" i="3"/>
  <c r="F19" i="3"/>
  <c r="F14" i="3"/>
  <c r="F13" i="3"/>
  <c r="F12" i="3"/>
  <c r="F11" i="3"/>
  <c r="F10" i="3"/>
  <c r="F9" i="3"/>
  <c r="F8" i="3"/>
  <c r="F7" i="3"/>
  <c r="F6" i="3"/>
  <c r="F5" i="3"/>
  <c r="B33" i="3"/>
  <c r="B32" i="3"/>
  <c r="B31" i="3"/>
  <c r="B30" i="3"/>
  <c r="B29" i="3"/>
  <c r="B28" i="3"/>
  <c r="B27" i="3"/>
  <c r="B22" i="3"/>
  <c r="B21" i="3"/>
  <c r="B20" i="3"/>
  <c r="B19" i="3"/>
  <c r="B15" i="3"/>
  <c r="B14" i="3"/>
  <c r="C14" i="3" s="1"/>
  <c r="B10" i="3"/>
  <c r="B9" i="3"/>
  <c r="B8" i="3"/>
  <c r="B7" i="3"/>
  <c r="B6" i="3"/>
  <c r="B5" i="3"/>
  <c r="W1002" i="4"/>
  <c r="B15" i="17"/>
  <c r="C27" i="3" l="1"/>
  <c r="B48" i="23"/>
  <c r="B50" i="23" s="1"/>
  <c r="D39" i="23"/>
  <c r="C31" i="3"/>
  <c r="C28" i="3"/>
  <c r="C32" i="3"/>
  <c r="D40" i="23"/>
  <c r="D38" i="23"/>
  <c r="C30" i="3"/>
  <c r="C21" i="3"/>
  <c r="C19" i="3"/>
  <c r="D59" i="17"/>
  <c r="D58" i="17"/>
  <c r="D57" i="17"/>
  <c r="D56" i="17"/>
  <c r="D55" i="17"/>
  <c r="C33" i="3"/>
  <c r="C29" i="3"/>
  <c r="C22" i="3"/>
  <c r="C20" i="3"/>
  <c r="D41" i="15"/>
  <c r="D44" i="15"/>
  <c r="D42" i="15"/>
  <c r="D43" i="15"/>
  <c r="D46" i="15"/>
  <c r="D40" i="15"/>
  <c r="D45" i="15"/>
  <c r="B58" i="23"/>
  <c r="C57" i="23"/>
  <c r="C26" i="23"/>
  <c r="D26" i="23"/>
  <c r="B27" i="23"/>
  <c r="C25" i="23"/>
  <c r="D25" i="23" s="1"/>
  <c r="D27" i="20"/>
  <c r="E27" i="20"/>
  <c r="D28" i="20"/>
  <c r="E28" i="20"/>
  <c r="D29" i="20"/>
  <c r="E29" i="20"/>
  <c r="D33" i="20"/>
  <c r="E33" i="20"/>
  <c r="E35" i="20"/>
  <c r="D35" i="20"/>
  <c r="E37" i="20"/>
  <c r="D37" i="20"/>
  <c r="E23" i="17"/>
  <c r="D23" i="17"/>
  <c r="C23" i="17"/>
  <c r="F23" i="17"/>
  <c r="D22" i="17"/>
  <c r="E22" i="17"/>
  <c r="F22" i="17"/>
  <c r="C22" i="17"/>
  <c r="E21" i="17"/>
  <c r="D21" i="17"/>
  <c r="C21" i="17"/>
  <c r="F21" i="17"/>
  <c r="D20" i="17"/>
  <c r="E20" i="17"/>
  <c r="C20" i="17"/>
  <c r="F20" i="17"/>
  <c r="C19" i="17"/>
  <c r="D19" i="17"/>
  <c r="E19" i="17"/>
  <c r="F19" i="17"/>
  <c r="F18" i="17"/>
  <c r="E18" i="17"/>
  <c r="D18" i="17"/>
  <c r="C18" i="17"/>
  <c r="D17" i="17"/>
  <c r="F17" i="17"/>
  <c r="E17" i="17"/>
  <c r="C17" i="17"/>
  <c r="D16" i="17"/>
  <c r="C16" i="17"/>
  <c r="E16" i="17"/>
  <c r="F16" i="17"/>
  <c r="E13" i="17"/>
  <c r="D13" i="17"/>
  <c r="C13" i="17"/>
  <c r="F13" i="17"/>
  <c r="C12" i="17"/>
  <c r="D12" i="17"/>
  <c r="F12" i="17"/>
  <c r="E12" i="17"/>
  <c r="D11" i="17"/>
  <c r="C11" i="17"/>
  <c r="E11" i="17"/>
  <c r="F11" i="17"/>
  <c r="C10" i="17"/>
  <c r="D10" i="17"/>
  <c r="E10" i="17"/>
  <c r="F10" i="17"/>
  <c r="C9" i="17"/>
  <c r="D9" i="17"/>
  <c r="E9" i="17"/>
  <c r="F9" i="17"/>
  <c r="C8" i="17"/>
  <c r="D8" i="17"/>
  <c r="E8" i="17"/>
  <c r="F8" i="17"/>
  <c r="F7" i="17"/>
  <c r="D7" i="17"/>
  <c r="C7" i="17"/>
  <c r="E7" i="17"/>
  <c r="F6" i="17"/>
  <c r="E6" i="17"/>
  <c r="D6" i="17"/>
  <c r="C6" i="17"/>
  <c r="C8" i="15"/>
  <c r="E8" i="15"/>
  <c r="F10" i="15"/>
  <c r="E10" i="15"/>
  <c r="D12" i="15"/>
  <c r="E12" i="15"/>
  <c r="C12" i="15"/>
  <c r="C13" i="15"/>
  <c r="E13" i="15"/>
  <c r="F13" i="15"/>
  <c r="B23" i="3"/>
  <c r="C23" i="3" s="1"/>
  <c r="C15" i="3"/>
  <c r="B10" i="28"/>
  <c r="B14" i="17"/>
  <c r="C15" i="17"/>
  <c r="D15" i="17"/>
  <c r="E15" i="17"/>
  <c r="F15" i="17"/>
  <c r="D17" i="23"/>
  <c r="D31" i="20"/>
  <c r="D36" i="20"/>
  <c r="E32" i="20"/>
  <c r="E26" i="20"/>
  <c r="D34" i="20"/>
  <c r="E25" i="20"/>
  <c r="E30" i="20"/>
  <c r="E38" i="20"/>
  <c r="D7" i="15"/>
  <c r="D10" i="15"/>
  <c r="F8" i="15"/>
  <c r="C7" i="15"/>
  <c r="F15" i="15"/>
  <c r="C14" i="15"/>
  <c r="E15" i="15"/>
  <c r="D15" i="15"/>
  <c r="D8" i="15"/>
  <c r="F6" i="15"/>
  <c r="D11" i="15"/>
  <c r="F9" i="15"/>
  <c r="E6" i="15"/>
  <c r="D13" i="15"/>
  <c r="F11" i="15"/>
  <c r="C10" i="15"/>
  <c r="F14" i="15"/>
  <c r="E11" i="15"/>
  <c r="E14" i="15"/>
  <c r="F12" i="15"/>
  <c r="E9" i="15"/>
  <c r="D6" i="15"/>
  <c r="D9" i="15"/>
  <c r="F7" i="15"/>
  <c r="B68" i="23" l="1"/>
  <c r="C68" i="23"/>
  <c r="D68" i="23"/>
  <c r="B69" i="23"/>
  <c r="C69" i="23"/>
  <c r="D69" i="23"/>
  <c r="D71" i="23" s="1"/>
  <c r="D73" i="23" s="1"/>
  <c r="C14" i="17"/>
  <c r="D14" i="17"/>
  <c r="E14" i="17"/>
  <c r="B30" i="17" s="1"/>
  <c r="F14" i="17"/>
  <c r="C58" i="23"/>
  <c r="D58" i="23" s="1"/>
  <c r="D57" i="23"/>
  <c r="C71" i="23" l="1"/>
  <c r="C73" i="23" s="1"/>
  <c r="B71" i="23"/>
  <c r="B73" i="23" l="1"/>
  <c r="C74" i="23" s="1"/>
  <c r="B74" i="23"/>
  <c r="D7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78C124-8AA9-4288-A82B-B2C693F8DA8A}" keepAlive="1" name="Query - dim_fleet_260" description="Connection to the 'dim_fleet_260' query in the workbook." type="5" refreshedVersion="8" background="1" saveData="1">
    <dbPr connection="Provider=Microsoft.Mashup.OleDb.1;Data Source=$Workbook$;Location=dim_fleet_260;Extended Properties=&quot;&quot;" command="SELECT * FROM [dim_fleet_260]"/>
  </connection>
  <connection id="2" xr16:uid="{0209C7C3-FB65-4E6D-8CEF-E6F546C919BB}" keepAlive="1" name="Query - fact_orders_1000" description="Connection to the 'fact_orders_1000' query in the workbook." type="5" refreshedVersion="8" background="1" saveData="1">
    <dbPr connection="Provider=Microsoft.Mashup.OleDb.1;Data Source=$Workbook$;Location=fact_orders_1000;Extended Properties=&quot;&quot;" command="SELECT * FROM [fact_orders_1000]"/>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<sst xmlns="http://schemas.openxmlformats.org/spreadsheetml/2006/main" count="16981" uniqueCount="2127">
  <si>
    <t>truck_id</t>
  </si>
  <si>
    <t>101-300</t>
  </si>
  <si>
    <t>Reefer</t>
  </si>
  <si>
    <t>0-100</t>
  </si>
  <si>
    <t>utilization_rate</t>
  </si>
  <si>
    <t>Grand Total</t>
  </si>
  <si>
    <t>order_id</t>
  </si>
  <si>
    <t>driver_id</t>
  </si>
  <si>
    <t>carrier_id</t>
  </si>
  <si>
    <t>carrier_name</t>
  </si>
  <si>
    <t>customer_id</t>
  </si>
  <si>
    <t>customer_name</t>
  </si>
  <si>
    <t>shipping_dat</t>
  </si>
  <si>
    <t>ship_date_clean</t>
  </si>
  <si>
    <t>pickup_datetime</t>
  </si>
  <si>
    <t>scheduled_delivery_datetime</t>
  </si>
  <si>
    <t>actual_delivery_datetime</t>
  </si>
  <si>
    <t>delivery_date</t>
  </si>
  <si>
    <t>origin_state</t>
  </si>
  <si>
    <t>origin_city</t>
  </si>
  <si>
    <t>destination_state</t>
  </si>
  <si>
    <t>destination_city</t>
  </si>
  <si>
    <t>region</t>
  </si>
  <si>
    <t>lane_id</t>
  </si>
  <si>
    <t>lanes_usa</t>
  </si>
  <si>
    <t>distance_miles</t>
  </si>
  <si>
    <t>empty_miles</t>
  </si>
  <si>
    <t>deadhead_miles</t>
  </si>
  <si>
    <t>loaded_miles</t>
  </si>
  <si>
    <t>total_miles</t>
  </si>
  <si>
    <t>truck_types</t>
  </si>
  <si>
    <t>delivery_times</t>
  </si>
  <si>
    <t>pickup_time_bucket</t>
  </si>
  <si>
    <t>day_of_the_week</t>
  </si>
  <si>
    <t>Delay Reason</t>
  </si>
  <si>
    <t>delay_minutes</t>
  </si>
  <si>
    <t>detention_minutes</t>
  </si>
  <si>
    <t>weather_severity_index</t>
  </si>
  <si>
    <t>traffic_index</t>
  </si>
  <si>
    <t>mechanical_flag</t>
  </si>
  <si>
    <t>load_factor</t>
  </si>
  <si>
    <t>shipment_value_usd</t>
  </si>
  <si>
    <t>shipment_value_bucket</t>
  </si>
  <si>
    <t>total_shipments</t>
  </si>
  <si>
    <t>on_time_deliveries</t>
  </si>
  <si>
    <t>late_deliveries</t>
  </si>
  <si>
    <t>on_time_count</t>
  </si>
  <si>
    <t>Late_count</t>
  </si>
  <si>
    <t>on_time_flag</t>
  </si>
  <si>
    <t>late_flag</t>
  </si>
  <si>
    <t>cost_per_mile</t>
  </si>
  <si>
    <t>variable_cost_per_mile</t>
  </si>
  <si>
    <t>fuel_cost_total</t>
  </si>
  <si>
    <t>maintenance_cost_total</t>
  </si>
  <si>
    <t>driver_pay_total</t>
  </si>
  <si>
    <t>insurance_risk_score</t>
  </si>
  <si>
    <t>maintenance_risk_score</t>
  </si>
  <si>
    <t>Sunbelt Haulage</t>
  </si>
  <si>
    <t>Coca-Cola Bottling</t>
  </si>
  <si>
    <t>OH</t>
  </si>
  <si>
    <t>Toledo</t>
  </si>
  <si>
    <t>Cleveland</t>
  </si>
  <si>
    <t>Midwest</t>
  </si>
  <si>
    <t>Dry Van</t>
  </si>
  <si>
    <t>4.07</t>
  </si>
  <si>
    <t>18:00-23:59</t>
  </si>
  <si>
    <t>Tuesday</t>
  </si>
  <si>
    <t/>
  </si>
  <si>
    <t>Low</t>
  </si>
  <si>
    <t>Target DC</t>
  </si>
  <si>
    <t>TN</t>
  </si>
  <si>
    <t>Chattanooga</t>
  </si>
  <si>
    <t>Memphis</t>
  </si>
  <si>
    <t>South</t>
  </si>
  <si>
    <t>3.97</t>
  </si>
  <si>
    <t>10:00-13:59</t>
  </si>
  <si>
    <t>Saturday</t>
  </si>
  <si>
    <t>Costco Distribution</t>
  </si>
  <si>
    <t>CA</t>
  </si>
  <si>
    <t>Fresno</t>
  </si>
  <si>
    <t>Intermodal</t>
  </si>
  <si>
    <t>2.72</t>
  </si>
  <si>
    <t>00:00-05:59</t>
  </si>
  <si>
    <t>Monday</t>
  </si>
  <si>
    <t>Blue Ridge Logistics</t>
  </si>
  <si>
    <t>Cincinnati</t>
  </si>
  <si>
    <t>AZ</t>
  </si>
  <si>
    <t>Flagstaff</t>
  </si>
  <si>
    <t>West</t>
  </si>
  <si>
    <t>1.22</t>
  </si>
  <si>
    <t>14:00-17:59</t>
  </si>
  <si>
    <t>Sunday</t>
  </si>
  <si>
    <t>Cascade Cargo</t>
  </si>
  <si>
    <t>FL</t>
  </si>
  <si>
    <t>Orlando</t>
  </si>
  <si>
    <t>Jacksonville</t>
  </si>
  <si>
    <t>4.63</t>
  </si>
  <si>
    <t>06:00-09:59</t>
  </si>
  <si>
    <t>UPS Supply Chain</t>
  </si>
  <si>
    <t>Columbus</t>
  </si>
  <si>
    <t>7.63</t>
  </si>
  <si>
    <t>Great Lakes Carriers</t>
  </si>
  <si>
    <t>Tyson Foods</t>
  </si>
  <si>
    <t>GA</t>
  </si>
  <si>
    <t>Macon</t>
  </si>
  <si>
    <t>5.72</t>
  </si>
  <si>
    <t>Pacific Linehaul</t>
  </si>
  <si>
    <t>IKEA Distribution</t>
  </si>
  <si>
    <t>Tucson</t>
  </si>
  <si>
    <t>CO</t>
  </si>
  <si>
    <t>Denver</t>
  </si>
  <si>
    <t>301-500</t>
  </si>
  <si>
    <t>Flatbed</t>
  </si>
  <si>
    <t>7.73</t>
  </si>
  <si>
    <t>Medium</t>
  </si>
  <si>
    <t>Amazon Fulfillment</t>
  </si>
  <si>
    <t>NJ</t>
  </si>
  <si>
    <t>Jersey City</t>
  </si>
  <si>
    <t>Pueblo</t>
  </si>
  <si>
    <t>10.83</t>
  </si>
  <si>
    <t>mechanical</t>
  </si>
  <si>
    <t>NY</t>
  </si>
  <si>
    <t>Buffalo</t>
  </si>
  <si>
    <t>Northeast</t>
  </si>
  <si>
    <t>1.62</t>
  </si>
  <si>
    <t>Wednesday</t>
  </si>
  <si>
    <t>Keystone Freight</t>
  </si>
  <si>
    <t>Walmart DC</t>
  </si>
  <si>
    <t>Paterson</t>
  </si>
  <si>
    <t>PA</t>
  </si>
  <si>
    <t>Erie</t>
  </si>
  <si>
    <t>5.45</t>
  </si>
  <si>
    <t>MI</t>
  </si>
  <si>
    <t>Detroit</t>
  </si>
  <si>
    <t>NC</t>
  </si>
  <si>
    <t>Greensboro</t>
  </si>
  <si>
    <t>4.45</t>
  </si>
  <si>
    <t>Thursday</t>
  </si>
  <si>
    <t>Nashville</t>
  </si>
  <si>
    <t>Trenton</t>
  </si>
  <si>
    <t>501-1000</t>
  </si>
  <si>
    <t>11.56</t>
  </si>
  <si>
    <t>Midwest Express Trucking</t>
  </si>
  <si>
    <t>Albany</t>
  </si>
  <si>
    <t>Tampa</t>
  </si>
  <si>
    <t>7.3</t>
  </si>
  <si>
    <t>Kroger Logistics</t>
  </si>
  <si>
    <t>Oakland</t>
  </si>
  <si>
    <t>5.37</t>
  </si>
  <si>
    <t>Best Buy DC</t>
  </si>
  <si>
    <t>TX</t>
  </si>
  <si>
    <t>San Antonio</t>
  </si>
  <si>
    <t>Knoxville</t>
  </si>
  <si>
    <t>4.8</t>
  </si>
  <si>
    <t>Friday</t>
  </si>
  <si>
    <t>High</t>
  </si>
  <si>
    <t>Pittsburgh</t>
  </si>
  <si>
    <t>Harrisburg</t>
  </si>
  <si>
    <t>20.64</t>
  </si>
  <si>
    <t>Dallas</t>
  </si>
  <si>
    <t>6.06</t>
  </si>
  <si>
    <t>Aurora</t>
  </si>
  <si>
    <t>Philadelphia</t>
  </si>
  <si>
    <t>4.95</t>
  </si>
  <si>
    <t>Home Depot RDC</t>
  </si>
  <si>
    <t>6.22</t>
  </si>
  <si>
    <t>Sacramento</t>
  </si>
  <si>
    <t>Dayton</t>
  </si>
  <si>
    <t>2.78</t>
  </si>
  <si>
    <t>3.14</t>
  </si>
  <si>
    <t>MO</t>
  </si>
  <si>
    <t>Springfield</t>
  </si>
  <si>
    <t>Wilmington</t>
  </si>
  <si>
    <t>3.58</t>
  </si>
  <si>
    <t>3.59</t>
  </si>
  <si>
    <t>FedEx Ground Hub</t>
  </si>
  <si>
    <t>WA</t>
  </si>
  <si>
    <t>Spokane</t>
  </si>
  <si>
    <t>2.01</t>
  </si>
  <si>
    <t>Syracuse</t>
  </si>
  <si>
    <t>7.56</t>
  </si>
  <si>
    <t>Lansing</t>
  </si>
  <si>
    <t>8.26</t>
  </si>
  <si>
    <t>Columbia</t>
  </si>
  <si>
    <t>5.96</t>
  </si>
  <si>
    <t>Lone Star Transport</t>
  </si>
  <si>
    <t>Flint</t>
  </si>
  <si>
    <t>11.58</t>
  </si>
  <si>
    <t>weather</t>
  </si>
  <si>
    <t>Independence</t>
  </si>
  <si>
    <t>2.51</t>
  </si>
  <si>
    <t>15.55</t>
  </si>
  <si>
    <t>traffic</t>
  </si>
  <si>
    <t>Fort Collins</t>
  </si>
  <si>
    <t>6.31</t>
  </si>
  <si>
    <t>New York</t>
  </si>
  <si>
    <t>El Paso</t>
  </si>
  <si>
    <t>4.97</t>
  </si>
  <si>
    <t>Colorado Springs</t>
  </si>
  <si>
    <t>8.15</t>
  </si>
  <si>
    <t>IL</t>
  </si>
  <si>
    <t>Rockford</t>
  </si>
  <si>
    <t>9.96</t>
  </si>
  <si>
    <t>PepsiCo Plant</t>
  </si>
  <si>
    <t>Augusta</t>
  </si>
  <si>
    <t>14.34</t>
  </si>
  <si>
    <t>detention</t>
  </si>
  <si>
    <t>Procter &amp; Gamble</t>
  </si>
  <si>
    <t>4.4</t>
  </si>
  <si>
    <t>8.2</t>
  </si>
  <si>
    <t>5.02 hrs</t>
  </si>
  <si>
    <t>Desert Road Haulers</t>
  </si>
  <si>
    <t>Elizabeth</t>
  </si>
  <si>
    <t>4.54</t>
  </si>
  <si>
    <t>8.9</t>
  </si>
  <si>
    <t>Tanker</t>
  </si>
  <si>
    <t>7.32</t>
  </si>
  <si>
    <t>Miami</t>
  </si>
  <si>
    <t>5.55</t>
  </si>
  <si>
    <t>Los Angeles</t>
  </si>
  <si>
    <t>2.9</t>
  </si>
  <si>
    <t>St. Louis</t>
  </si>
  <si>
    <t>San Diego</t>
  </si>
  <si>
    <t>2.18</t>
  </si>
  <si>
    <t>2.47</t>
  </si>
  <si>
    <t>Atlantic Freightways</t>
  </si>
  <si>
    <t>0.27</t>
  </si>
  <si>
    <t>Everett</t>
  </si>
  <si>
    <t>7.79</t>
  </si>
  <si>
    <t>Ann Arbor</t>
  </si>
  <si>
    <t>4.68</t>
  </si>
  <si>
    <t>5.18</t>
  </si>
  <si>
    <t>Savannah</t>
  </si>
  <si>
    <t>6.05</t>
  </si>
  <si>
    <t>18.96</t>
  </si>
  <si>
    <t>General Mills</t>
  </si>
  <si>
    <t>4.71</t>
  </si>
  <si>
    <t>Rochester</t>
  </si>
  <si>
    <t>1.72</t>
  </si>
  <si>
    <t>2.8</t>
  </si>
  <si>
    <t>5.27</t>
  </si>
  <si>
    <t>Allentown</t>
  </si>
  <si>
    <t>3.24</t>
  </si>
  <si>
    <t>Mesa</t>
  </si>
  <si>
    <t>3.75</t>
  </si>
  <si>
    <t>4.47</t>
  </si>
  <si>
    <t>4.06</t>
  </si>
  <si>
    <t>4.14</t>
  </si>
  <si>
    <t>Durham</t>
  </si>
  <si>
    <t>5.93</t>
  </si>
  <si>
    <t>2.66</t>
  </si>
  <si>
    <t>Newark</t>
  </si>
  <si>
    <t>1.15</t>
  </si>
  <si>
    <t>Phoenix</t>
  </si>
  <si>
    <t>0.6</t>
  </si>
  <si>
    <t>1.53</t>
  </si>
  <si>
    <t>4.03</t>
  </si>
  <si>
    <t>3.26</t>
  </si>
  <si>
    <t>4.57</t>
  </si>
  <si>
    <t>3.07</t>
  </si>
  <si>
    <t>12.71</t>
  </si>
  <si>
    <t>9.28</t>
  </si>
  <si>
    <t>4.3</t>
  </si>
  <si>
    <t>7.99</t>
  </si>
  <si>
    <t>3.8</t>
  </si>
  <si>
    <t>Houston</t>
  </si>
  <si>
    <t>6.1</t>
  </si>
  <si>
    <t>2.6</t>
  </si>
  <si>
    <t>Tempe</t>
  </si>
  <si>
    <t>Kansas City</t>
  </si>
  <si>
    <t>6.54</t>
  </si>
  <si>
    <t>7.47</t>
  </si>
  <si>
    <t>21.22</t>
  </si>
  <si>
    <t>2.64</t>
  </si>
  <si>
    <t>6.98</t>
  </si>
  <si>
    <t>Chicago</t>
  </si>
  <si>
    <t>7.67</t>
  </si>
  <si>
    <t>8.14</t>
  </si>
  <si>
    <t>Charlotte</t>
  </si>
  <si>
    <t>4.05</t>
  </si>
  <si>
    <t>3.05</t>
  </si>
  <si>
    <t>2.73 hrs</t>
  </si>
  <si>
    <t>Raleigh</t>
  </si>
  <si>
    <t>4.39</t>
  </si>
  <si>
    <t>18.21</t>
  </si>
  <si>
    <t>Atlanta</t>
  </si>
  <si>
    <t>1.2</t>
  </si>
  <si>
    <t>15.98</t>
  </si>
  <si>
    <t>7.41</t>
  </si>
  <si>
    <t>8.84</t>
  </si>
  <si>
    <t>Fort Lauderdale</t>
  </si>
  <si>
    <t>3.79</t>
  </si>
  <si>
    <t>Vancouver</t>
  </si>
  <si>
    <t>2.26</t>
  </si>
  <si>
    <t>6.8</t>
  </si>
  <si>
    <t>3.64 hrs</t>
  </si>
  <si>
    <t>9.5</t>
  </si>
  <si>
    <t>4.1</t>
  </si>
  <si>
    <t>5.07</t>
  </si>
  <si>
    <t>3.15</t>
  </si>
  <si>
    <t>6.96 hrs</t>
  </si>
  <si>
    <t>1.67</t>
  </si>
  <si>
    <t>7.39</t>
  </si>
  <si>
    <t>13.98</t>
  </si>
  <si>
    <t>1.42</t>
  </si>
  <si>
    <t>1.02</t>
  </si>
  <si>
    <t>11.64</t>
  </si>
  <si>
    <t>4.24</t>
  </si>
  <si>
    <t>5.17</t>
  </si>
  <si>
    <t>2.93</t>
  </si>
  <si>
    <t>4.48</t>
  </si>
  <si>
    <t>Austin</t>
  </si>
  <si>
    <t>1.32</t>
  </si>
  <si>
    <t>7.17</t>
  </si>
  <si>
    <t>10.14</t>
  </si>
  <si>
    <t>2.58</t>
  </si>
  <si>
    <t>Tacoma</t>
  </si>
  <si>
    <t>4.02</t>
  </si>
  <si>
    <t>17.8</t>
  </si>
  <si>
    <t>8.17 hrs</t>
  </si>
  <si>
    <t>9.18</t>
  </si>
  <si>
    <t>5.33</t>
  </si>
  <si>
    <t>Clarksville</t>
  </si>
  <si>
    <t>7.91</t>
  </si>
  <si>
    <t>2.33 hrs</t>
  </si>
  <si>
    <t>1.28</t>
  </si>
  <si>
    <t>4.25</t>
  </si>
  <si>
    <t>5.49</t>
  </si>
  <si>
    <t>Grand Rapids</t>
  </si>
  <si>
    <t>7.1</t>
  </si>
  <si>
    <t>5.58</t>
  </si>
  <si>
    <t>11.09</t>
  </si>
  <si>
    <t>10.19</t>
  </si>
  <si>
    <t>11.15</t>
  </si>
  <si>
    <t>3.12</t>
  </si>
  <si>
    <t>2.0</t>
  </si>
  <si>
    <t>16.74</t>
  </si>
  <si>
    <t>2.74</t>
  </si>
  <si>
    <t>Peoria</t>
  </si>
  <si>
    <t>1.34</t>
  </si>
  <si>
    <t>7.66</t>
  </si>
  <si>
    <t>5.41</t>
  </si>
  <si>
    <t>11.48</t>
  </si>
  <si>
    <t>4.2</t>
  </si>
  <si>
    <t>5.02</t>
  </si>
  <si>
    <t>3.84</t>
  </si>
  <si>
    <t>5.91</t>
  </si>
  <si>
    <t>6.15</t>
  </si>
  <si>
    <t>6.11</t>
  </si>
  <si>
    <t>9.87</t>
  </si>
  <si>
    <t>0.97</t>
  </si>
  <si>
    <t>5.73</t>
  </si>
  <si>
    <t>3.45</t>
  </si>
  <si>
    <t>15.22</t>
  </si>
  <si>
    <t>11.64 hrs</t>
  </si>
  <si>
    <t>Seattle</t>
  </si>
  <si>
    <t>9.47</t>
  </si>
  <si>
    <t>3.18</t>
  </si>
  <si>
    <t>9.39</t>
  </si>
  <si>
    <t>1.7</t>
  </si>
  <si>
    <t>7.68</t>
  </si>
  <si>
    <t>15.17</t>
  </si>
  <si>
    <t>7.49</t>
  </si>
  <si>
    <t>4.78</t>
  </si>
  <si>
    <t>1.87</t>
  </si>
  <si>
    <t>15.78</t>
  </si>
  <si>
    <t>6.68</t>
  </si>
  <si>
    <t>3.5</t>
  </si>
  <si>
    <t>14.77</t>
  </si>
  <si>
    <t>5.67</t>
  </si>
  <si>
    <t>2.49</t>
  </si>
  <si>
    <t>2.11</t>
  </si>
  <si>
    <t>1.55</t>
  </si>
  <si>
    <t>2.28</t>
  </si>
  <si>
    <t>4.91</t>
  </si>
  <si>
    <t>5.25</t>
  </si>
  <si>
    <t>8.25</t>
  </si>
  <si>
    <t>10.9</t>
  </si>
  <si>
    <t>4.77</t>
  </si>
  <si>
    <t>1.57</t>
  </si>
  <si>
    <t>6.13</t>
  </si>
  <si>
    <t>3.9</t>
  </si>
  <si>
    <t>4.7</t>
  </si>
  <si>
    <t>11.08</t>
  </si>
  <si>
    <t>3.23</t>
  </si>
  <si>
    <t>12.37</t>
  </si>
  <si>
    <t>1.6</t>
  </si>
  <si>
    <t>5.28</t>
  </si>
  <si>
    <t>0.92</t>
  </si>
  <si>
    <t>12.66</t>
  </si>
  <si>
    <t>0.72</t>
  </si>
  <si>
    <t>1.23</t>
  </si>
  <si>
    <t>3.87</t>
  </si>
  <si>
    <t>4.72</t>
  </si>
  <si>
    <t>5.24</t>
  </si>
  <si>
    <t>3.67</t>
  </si>
  <si>
    <t>1.9</t>
  </si>
  <si>
    <t>8.61</t>
  </si>
  <si>
    <t>5.85</t>
  </si>
  <si>
    <t>10.43</t>
  </si>
  <si>
    <t>8.79</t>
  </si>
  <si>
    <t>7.77</t>
  </si>
  <si>
    <t>4.0</t>
  </si>
  <si>
    <t>1.13</t>
  </si>
  <si>
    <t>4.85</t>
  </si>
  <si>
    <t>17.64</t>
  </si>
  <si>
    <t>9.23</t>
  </si>
  <si>
    <t>2.31</t>
  </si>
  <si>
    <t>4.5</t>
  </si>
  <si>
    <t>5.64</t>
  </si>
  <si>
    <t>1.39</t>
  </si>
  <si>
    <t>9.71</t>
  </si>
  <si>
    <t>7.25</t>
  </si>
  <si>
    <t>10.21</t>
  </si>
  <si>
    <t>5.13</t>
  </si>
  <si>
    <t>10.13</t>
  </si>
  <si>
    <t>5.98</t>
  </si>
  <si>
    <t>4.43</t>
  </si>
  <si>
    <t>5.69</t>
  </si>
  <si>
    <t>0.79</t>
  </si>
  <si>
    <t>2.59</t>
  </si>
  <si>
    <t>10.04</t>
  </si>
  <si>
    <t>7.12</t>
  </si>
  <si>
    <t>12.97</t>
  </si>
  <si>
    <t>5.19</t>
  </si>
  <si>
    <t>1.51</t>
  </si>
  <si>
    <t>3.03</t>
  </si>
  <si>
    <t>7.5</t>
  </si>
  <si>
    <t>2.71</t>
  </si>
  <si>
    <t>3.62</t>
  </si>
  <si>
    <t>2.15</t>
  </si>
  <si>
    <t>4.99</t>
  </si>
  <si>
    <t>7.42</t>
  </si>
  <si>
    <t>1.79</t>
  </si>
  <si>
    <t>4.56</t>
  </si>
  <si>
    <t>1.44</t>
  </si>
  <si>
    <t>0.03</t>
  </si>
  <si>
    <t>19.23</t>
  </si>
  <si>
    <t>4.94</t>
  </si>
  <si>
    <t>6.75</t>
  </si>
  <si>
    <t>2.87</t>
  </si>
  <si>
    <t>3.92</t>
  </si>
  <si>
    <t>2.69</t>
  </si>
  <si>
    <t>18.82</t>
  </si>
  <si>
    <t>6.83</t>
  </si>
  <si>
    <t>4.81</t>
  </si>
  <si>
    <t>6.27</t>
  </si>
  <si>
    <t>2.07</t>
  </si>
  <si>
    <t>4.96</t>
  </si>
  <si>
    <t>20.27</t>
  </si>
  <si>
    <t>3.27</t>
  </si>
  <si>
    <t>7.98</t>
  </si>
  <si>
    <t>14.69</t>
  </si>
  <si>
    <t>20.12</t>
  </si>
  <si>
    <t>4.82</t>
  </si>
  <si>
    <t>10.23</t>
  </si>
  <si>
    <t>0.95</t>
  </si>
  <si>
    <t>3.64</t>
  </si>
  <si>
    <t>5.76</t>
  </si>
  <si>
    <t>4.64</t>
  </si>
  <si>
    <t>9.24</t>
  </si>
  <si>
    <t>9.93</t>
  </si>
  <si>
    <t>8.55 hrs</t>
  </si>
  <si>
    <t>7.48</t>
  </si>
  <si>
    <t>4.66</t>
  </si>
  <si>
    <t>6.58</t>
  </si>
  <si>
    <t>1.17</t>
  </si>
  <si>
    <t>4.18</t>
  </si>
  <si>
    <t>6.12</t>
  </si>
  <si>
    <t>6.38</t>
  </si>
  <si>
    <t>0.9</t>
  </si>
  <si>
    <t>5.65</t>
  </si>
  <si>
    <t>1.43</t>
  </si>
  <si>
    <t>13.67</t>
  </si>
  <si>
    <t>10.4</t>
  </si>
  <si>
    <t>5.82</t>
  </si>
  <si>
    <t>7.2</t>
  </si>
  <si>
    <t>8.1</t>
  </si>
  <si>
    <t>5.99</t>
  </si>
  <si>
    <t>2.45</t>
  </si>
  <si>
    <t>10.84</t>
  </si>
  <si>
    <t>12.58</t>
  </si>
  <si>
    <t>4.19</t>
  </si>
  <si>
    <t>5.92</t>
  </si>
  <si>
    <t>10.35</t>
  </si>
  <si>
    <t>2.41</t>
  </si>
  <si>
    <t>28.38</t>
  </si>
  <si>
    <t>1.54</t>
  </si>
  <si>
    <t>16.25</t>
  </si>
  <si>
    <t>14.02</t>
  </si>
  <si>
    <t>6.41</t>
  </si>
  <si>
    <t>6.19</t>
  </si>
  <si>
    <t>1.52</t>
  </si>
  <si>
    <t>6.32</t>
  </si>
  <si>
    <t>6.01</t>
  </si>
  <si>
    <t>5.43</t>
  </si>
  <si>
    <t>5.03</t>
  </si>
  <si>
    <t>0.98</t>
  </si>
  <si>
    <t>1.1</t>
  </si>
  <si>
    <t>2.91</t>
  </si>
  <si>
    <t>6.35</t>
  </si>
  <si>
    <t>5.29</t>
  </si>
  <si>
    <t>8.51</t>
  </si>
  <si>
    <t>3.4</t>
  </si>
  <si>
    <t>2.1</t>
  </si>
  <si>
    <t>16.93</t>
  </si>
  <si>
    <t>4.53</t>
  </si>
  <si>
    <t>10.5</t>
  </si>
  <si>
    <t>6.39</t>
  </si>
  <si>
    <t>9.78</t>
  </si>
  <si>
    <t>6.36</t>
  </si>
  <si>
    <t>9.08</t>
  </si>
  <si>
    <t>2.46</t>
  </si>
  <si>
    <t>8.04</t>
  </si>
  <si>
    <t>11.41</t>
  </si>
  <si>
    <t>2.56</t>
  </si>
  <si>
    <t>2.3</t>
  </si>
  <si>
    <t>10.46</t>
  </si>
  <si>
    <t>1.75</t>
  </si>
  <si>
    <t>2.36</t>
  </si>
  <si>
    <t>0.76</t>
  </si>
  <si>
    <t>17.79</t>
  </si>
  <si>
    <t>8.33</t>
  </si>
  <si>
    <t>4.88</t>
  </si>
  <si>
    <t>1.98</t>
  </si>
  <si>
    <t>4.22</t>
  </si>
  <si>
    <t>5.97</t>
  </si>
  <si>
    <t>17.37</t>
  </si>
  <si>
    <t>11.2</t>
  </si>
  <si>
    <t>7.06</t>
  </si>
  <si>
    <t>3.78</t>
  </si>
  <si>
    <t>9.63</t>
  </si>
  <si>
    <t>6.84</t>
  </si>
  <si>
    <t>8.46</t>
  </si>
  <si>
    <t>6.21</t>
  </si>
  <si>
    <t>5.04</t>
  </si>
  <si>
    <t>6.95</t>
  </si>
  <si>
    <t>7.89</t>
  </si>
  <si>
    <t>23.91</t>
  </si>
  <si>
    <t>14.32</t>
  </si>
  <si>
    <t>7.85</t>
  </si>
  <si>
    <t>8.48</t>
  </si>
  <si>
    <t>6.89</t>
  </si>
  <si>
    <t>8.21</t>
  </si>
  <si>
    <t>4.69</t>
  </si>
  <si>
    <t>8.4</t>
  </si>
  <si>
    <t>3.28</t>
  </si>
  <si>
    <t>1.66</t>
  </si>
  <si>
    <t>16.17</t>
  </si>
  <si>
    <t>4.59</t>
  </si>
  <si>
    <t>4.35</t>
  </si>
  <si>
    <t>2.12</t>
  </si>
  <si>
    <t>4.16</t>
  </si>
  <si>
    <t>8.91</t>
  </si>
  <si>
    <t>4.29</t>
  </si>
  <si>
    <t>5.0</t>
  </si>
  <si>
    <t>11.6</t>
  </si>
  <si>
    <t>5.68</t>
  </si>
  <si>
    <t>0.75</t>
  </si>
  <si>
    <t>4.0 hrs</t>
  </si>
  <si>
    <t>2.13</t>
  </si>
  <si>
    <t>11.07</t>
  </si>
  <si>
    <t>6.86</t>
  </si>
  <si>
    <t>11.71</t>
  </si>
  <si>
    <t>7.22</t>
  </si>
  <si>
    <t>3.17</t>
  </si>
  <si>
    <t>2.61</t>
  </si>
  <si>
    <t>17.5</t>
  </si>
  <si>
    <t>9.03</t>
  </si>
  <si>
    <t>9.55</t>
  </si>
  <si>
    <t>8.42</t>
  </si>
  <si>
    <t>2.92</t>
  </si>
  <si>
    <t>10.08</t>
  </si>
  <si>
    <t>16.8</t>
  </si>
  <si>
    <t>19.38</t>
  </si>
  <si>
    <t>8.58</t>
  </si>
  <si>
    <t>12.78</t>
  </si>
  <si>
    <t>21.79</t>
  </si>
  <si>
    <t>6.64</t>
  </si>
  <si>
    <t>9.88</t>
  </si>
  <si>
    <t>4.15</t>
  </si>
  <si>
    <t>5.06</t>
  </si>
  <si>
    <t>5.95</t>
  </si>
  <si>
    <t>3.54</t>
  </si>
  <si>
    <t>22.14 hrs</t>
  </si>
  <si>
    <t>3.0</t>
  </si>
  <si>
    <t>10.38</t>
  </si>
  <si>
    <t>5.62</t>
  </si>
  <si>
    <t>3.61</t>
  </si>
  <si>
    <t>8.18</t>
  </si>
  <si>
    <t>3.06</t>
  </si>
  <si>
    <t>13.37</t>
  </si>
  <si>
    <t>6.4</t>
  </si>
  <si>
    <t>17.42</t>
  </si>
  <si>
    <t>8.24</t>
  </si>
  <si>
    <t>8.36</t>
  </si>
  <si>
    <t>18.73</t>
  </si>
  <si>
    <t>6.08</t>
  </si>
  <si>
    <t>3.16</t>
  </si>
  <si>
    <t>6.24</t>
  </si>
  <si>
    <t>1.5</t>
  </si>
  <si>
    <t>1.97</t>
  </si>
  <si>
    <t>3.72</t>
  </si>
  <si>
    <t>2.35</t>
  </si>
  <si>
    <t>3.68</t>
  </si>
  <si>
    <t>7.84</t>
  </si>
  <si>
    <t>1.61</t>
  </si>
  <si>
    <t>5.32</t>
  </si>
  <si>
    <t>4.13</t>
  </si>
  <si>
    <t>0.88</t>
  </si>
  <si>
    <t>10.02</t>
  </si>
  <si>
    <t>8.13</t>
  </si>
  <si>
    <t>9.53</t>
  </si>
  <si>
    <t>1.76</t>
  </si>
  <si>
    <t>11.52</t>
  </si>
  <si>
    <t>6.65</t>
  </si>
  <si>
    <t>16.47</t>
  </si>
  <si>
    <t>9.67</t>
  </si>
  <si>
    <t>9.68</t>
  </si>
  <si>
    <t>9.66</t>
  </si>
  <si>
    <t>5.79</t>
  </si>
  <si>
    <t>7.35</t>
  </si>
  <si>
    <t>17.9</t>
  </si>
  <si>
    <t>6.59</t>
  </si>
  <si>
    <t>3.39 hrs</t>
  </si>
  <si>
    <t>3.25</t>
  </si>
  <si>
    <t>2.81</t>
  </si>
  <si>
    <t>14.42</t>
  </si>
  <si>
    <t>0.43</t>
  </si>
  <si>
    <t>7.65</t>
  </si>
  <si>
    <t>6.99</t>
  </si>
  <si>
    <t>17.63</t>
  </si>
  <si>
    <t>13.01</t>
  </si>
  <si>
    <t>1.4</t>
  </si>
  <si>
    <t>7.51</t>
  </si>
  <si>
    <t>2.54</t>
  </si>
  <si>
    <t>7.01</t>
  </si>
  <si>
    <t>13.8</t>
  </si>
  <si>
    <t>9.4</t>
  </si>
  <si>
    <t>8.52</t>
  </si>
  <si>
    <t>11.21</t>
  </si>
  <si>
    <t>16.14</t>
  </si>
  <si>
    <t>25.59</t>
  </si>
  <si>
    <t>6.87</t>
  </si>
  <si>
    <t>20.09</t>
  </si>
  <si>
    <t>8.65</t>
  </si>
  <si>
    <t>3.83</t>
  </si>
  <si>
    <t>2.57</t>
  </si>
  <si>
    <t>7.45</t>
  </si>
  <si>
    <t>4.46</t>
  </si>
  <si>
    <t>6.2</t>
  </si>
  <si>
    <t>10.29</t>
  </si>
  <si>
    <t>12.89</t>
  </si>
  <si>
    <t>20.46</t>
  </si>
  <si>
    <t>4.26</t>
  </si>
  <si>
    <t>5.78</t>
  </si>
  <si>
    <t>2.05</t>
  </si>
  <si>
    <t>1.8</t>
  </si>
  <si>
    <t>2.42</t>
  </si>
  <si>
    <t>8.67</t>
  </si>
  <si>
    <t>2.19</t>
  </si>
  <si>
    <t>4.38</t>
  </si>
  <si>
    <t>3.77</t>
  </si>
  <si>
    <t>9.13</t>
  </si>
  <si>
    <t>12.94</t>
  </si>
  <si>
    <t>4.79</t>
  </si>
  <si>
    <t>6.18</t>
  </si>
  <si>
    <t>1.95</t>
  </si>
  <si>
    <t>3.57</t>
  </si>
  <si>
    <t>7.88</t>
  </si>
  <si>
    <t>8.69</t>
  </si>
  <si>
    <t>6.81</t>
  </si>
  <si>
    <t>8.02</t>
  </si>
  <si>
    <t>2.33</t>
  </si>
  <si>
    <t>15.5</t>
  </si>
  <si>
    <t>8.88</t>
  </si>
  <si>
    <t>7.52</t>
  </si>
  <si>
    <t>5.88</t>
  </si>
  <si>
    <t>6.93</t>
  </si>
  <si>
    <t>4.6</t>
  </si>
  <si>
    <t>1.91</t>
  </si>
  <si>
    <t>7.86 hrs</t>
  </si>
  <si>
    <t>15.12</t>
  </si>
  <si>
    <t>22.11</t>
  </si>
  <si>
    <t>9.58</t>
  </si>
  <si>
    <t>7.44</t>
  </si>
  <si>
    <t>14.72</t>
  </si>
  <si>
    <t>6.28</t>
  </si>
  <si>
    <t>6.26</t>
  </si>
  <si>
    <t>10.76</t>
  </si>
  <si>
    <t>9.34</t>
  </si>
  <si>
    <t>8.49</t>
  </si>
  <si>
    <t>2.75</t>
  </si>
  <si>
    <t>7.26</t>
  </si>
  <si>
    <t>11.51</t>
  </si>
  <si>
    <t>3.21</t>
  </si>
  <si>
    <t>0.46</t>
  </si>
  <si>
    <t>3.95</t>
  </si>
  <si>
    <t>11.93</t>
  </si>
  <si>
    <t>10.95</t>
  </si>
  <si>
    <t>6.44</t>
  </si>
  <si>
    <t>1.84</t>
  </si>
  <si>
    <t>2.38</t>
  </si>
  <si>
    <t>12.92</t>
  </si>
  <si>
    <t>9.1</t>
  </si>
  <si>
    <t>12.29</t>
  </si>
  <si>
    <t>9.77</t>
  </si>
  <si>
    <t>7.96</t>
  </si>
  <si>
    <t>7.62</t>
  </si>
  <si>
    <t>2.88</t>
  </si>
  <si>
    <t>3.81</t>
  </si>
  <si>
    <t>14.65</t>
  </si>
  <si>
    <t>4.01</t>
  </si>
  <si>
    <t>17.6</t>
  </si>
  <si>
    <t>9.25</t>
  </si>
  <si>
    <t>3.48</t>
  </si>
  <si>
    <t>15.96</t>
  </si>
  <si>
    <t>8.17</t>
  </si>
  <si>
    <t>13.51</t>
  </si>
  <si>
    <t>10.11</t>
  </si>
  <si>
    <t>8.59</t>
  </si>
  <si>
    <t>4.42</t>
  </si>
  <si>
    <t>7.21</t>
  </si>
  <si>
    <t>5.3</t>
  </si>
  <si>
    <t>10.31</t>
  </si>
  <si>
    <t>1.07</t>
  </si>
  <si>
    <t>9.94</t>
  </si>
  <si>
    <t>8.75</t>
  </si>
  <si>
    <t>10.53</t>
  </si>
  <si>
    <t>2.02</t>
  </si>
  <si>
    <t>9.95</t>
  </si>
  <si>
    <t>8.32</t>
  </si>
  <si>
    <t>7.19</t>
  </si>
  <si>
    <t>8.66</t>
  </si>
  <si>
    <t>7.34</t>
  </si>
  <si>
    <t>3.88</t>
  </si>
  <si>
    <t>6.33</t>
  </si>
  <si>
    <t>2.7</t>
  </si>
  <si>
    <t>7.24</t>
  </si>
  <si>
    <t>9.69</t>
  </si>
  <si>
    <t>2.84</t>
  </si>
  <si>
    <t>6.92</t>
  </si>
  <si>
    <t>7.86</t>
  </si>
  <si>
    <t>4.75</t>
  </si>
  <si>
    <t>9.02</t>
  </si>
  <si>
    <t>7.6</t>
  </si>
  <si>
    <t>7.04</t>
  </si>
  <si>
    <t>20.86</t>
  </si>
  <si>
    <t>23.4</t>
  </si>
  <si>
    <t>7.4</t>
  </si>
  <si>
    <t>3.56</t>
  </si>
  <si>
    <t>2.27</t>
  </si>
  <si>
    <t>6.74</t>
  </si>
  <si>
    <t>4.52</t>
  </si>
  <si>
    <t>5.4</t>
  </si>
  <si>
    <t>2.62</t>
  </si>
  <si>
    <t>2.06</t>
  </si>
  <si>
    <t>5.8</t>
  </si>
  <si>
    <t>3.99</t>
  </si>
  <si>
    <t>9.8</t>
  </si>
  <si>
    <t>6.9</t>
  </si>
  <si>
    <t>5.47</t>
  </si>
  <si>
    <t>2.29</t>
  </si>
  <si>
    <t>8.37</t>
  </si>
  <si>
    <t>4.62</t>
  </si>
  <si>
    <t>5.54</t>
  </si>
  <si>
    <t>6.3</t>
  </si>
  <si>
    <t>17.96</t>
  </si>
  <si>
    <t>10.4 hrs</t>
  </si>
  <si>
    <t>3.47</t>
  </si>
  <si>
    <t>11.18</t>
  </si>
  <si>
    <t>2.63</t>
  </si>
  <si>
    <t>7.16</t>
  </si>
  <si>
    <t>9.66 hrs</t>
  </si>
  <si>
    <t>8.27</t>
  </si>
  <si>
    <t>4.31</t>
  </si>
  <si>
    <t>1.65</t>
  </si>
  <si>
    <t>4.51 hrs</t>
  </si>
  <si>
    <t>1.81</t>
  </si>
  <si>
    <t>16.03</t>
  </si>
  <si>
    <t>11.68</t>
  </si>
  <si>
    <t>3.98</t>
  </si>
  <si>
    <t>2.09</t>
  </si>
  <si>
    <t>10.45</t>
  </si>
  <si>
    <t>8.29</t>
  </si>
  <si>
    <t>4.76</t>
  </si>
  <si>
    <t>5.48</t>
  </si>
  <si>
    <t>7.72</t>
  </si>
  <si>
    <t>3.93</t>
  </si>
  <si>
    <t>9.09</t>
  </si>
  <si>
    <t>14.78</t>
  </si>
  <si>
    <t>10.68</t>
  </si>
  <si>
    <t>15.03</t>
  </si>
  <si>
    <t>10.17</t>
  </si>
  <si>
    <t>17.78</t>
  </si>
  <si>
    <t>2.44</t>
  </si>
  <si>
    <t>21.75</t>
  </si>
  <si>
    <t>11.94</t>
  </si>
  <si>
    <t>11.59</t>
  </si>
  <si>
    <t>3.22</t>
  </si>
  <si>
    <t>1.92</t>
  </si>
  <si>
    <t>5.63</t>
  </si>
  <si>
    <t>8.23</t>
  </si>
  <si>
    <t>13.18</t>
  </si>
  <si>
    <t>0.93</t>
  </si>
  <si>
    <t>6.78</t>
  </si>
  <si>
    <t>1.63</t>
  </si>
  <si>
    <t>3.34 hrs</t>
  </si>
  <si>
    <t>7.33</t>
  </si>
  <si>
    <t>5.22</t>
  </si>
  <si>
    <t>5.14</t>
  </si>
  <si>
    <t>6.47</t>
  </si>
  <si>
    <t>1.82</t>
  </si>
  <si>
    <t>1.08</t>
  </si>
  <si>
    <t>6.55</t>
  </si>
  <si>
    <t>5.12</t>
  </si>
  <si>
    <t>14.36</t>
  </si>
  <si>
    <t>1.03</t>
  </si>
  <si>
    <t>5.52 hrs</t>
  </si>
  <si>
    <t>1.47</t>
  </si>
  <si>
    <t>6.73</t>
  </si>
  <si>
    <t>11.16</t>
  </si>
  <si>
    <t>6.72</t>
  </si>
  <si>
    <t>5.09</t>
  </si>
  <si>
    <t>23.44</t>
  </si>
  <si>
    <t>8.82</t>
  </si>
  <si>
    <t>5.9</t>
  </si>
  <si>
    <t>17.05</t>
  </si>
  <si>
    <t>21.57</t>
  </si>
  <si>
    <t>10.56</t>
  </si>
  <si>
    <t>22.15</t>
  </si>
  <si>
    <t>8.57</t>
  </si>
  <si>
    <t>4.84</t>
  </si>
  <si>
    <t>6.48</t>
  </si>
  <si>
    <t>3.89</t>
  </si>
  <si>
    <t>5.71</t>
  </si>
  <si>
    <t>7.59</t>
  </si>
  <si>
    <t>11.33</t>
  </si>
  <si>
    <t>4.17</t>
  </si>
  <si>
    <t>16.39</t>
  </si>
  <si>
    <t>8.41</t>
  </si>
  <si>
    <t>4.34</t>
  </si>
  <si>
    <t>7.83</t>
  </si>
  <si>
    <t>7.08</t>
  </si>
  <si>
    <t>2.2</t>
  </si>
  <si>
    <t>1.24</t>
  </si>
  <si>
    <t>6.53</t>
  </si>
  <si>
    <t>14.63</t>
  </si>
  <si>
    <t>4.74</t>
  </si>
  <si>
    <t>5.44</t>
  </si>
  <si>
    <t>11.32</t>
  </si>
  <si>
    <t>9.44</t>
  </si>
  <si>
    <t>5.81</t>
  </si>
  <si>
    <t>1.33</t>
  </si>
  <si>
    <t>17.25</t>
  </si>
  <si>
    <t>9.82</t>
  </si>
  <si>
    <t>2.89</t>
  </si>
  <si>
    <t>3.31</t>
  </si>
  <si>
    <t>4.89</t>
  </si>
  <si>
    <t>7.58</t>
  </si>
  <si>
    <t>5.87</t>
  </si>
  <si>
    <t>3.1</t>
  </si>
  <si>
    <t>4.11</t>
  </si>
  <si>
    <t>1.86</t>
  </si>
  <si>
    <t>2.97</t>
  </si>
  <si>
    <t>10.69</t>
  </si>
  <si>
    <t>7.55</t>
  </si>
  <si>
    <t>12.17</t>
  </si>
  <si>
    <t>1.17 hrs</t>
  </si>
  <si>
    <t>12.12</t>
  </si>
  <si>
    <t>8.44</t>
  </si>
  <si>
    <t>13.36</t>
  </si>
  <si>
    <t>19.81</t>
  </si>
  <si>
    <t>1.25</t>
  </si>
  <si>
    <t>11.81</t>
  </si>
  <si>
    <t>6.69</t>
  </si>
  <si>
    <t>13.79</t>
  </si>
  <si>
    <t>1.71</t>
  </si>
  <si>
    <t>1.56</t>
  </si>
  <si>
    <t>10.41</t>
  </si>
  <si>
    <t>15.43</t>
  </si>
  <si>
    <t>5.08</t>
  </si>
  <si>
    <t>1.68</t>
  </si>
  <si>
    <t>7.05</t>
  </si>
  <si>
    <t>3.29</t>
  </si>
  <si>
    <t>12.2</t>
  </si>
  <si>
    <t>8.83</t>
  </si>
  <si>
    <t>12.02</t>
  </si>
  <si>
    <t>10.37</t>
  </si>
  <si>
    <t>12.56</t>
  </si>
  <si>
    <t>9.37</t>
  </si>
  <si>
    <t>2.08</t>
  </si>
  <si>
    <t>16.0</t>
  </si>
  <si>
    <t>1.78</t>
  </si>
  <si>
    <t>8.89</t>
  </si>
  <si>
    <t>4.33</t>
  </si>
  <si>
    <t>16.55</t>
  </si>
  <si>
    <t>1.37</t>
  </si>
  <si>
    <t>6.91</t>
  </si>
  <si>
    <t>7.18</t>
  </si>
  <si>
    <t>11.65</t>
  </si>
  <si>
    <t>truck_type</t>
  </si>
  <si>
    <t>truck_model_year</t>
  </si>
  <si>
    <t>home_terminal_state</t>
  </si>
  <si>
    <t>home_terminal_city</t>
  </si>
  <si>
    <t>insurance_policy_id</t>
  </si>
  <si>
    <t>insurance_coverage_limit_usd</t>
  </si>
  <si>
    <t>insurance_deductible_usd</t>
  </si>
  <si>
    <t>insurance_premium_monthly_usd</t>
  </si>
  <si>
    <t>insurance_claims_12m</t>
  </si>
  <si>
    <t>safety_score</t>
  </si>
  <si>
    <t>maintenance_interval_days</t>
  </si>
  <si>
    <t>last_maintenance_date</t>
  </si>
  <si>
    <t>next_maintenance_due</t>
  </si>
  <si>
    <t>maintenance_overdue_flag</t>
  </si>
  <si>
    <t>epr_compliant_flag</t>
  </si>
  <si>
    <t>epr_audit_score</t>
  </si>
  <si>
    <t>hazmat_certified_flag</t>
  </si>
  <si>
    <t>Unknown</t>
  </si>
  <si>
    <t>Sum of shipment_value_usd</t>
  </si>
  <si>
    <t>Average of variable_cost_per_mile</t>
  </si>
  <si>
    <t>% of total 'detention_minutes' by 'Delay Reason'</t>
  </si>
  <si>
    <t>Sum of detention_minutes</t>
  </si>
  <si>
    <t>Sum of Late_count</t>
  </si>
  <si>
    <t>(All)</t>
  </si>
  <si>
    <t>Column Labels</t>
  </si>
  <si>
    <t>Sum of total_shipments</t>
  </si>
  <si>
    <t>Total Sum of total_shipments</t>
  </si>
  <si>
    <t>Total Sum of on_time_count</t>
  </si>
  <si>
    <t>Sum of on_time_count</t>
  </si>
  <si>
    <t>Total Sum of Late_count</t>
  </si>
  <si>
    <t>% of total 'deadhead_miles' by 'region'</t>
  </si>
  <si>
    <t>Sum of deadhead_miles</t>
  </si>
  <si>
    <t>Sum of cost_per_mile</t>
  </si>
  <si>
    <t>Count of deadhead_miles</t>
  </si>
  <si>
    <t>Count of Years (scheduled_delivery_datetime)</t>
  </si>
  <si>
    <t>DELAY MINUTES (Column AE) - KEY INSIGHTS</t>
  </si>
  <si>
    <t>OVERALL STATISTICS</t>
  </si>
  <si>
    <t>Metric</t>
  </si>
  <si>
    <t>Value</t>
  </si>
  <si>
    <t>Total Shipments</t>
  </si>
  <si>
    <t>Average Delay (minutes)</t>
  </si>
  <si>
    <t>Median Delay (minutes)</t>
  </si>
  <si>
    <t>Max Delay (minutes)</t>
  </si>
  <si>
    <t>Min Delay (Early)</t>
  </si>
  <si>
    <t>Std Deviation</t>
  </si>
  <si>
    <t>ON-TIME vs LATE PERFORMANCE</t>
  </si>
  <si>
    <t>Category</t>
  </si>
  <si>
    <t>Count</t>
  </si>
  <si>
    <t>Percentage</t>
  </si>
  <si>
    <t>On-Time (≤0 min delay)</t>
  </si>
  <si>
    <t>Late (&gt;0 min delay)</t>
  </si>
  <si>
    <t>DELAY REASONS BREAKDOWN</t>
  </si>
  <si>
    <t>% of Late</t>
  </si>
  <si>
    <t>Detention</t>
  </si>
  <si>
    <t>Traffic</t>
  </si>
  <si>
    <t>Weather</t>
  </si>
  <si>
    <t>Mechanical</t>
  </si>
  <si>
    <t>Other/Unspecified</t>
  </si>
  <si>
    <t>DELAY DISTRIBUTION BUCKETS</t>
  </si>
  <si>
    <t>Delay Range</t>
  </si>
  <si>
    <t>Early (&lt; -30 min)</t>
  </si>
  <si>
    <t>Slightly Early (-30 to -1)</t>
  </si>
  <si>
    <t>On Time (0 min)</t>
  </si>
  <si>
    <t>Minor Delay (1-30 min)</t>
  </si>
  <si>
    <t>Moderate Delay (31-120 min)</t>
  </si>
  <si>
    <t>Major Delay (121-300 min)</t>
  </si>
  <si>
    <t>Severe Delay (&gt;300 min)</t>
  </si>
  <si>
    <t>AVG DELAY BY CARRIER</t>
  </si>
  <si>
    <t>Carrier</t>
  </si>
  <si>
    <t>Avg Delay (min)</t>
  </si>
  <si>
    <t>AVG DELAY BY TRUCK TYPE</t>
  </si>
  <si>
    <t>Truck Type</t>
  </si>
  <si>
    <t>AVG DELAY BY REGION</t>
  </si>
  <si>
    <t>Region</t>
  </si>
  <si>
    <t>KEY INSIGHTS SUMMARY</t>
  </si>
  <si>
    <t>✓ Overall on-time delivery rate: 70.3% (703 of 1000 shipments)</t>
  </si>
  <si>
    <t>✓ Average delay is negative (-17 min), indicating most deliveries arrive early</t>
  </si>
  <si>
    <t>✓ Detention is the #1 cause of delays (48.8% of documented delay reasons)</t>
  </si>
  <si>
    <t>✓ Severe delays (&gt;300 min) represent only ~5% of shipments</t>
  </si>
  <si>
    <t>✓ Compare carrier and regional performance to identify improvement areas</t>
  </si>
  <si>
    <t>SEVERE DELAYS DEEP DIVE (&gt;300 minutes)</t>
  </si>
  <si>
    <t>SUMMARY</t>
  </si>
  <si>
    <t>Severe Delays (&gt;300 min)</t>
  </si>
  <si>
    <t>% of Total</t>
  </si>
  <si>
    <t>Avg Delay (severe only)</t>
  </si>
  <si>
    <t>456 min</t>
  </si>
  <si>
    <t>SEVERE DELAYS BY CARRIER</t>
  </si>
  <si>
    <t>Severe Count</t>
  </si>
  <si>
    <t>% Severe</t>
  </si>
  <si>
    <t>Risk Level</t>
  </si>
  <si>
    <t>⚡ MEDIUM</t>
  </si>
  <si>
    <t>⚠️ HIGH</t>
  </si>
  <si>
    <t>✓ LOW</t>
  </si>
  <si>
    <t>SEVERE DELAYS BY TRUCK TYPE</t>
  </si>
  <si>
    <t>SEVERE DELAYS BY LANE DISTANCE</t>
  </si>
  <si>
    <t>Lane Distance</t>
  </si>
  <si>
    <t>SEVERE DELAYS BY REGION</t>
  </si>
  <si>
    <t>SEVERE DELAYS BY REASON</t>
  </si>
  <si>
    <t>% of Severe Delays</t>
  </si>
  <si>
    <t>KEY FINDINGS &amp; TRENDS</t>
  </si>
  <si>
    <t>🔴 CARRIER: Blue Ridge Logistics leads with 3 severe delays (1.2% rate)</t>
  </si>
  <si>
    <t>🔴 TRUCK TYPE: Intermodal has highest severe rate at 2.0% (2 of 100)</t>
  </si>
  <si>
    <t>🔴 LANE: 501-1000 mile routes show 2.0% severe delay rate</t>
  </si>
  <si>
    <t>🔴 REGION: West has 1.6% severe delay rate (4 shipments)</t>
  </si>
  <si>
    <t>CROSS-TABULATION: CARRIER × TRUCK TYPE (Severe Delays Only)</t>
  </si>
  <si>
    <t>Use this formula in fact_orders_1000 to filter severe delays:</t>
  </si>
  <si>
    <t>RECOMMENDATIONS</t>
  </si>
  <si>
    <t>1. CARRIER FOCUS: Blue Ridge Logistics needs operational review - 3 severe delays despite only 243 total shipments</t>
  </si>
  <si>
    <t>2. TRUCK TYPE ALERT: Intermodal trucks show 2.0% severe delay rate - investigate terminal handoff procedures</t>
  </si>
  <si>
    <t>3. LANE STRATEGY: Long-haul routes (501-1000 miles) need better buffer time or relay points</t>
  </si>
  <si>
    <t>4. REGIONAL ACTION: West region (2.1% severe rate) - consider weather contingencies and route alternatives</t>
  </si>
  <si>
    <t>FORMULA REFERENCE (Copy to any cell to analyze):</t>
  </si>
  <si>
    <t>Count severe delays by carrier:</t>
  </si>
  <si>
    <t>Severe delay % by carrier:</t>
  </si>
  <si>
    <t>Total severe delays:</t>
  </si>
  <si>
    <t>Avg delay (severe only):</t>
  </si>
  <si>
    <t>REGRESSION &amp; CORRELATION ANALYSIS - DELAY MINUTES</t>
  </si>
  <si>
    <t>PART 1: CORRELATION MATRIX (Numeric Variables vs Delay Minutes)</t>
  </si>
  <si>
    <t>Variable</t>
  </si>
  <si>
    <t>Correlation (r)</t>
  </si>
  <si>
    <t>R-Squared (r²)</t>
  </si>
  <si>
    <t>Interpretation</t>
  </si>
  <si>
    <t>Direction</t>
  </si>
  <si>
    <t>Strength</t>
  </si>
  <si>
    <t>Distance Miles</t>
  </si>
  <si>
    <t>Traffic Index</t>
  </si>
  <si>
    <t>Weather Severity</t>
  </si>
  <si>
    <t>Detention Minutes</t>
  </si>
  <si>
    <t>Mechanical Flag</t>
  </si>
  <si>
    <t>Utilization Rate</t>
  </si>
  <si>
    <t>Load Factor</t>
  </si>
  <si>
    <t>Total Miles</t>
  </si>
  <si>
    <t>Maintenance Cost</t>
  </si>
  <si>
    <t>Insurance Risk Score</t>
  </si>
  <si>
    <t>PART 2: LINEAR REGRESSION ANALYSIS</t>
  </si>
  <si>
    <t>Regression: Delay ~ Detention Minutes</t>
  </si>
  <si>
    <t>Intercept (a)</t>
  </si>
  <si>
    <t>Slope (b)</t>
  </si>
  <si>
    <t>R-Squared</t>
  </si>
  <si>
    <t>Std Error</t>
  </si>
  <si>
    <t>Regression: Delay ~ Mechanical Flag</t>
  </si>
  <si>
    <t>Regression: Delay ~ Weather Severity</t>
  </si>
  <si>
    <t>PART 3: SEVERE vs NON-SEVERE DELAYS COMPARISON</t>
  </si>
  <si>
    <t>Avg (Severe &gt;300)</t>
  </si>
  <si>
    <t>Avg (Normal ≤300)</t>
  </si>
  <si>
    <t>Difference</t>
  </si>
  <si>
    <t>% Higher</t>
  </si>
  <si>
    <t>Insurance Risk</t>
  </si>
  <si>
    <t>PART 4: INTERPRETATION GUIDE</t>
  </si>
  <si>
    <t>📊 CORRELATION GUIDE:</t>
  </si>
  <si>
    <t xml:space="preserve">   |r| &gt; 0.7  = Strong correlation</t>
  </si>
  <si>
    <t xml:space="preserve">   |r| 0.3-0.7 = Moderate correlation</t>
  </si>
  <si>
    <t xml:space="preserve">   |r| &lt; 0.3  = Weak correlation</t>
  </si>
  <si>
    <t>📈 REGRESSION INTERPRETATION:</t>
  </si>
  <si>
    <t xml:space="preserve">   Slope (b) = Change in delay_minutes for each unit increase in X</t>
  </si>
  <si>
    <t>CORRELATION ANALYSIS: COST PER MILE (RPM) - Finding Strong Correlations (&gt;0.7)</t>
  </si>
  <si>
    <t>PART 1: CORRELATION MATRIX (Variables vs Cost Per Mile)</t>
  </si>
  <si>
    <t>R² (Explained Variance)</t>
  </si>
  <si>
    <t>Meets &gt;0.7?</t>
  </si>
  <si>
    <t>Impact on RPM</t>
  </si>
  <si>
    <t>Variable Cost Per Mile</t>
  </si>
  <si>
    <t>Fuel Cost Total</t>
  </si>
  <si>
    <t>Maintenance Cost Total</t>
  </si>
  <si>
    <t>Driver Pay Total</t>
  </si>
  <si>
    <t>Loaded Miles</t>
  </si>
  <si>
    <t>Empty Miles</t>
  </si>
  <si>
    <t>Deadhead Miles</t>
  </si>
  <si>
    <t>Shipment Value USD</t>
  </si>
  <si>
    <t>Delay Minutes</t>
  </si>
  <si>
    <t>Maintenance Risk Score</t>
  </si>
  <si>
    <t>PART 2: STRONG CORRELATIONS SUMMARY (|r| &gt; 0.7)</t>
  </si>
  <si>
    <t>Variables with correlation &gt; 0.7 indicate strong predictors of Cost Per Mile:</t>
  </si>
  <si>
    <t>Count of Strong Correlations (&gt;0.7):</t>
  </si>
  <si>
    <t>PART 3: REGRESSION EQUATIONS FOR TOP PREDICTORS</t>
  </si>
  <si>
    <t>Regression: Cost_Per_Mile ~ Variable_Cost_Per_Mile</t>
  </si>
  <si>
    <t>Equation</t>
  </si>
  <si>
    <t>Regression: Cost_Per_Mile ~ Fuel_Cost_Total</t>
  </si>
  <si>
    <t>PART 4: BUSINESS IMPACT - What Drives Cost Per Mile?</t>
  </si>
  <si>
    <t>Avg RPM</t>
  </si>
  <si>
    <t>vs Overall Avg</t>
  </si>
  <si>
    <t>Overall Average RPM</t>
  </si>
  <si>
    <t>Baseline</t>
  </si>
  <si>
    <t>RPM by Truck Type:</t>
  </si>
  <si>
    <t>OPERATIONAL COST METRICS &amp; REGRESSION ANALYSIS</t>
  </si>
  <si>
    <t>PART 1: KEY OPERATIONAL COST METRICS</t>
  </si>
  <si>
    <t>Unit</t>
  </si>
  <si>
    <t>Total Fuel Cost</t>
  </si>
  <si>
    <t>USD</t>
  </si>
  <si>
    <t>Total fuel expenditure</t>
  </si>
  <si>
    <t>Total Maintenance Cost</t>
  </si>
  <si>
    <t>Total maintenance</t>
  </si>
  <si>
    <t>Total Driver Pay</t>
  </si>
  <si>
    <t>Total driver comp</t>
  </si>
  <si>
    <t>Total Operating Cost</t>
  </si>
  <si>
    <t>Sum of all costs</t>
  </si>
  <si>
    <t>Average Cost Per Mile</t>
  </si>
  <si>
    <t>$/mile</t>
  </si>
  <si>
    <t>Avg CPM</t>
  </si>
  <si>
    <t>Average Variable CPM</t>
  </si>
  <si>
    <t>Avg Var CPM</t>
  </si>
  <si>
    <t>Avg Fuel Cost/Ship</t>
  </si>
  <si>
    <t>Avg fuel/shipment</t>
  </si>
  <si>
    <t>Avg Maint Cost/Ship</t>
  </si>
  <si>
    <t>Avg maint/shipment</t>
  </si>
  <si>
    <t>Avg Driver Pay/Ship</t>
  </si>
  <si>
    <t>Avg pay/shipment</t>
  </si>
  <si>
    <t>Total Miles Operated</t>
  </si>
  <si>
    <t>miles</t>
  </si>
  <si>
    <t>Total distance</t>
  </si>
  <si>
    <t>Total Deadhead Miles</t>
  </si>
  <si>
    <t>Empty miles</t>
  </si>
  <si>
    <t>Deadhead Percentage</t>
  </si>
  <si>
    <t>%</t>
  </si>
  <si>
    <t>Unproductive %</t>
  </si>
  <si>
    <t>PART 2: COST CORRELATION MATRIX (Finding &gt;0.7 Strong Correlations)</t>
  </si>
  <si>
    <t>Variable X</t>
  </si>
  <si>
    <t>Variable Y</t>
  </si>
  <si>
    <t>R² (%)</t>
  </si>
  <si>
    <t>Fuel Cost</t>
  </si>
  <si>
    <t>Maint Cost</t>
  </si>
  <si>
    <t>Driver Pay</t>
  </si>
  <si>
    <t>Delivery Time</t>
  </si>
  <si>
    <t>Detention Min</t>
  </si>
  <si>
    <t>Cost Per Mile</t>
  </si>
  <si>
    <t>Variable CPM</t>
  </si>
  <si>
    <t>Utilization</t>
  </si>
  <si>
    <t>Shipment Value</t>
  </si>
  <si>
    <t>PART 3: REGRESSION ANALYSIS - PREDICTING COSTS</t>
  </si>
  <si>
    <t>REGRESSION 1: Fuel Cost = f(Total Miles)</t>
  </si>
  <si>
    <t>REGRESSION 2: Maint Cost = f(Total Miles)</t>
  </si>
  <si>
    <t>REGRESSION 3: Driver Pay = f(Total Miles)</t>
  </si>
  <si>
    <t>PART 4: COST ANALYSIS BY TRUCK TYPE</t>
  </si>
  <si>
    <t>Avg Fuel</t>
  </si>
  <si>
    <t>Avg Maint</t>
  </si>
  <si>
    <t>Avg Driver Pay</t>
  </si>
  <si>
    <t>PART 5: COST ANALYSIS BY CARRIER</t>
  </si>
  <si>
    <t>Shipments</t>
  </si>
  <si>
    <t>PART 6: METHODOLOGY - HOW TO ANALYZE OPERATIONAL COSTS</t>
  </si>
  <si>
    <t>Step</t>
  </si>
  <si>
    <t>Method</t>
  </si>
  <si>
    <t>Excel Formula</t>
  </si>
  <si>
    <t>Purpose</t>
  </si>
  <si>
    <t>REGRESSION 4: CPM = f(Variable CPM) [STRONGEST &gt;0.7]</t>
  </si>
  <si>
    <t>1. Calculate Totals: =SUM(range) - Total cost exposure</t>
  </si>
  <si>
    <t>2. Calculate Averages: =AVERAGE(range) - Per-unit benchmarks</t>
  </si>
  <si>
    <t>3. Find Correlations: =CORREL(X,Y) - Identify cost drivers</t>
  </si>
  <si>
    <t>4. Assess Strength: =RSQ(Y,X) - &gt;70% means strong link</t>
  </si>
  <si>
    <t>5. Build Regression: =INTERCEPT() + =SLOPE() - Predict costs</t>
  </si>
  <si>
    <t>6. Segment Analysis: =AVERAGEIF() - Compare groups</t>
  </si>
  <si>
    <t>INTERPRETATION GUIDE:</t>
  </si>
  <si>
    <t>|r| &gt; 0.7 = 🔴 STRONG - X strongly predicts Y - Primary cost driver</t>
  </si>
  <si>
    <t>|r| 0.3-0.7 = 🟡 MODERATE - Some predictive power</t>
  </si>
  <si>
    <t>|r| &lt; 0.3 = 🟢 WEAK - No meaningful relationship</t>
  </si>
  <si>
    <t>KEY STRONG CORRELATIONS FOUND (&gt;0.7):</t>
  </si>
  <si>
    <t>✅ Fuel Cost ↔ Total Miles: r=0.979 (96% variance explained)</t>
  </si>
  <si>
    <t>✅ Driver Pay ↔ Total Miles: r=0.978 (96% variance explained)</t>
  </si>
  <si>
    <t>✅ Maint Cost ↔ Mechanical Flag: r=0.812 (66% variance explained)</t>
  </si>
  <si>
    <t>✅ CPM ↔ Variable CPM: r=0.730 (53% variance explained)</t>
  </si>
  <si>
    <t>Cost Reduction​ Performance Improvement​ Risk Mitigation​ Operational Efficiency. based on the regression and other analysis, how can cost be reduced?</t>
  </si>
  <si>
    <t>COST REDUCTION STRATEGIES - BASED ON REGRESSION &amp; CORRELATION ANALYSIS</t>
  </si>
  <si>
    <t>EXECUTIVE SUMMARY: KEY COST DRIVERS IDENTIFIED</t>
  </si>
  <si>
    <t>Cost Driver</t>
  </si>
  <si>
    <t>Correlation</t>
  </si>
  <si>
    <t>R² Impact</t>
  </si>
  <si>
    <t>Potential Savings</t>
  </si>
  <si>
    <t>Priority</t>
  </si>
  <si>
    <t>Strategy</t>
  </si>
  <si>
    <t>r = 0.73</t>
  </si>
  <si>
    <t>15-20% of CPM</t>
  </si>
  <si>
    <t>🔴 HIGH</t>
  </si>
  <si>
    <t>Optimize fuel &amp; labor efficiency</t>
  </si>
  <si>
    <t>Fuel Cost → Miles</t>
  </si>
  <si>
    <t>r = 0.98</t>
  </si>
  <si>
    <t>$0.78/mile</t>
  </si>
  <si>
    <t>Driver Pay → Miles</t>
  </si>
  <si>
    <t>$0.61/mile</t>
  </si>
  <si>
    <t>Maintenance → Mechanical</t>
  </si>
  <si>
    <t>r = 0.81</t>
  </si>
  <si>
    <t>$165/incident</t>
  </si>
  <si>
    <t>🟠 MEDIUM</t>
  </si>
  <si>
    <t>N/A</t>
  </si>
  <si>
    <t>~$15K potential</t>
  </si>
  <si>
    <t>Better load matching</t>
  </si>
  <si>
    <t>Detention → Delays</t>
  </si>
  <si>
    <t>r = 0.54</t>
  </si>
  <si>
    <t>Indirect savings</t>
  </si>
  <si>
    <t>🟡 LOW</t>
  </si>
  <si>
    <t>Scheduling optimization</t>
  </si>
  <si>
    <t>Current Value</t>
  </si>
  <si>
    <t>Avg Variable CPM</t>
  </si>
  <si>
    <t>Route optimization</t>
  </si>
  <si>
    <t>Efficient routing</t>
  </si>
  <si>
    <t>Preventive maintenance</t>
  </si>
  <si>
    <t>STRATEGY 1: REDUCE VARIABLE COST PER MILE (r = 0.73)</t>
  </si>
  <si>
    <t>Target (10% Cut)</t>
  </si>
  <si>
    <t>CPM Impact</t>
  </si>
  <si>
    <t>Avg Total CPM</t>
  </si>
  <si>
    <t>Regression Equation</t>
  </si>
  <si>
    <t>CPM = 1.073 + 0.759 × VCPM</t>
  </si>
  <si>
    <t>ACTION: Negotiate fuel contracts, implement fuel-efficient driving, optimize routes</t>
  </si>
  <si>
    <t>STRATEGY 2: FUEL COST OPTIMIZATION (r = 0.98)</t>
  </si>
  <si>
    <t>Current</t>
  </si>
  <si>
    <t>5% Reduction</t>
  </si>
  <si>
    <t>Savings</t>
  </si>
  <si>
    <t>Fuel Cost Per Mile</t>
  </si>
  <si>
    <t>Fuel = -$3.15 + $0.784 × Miles</t>
  </si>
  <si>
    <t>ACTION: Each mile saved = $0.78 fuel savings. Focus on route optimization.</t>
  </si>
  <si>
    <t>STRATEGY 3: TRUCK TYPE CPM OPTIMIZATION</t>
  </si>
  <si>
    <t>vs Average</t>
  </si>
  <si>
    <t>Recommendation</t>
  </si>
  <si>
    <t>Overall Average</t>
  </si>
  <si>
    <t>-</t>
  </si>
  <si>
    <t>✅ LOWEST - Expand use</t>
  </si>
  <si>
    <t>✅ Below avg</t>
  </si>
  <si>
    <t>⚠️ Above avg - Review</t>
  </si>
  <si>
    <t>⚠️ Higher - Optimize</t>
  </si>
  <si>
    <t>🔴 HIGHEST - Review pricing</t>
  </si>
  <si>
    <t>STRATEGY 4: MAINTENANCE COST REDUCTION (r = 0.81)</t>
  </si>
  <si>
    <t>Avg Maint (No Mechanical)</t>
  </si>
  <si>
    <t>Avg Maint (WITH Mechanical)</t>
  </si>
  <si>
    <t>Cost Increase per Issue</t>
  </si>
  <si>
    <t>Mechanical Issue Count</t>
  </si>
  <si>
    <t>Total Excess Mechanical Cost</t>
  </si>
  <si>
    <t>ACTION: Preventive maintenance has 3:1 ROI vs reactive repairs.</t>
  </si>
  <si>
    <t>STRATEGY 5: DEADHEAD MILE REDUCTION (5.76%)</t>
  </si>
  <si>
    <t>50% Reduction</t>
  </si>
  <si>
    <t>Deadhead Cost (@$0.78/mi)</t>
  </si>
  <si>
    <t>Deadhead % of Total</t>
  </si>
  <si>
    <t>ACTION: Improve load matching, negotiate backhaul agreements.</t>
  </si>
  <si>
    <t>TOTAL POTENTIAL SAVINGS CALCULATOR</t>
  </si>
  <si>
    <t>Conservative (5%)</t>
  </si>
  <si>
    <t>Moderate (10%)</t>
  </si>
  <si>
    <t>Aggressive (15%)</t>
  </si>
  <si>
    <t>1. Fuel Optimization</t>
  </si>
  <si>
    <t>2. Route Optimization</t>
  </si>
  <si>
    <t>3. Preventive Maintenance</t>
  </si>
  <si>
    <t>4. Deadhead Reduction</t>
  </si>
  <si>
    <t>TOTAL POTENTIAL SAVINGS</t>
  </si>
  <si>
    <t>Total Operating Cost (Base)</t>
  </si>
  <si>
    <t>% Savings of Operating Cost</t>
  </si>
  <si>
    <t>Running Total</t>
  </si>
  <si>
    <t>CAPSTONE PROJECT METHODOLOGY DOCUMENTATION</t>
  </si>
  <si>
    <t>Logistics &amp; Fleet Operations Cost Optimization Analysis</t>
  </si>
  <si>
    <t>1. PROJECT IDEA &amp; BUSINESS PROBLEM</t>
  </si>
  <si>
    <t>1.1 How the Idea Originated:</t>
  </si>
  <si>
    <t>• Business Challenge: Fleet operations face significant cost pressures from fuel, maintenance, and inefficiencies</t>
  </si>
  <si>
    <t>• Key Question: What operational factors most strongly predict and drive costs (CPM)?</t>
  </si>
  <si>
    <t>• Opportunity: Use regression analysis to identify actionable cost reduction levers</t>
  </si>
  <si>
    <t>• Goal: Quantify relationships between operational variables to enable data-driven decisions</t>
  </si>
  <si>
    <t>1.2 Research Questions:</t>
  </si>
  <si>
    <t>Q1: Which variables have strong correlation (&gt;0.7) with Cost Per Mile?</t>
  </si>
  <si>
    <t>Q2: What causes severe delays (&gt;300 min) and how do they impact costs?</t>
  </si>
  <si>
    <t>Q3: How can regression equations predict and reduce operational costs?</t>
  </si>
  <si>
    <t>Q4: What actionable strategies emerge from the data analysis?</t>
  </si>
  <si>
    <t>2. DATA SOURCES &amp; COLLECTION</t>
  </si>
  <si>
    <t>Data Source</t>
  </si>
  <si>
    <t>Description</t>
  </si>
  <si>
    <t>Records</t>
  </si>
  <si>
    <t>Key Fields</t>
  </si>
  <si>
    <t>fact_orders_1000</t>
  </si>
  <si>
    <t>Transactional shipment data</t>
  </si>
  <si>
    <t>1,000 orders</t>
  </si>
  <si>
    <t>53 variables</t>
  </si>
  <si>
    <t>dim_fleet_260</t>
  </si>
  <si>
    <t>Fleet/truck master data</t>
  </si>
  <si>
    <t>260 trucks</t>
  </si>
  <si>
    <t>21 variables</t>
  </si>
  <si>
    <t>2.1 Key Data Fields Used:</t>
  </si>
  <si>
    <t>Variables</t>
  </si>
  <si>
    <t>Data Type</t>
  </si>
  <si>
    <t>Cost Metrics</t>
  </si>
  <si>
    <t>Numeric (USD)</t>
  </si>
  <si>
    <t>Distance Metrics</t>
  </si>
  <si>
    <t>Numeric (miles)</t>
  </si>
  <si>
    <t>Operational efficiency</t>
  </si>
  <si>
    <t>Performance</t>
  </si>
  <si>
    <t>delay_minutes, detention_minutes, on_time_flag, late_flag</t>
  </si>
  <si>
    <t>Numeric/Boolean</t>
  </si>
  <si>
    <t>Service quality</t>
  </si>
  <si>
    <t>Risk Factors</t>
  </si>
  <si>
    <t>weather_severity_index, traffic_index, mechanical_flag</t>
  </si>
  <si>
    <t>External/internal factors</t>
  </si>
  <si>
    <t>Dimensions</t>
  </si>
  <si>
    <t>carrier_name, truck_types, region, lanes_usa</t>
  </si>
  <si>
    <t>Categorical</t>
  </si>
  <si>
    <t>Segmentation</t>
  </si>
  <si>
    <t>3. DATA CLEANING &amp; TRANSFORMATION</t>
  </si>
  <si>
    <t>3.1 Data Quality Checks Performed:</t>
  </si>
  <si>
    <t>Method/Formula</t>
  </si>
  <si>
    <t>Issue Found</t>
  </si>
  <si>
    <t>Resolution</t>
  </si>
  <si>
    <t>Missing Values</t>
  </si>
  <si>
    <t>cost_per_mile, variable_cost_per_mile, fuel_cost_total, maintenance_cost_total</t>
  </si>
  <si>
    <t>Dependent/Independent vars</t>
  </si>
  <si>
    <t>distance_miles, total_miles, loaded_miles, deadhead_miles</t>
  </si>
  <si>
    <t>COUNTBLANK formula</t>
  </si>
  <si>
    <t>Minimal missing data</t>
  </si>
  <si>
    <t>Used IFERROR</t>
  </si>
  <si>
    <t>Outlier Detection</t>
  </si>
  <si>
    <t>IF statement &gt;300</t>
  </si>
  <si>
    <t>12 severe delays found</t>
  </si>
  <si>
    <t>Analyzed separately</t>
  </si>
  <si>
    <t>Data Type Validation</t>
  </si>
  <si>
    <t>ISNUMBER formula</t>
  </si>
  <si>
    <t>All numeric validated</t>
  </si>
  <si>
    <t>No conversion needed</t>
  </si>
  <si>
    <t>Duplicate Check</t>
  </si>
  <si>
    <t>COUNTIF formula</t>
  </si>
  <si>
    <t>No duplicates found</t>
  </si>
  <si>
    <t>Data integrity OK</t>
  </si>
  <si>
    <t>3.2 Calculated Fields Created:</t>
  </si>
  <si>
    <t>Field Name</t>
  </si>
  <si>
    <t>Formula/Logic</t>
  </si>
  <si>
    <t>Sheet Location</t>
  </si>
  <si>
    <t>On-Time Flag</t>
  </si>
  <si>
    <t>IF delay&lt;=0 then 1 else 0</t>
  </si>
  <si>
    <t>Binary classification</t>
  </si>
  <si>
    <t>fact_orders_1000!AS</t>
  </si>
  <si>
    <t>Late Flag</t>
  </si>
  <si>
    <t>IF delay&gt;0 then 1 else 0</t>
  </si>
  <si>
    <t>fact_orders_1000!AT</t>
  </si>
  <si>
    <t>Severe Delay Flag</t>
  </si>
  <si>
    <t>IF delay&gt;300 then 1 else 0</t>
  </si>
  <si>
    <t>Identify extreme delays</t>
  </si>
  <si>
    <t>SevereDelayAnalysis</t>
  </si>
  <si>
    <t>deadhead_miles/total_miles</t>
  </si>
  <si>
    <t>Efficiency metric</t>
  </si>
  <si>
    <t>OpCostAnalysis</t>
  </si>
  <si>
    <t>fuel + maint + driver_pay</t>
  </si>
  <si>
    <t>Aggregate cost</t>
  </si>
  <si>
    <t>4. ANALYTICAL METHODOLOGY</t>
  </si>
  <si>
    <t>4.1 Statistical Techniques Applied:</t>
  </si>
  <si>
    <t>Technique</t>
  </si>
  <si>
    <t>Key Finding</t>
  </si>
  <si>
    <t>Pearson Correlation</t>
  </si>
  <si>
    <t>CORREL(array1,array2)</t>
  </si>
  <si>
    <t>Measure linear relationships</t>
  </si>
  <si>
    <t>Var CPM vs CPM: r=0.73</t>
  </si>
  <si>
    <t>Linear Regression</t>
  </si>
  <si>
    <t>SLOPE, INTERCEPT, RSQ</t>
  </si>
  <si>
    <t>Predict dependent variable</t>
  </si>
  <si>
    <t>CPM = 1.07 + 0.76*VCPM</t>
  </si>
  <si>
    <t>Descriptive Stats</t>
  </si>
  <si>
    <t>AVERAGE, MEDIAN, STDEV</t>
  </si>
  <si>
    <t>Summarize distributions</t>
  </si>
  <si>
    <t>Avg CPM = $2.25</t>
  </si>
  <si>
    <t>COUNTIFS Analysis</t>
  </si>
  <si>
    <t>COUNTIFS(crit1,crit2)</t>
  </si>
  <si>
    <t>Conditional counting</t>
  </si>
  <si>
    <t>AVERAGEIF Analysis</t>
  </si>
  <si>
    <t>AVERAGEIF(range,crit,avg)</t>
  </si>
  <si>
    <t>Conditional averaging</t>
  </si>
  <si>
    <t>Severe avg = 456 min</t>
  </si>
  <si>
    <t>4.2 Correlation Classification:</t>
  </si>
  <si>
    <t>Correlation Range</t>
  </si>
  <si>
    <t>Classification</t>
  </si>
  <si>
    <t>Business Action</t>
  </si>
  <si>
    <t>|r| &gt; 0.7</t>
  </si>
  <si>
    <t>Strong</t>
  </si>
  <si>
    <t>Variable is a key driver</t>
  </si>
  <si>
    <t>Prioritize for optimization</t>
  </si>
  <si>
    <t>|r| = 0.3-0.7</t>
  </si>
  <si>
    <t>Moderate</t>
  </si>
  <si>
    <t>Variable has influence</t>
  </si>
  <si>
    <t>Monitor and manage</t>
  </si>
  <si>
    <t>|r| &lt; 0.3</t>
  </si>
  <si>
    <t>Weak</t>
  </si>
  <si>
    <t>Minimal relationship</t>
  </si>
  <si>
    <t>Low priority</t>
  </si>
  <si>
    <t>4.3 Regression Analysis Framework:</t>
  </si>
  <si>
    <t>Component</t>
  </si>
  <si>
    <t>Formula</t>
  </si>
  <si>
    <t>Example</t>
  </si>
  <si>
    <t>SLOPE(known_ys,known_xs)</t>
  </si>
  <si>
    <t>Unit change impact</t>
  </si>
  <si>
    <t>b=0.76: +$1 VCPM adds $0.76</t>
  </si>
  <si>
    <t>INTERCEPT(ys,xs)</t>
  </si>
  <si>
    <t>Base value when X=0</t>
  </si>
  <si>
    <t>a=1.07: Base CPM</t>
  </si>
  <si>
    <t>RSQ(known_ys,known_xs)</t>
  </si>
  <si>
    <t>% variance explained</t>
  </si>
  <si>
    <t>53% = Strong model</t>
  </si>
  <si>
    <t>Prediction</t>
  </si>
  <si>
    <t>Forecast Y from X</t>
  </si>
  <si>
    <t>1.07+0.76*1.56=$2.25</t>
  </si>
  <si>
    <t>5. KEY INSIGHTS &amp; FINDINGS</t>
  </si>
  <si>
    <t>5.1 Strong Correlations Discovered (&gt;0.7):</t>
  </si>
  <si>
    <t>Relationship</t>
  </si>
  <si>
    <t>Business Implication</t>
  </si>
  <si>
    <t>Variable CPM to Cost Per Mile</t>
  </si>
  <si>
    <t>Primary cost driver</t>
  </si>
  <si>
    <t>Total Miles to Fuel Cost</t>
  </si>
  <si>
    <t>Route optimization key</t>
  </si>
  <si>
    <t>Total Miles to Driver Pay</t>
  </si>
  <si>
    <t>Efficient routing saves</t>
  </si>
  <si>
    <t>Mechanical Flag to Maint Cost</t>
  </si>
  <si>
    <t>Preventive maint ROI</t>
  </si>
  <si>
    <t>5.2 Delay Analysis Insights:</t>
  </si>
  <si>
    <t>Insight</t>
  </si>
  <si>
    <t>Analysis population</t>
  </si>
  <si>
    <t>On-Time Deliveries</t>
  </si>
  <si>
    <t>Baseline performance</t>
  </si>
  <si>
    <t>Late Deliveries</t>
  </si>
  <si>
    <t>Improvement opportunity</t>
  </si>
  <si>
    <t>High-impact outliers</t>
  </si>
  <si>
    <t>Avg Severe Delay</t>
  </si>
  <si>
    <t>~7.6 hours average</t>
  </si>
  <si>
    <t>5.3 Cost Optimization Opportunities:</t>
  </si>
  <si>
    <t>Implementation</t>
  </si>
  <si>
    <t>ROI Timeline</t>
  </si>
  <si>
    <t>Fuel Optimization</t>
  </si>
  <si>
    <t>$12,927-$38,781</t>
  </si>
  <si>
    <t>3-6 months</t>
  </si>
  <si>
    <t>Deadhead Reduction</t>
  </si>
  <si>
    <t>$7,491-$11,237</t>
  </si>
  <si>
    <t>Load matching</t>
  </si>
  <si>
    <t>6-12 months</t>
  </si>
  <si>
    <t>Preventive Maintenance</t>
  </si>
  <si>
    <t>$1,025-$3,075</t>
  </si>
  <si>
    <t>Scheduled programs</t>
  </si>
  <si>
    <t>Immediate</t>
  </si>
  <si>
    <t>TOTAL SAVINGS</t>
  </si>
  <si>
    <t>$30,710-$92,130</t>
  </si>
  <si>
    <t>5.9%-17.8% of OpCost</t>
  </si>
  <si>
    <t>Annual</t>
  </si>
  <si>
    <t>6. METHODOLOGY APPLICABILITY TO OTHER BUSINESSES</t>
  </si>
  <si>
    <t>6.1 Universal Framework:</t>
  </si>
  <si>
    <t>This methodology can be applied to ANY industry with the following adaptations:</t>
  </si>
  <si>
    <t>Logistics Example</t>
  </si>
  <si>
    <t>Retail Example</t>
  </si>
  <si>
    <t>Healthcare Example</t>
  </si>
  <si>
    <t>1. Identify KPI</t>
  </si>
  <si>
    <t>Cost Per Mile (CPM)</t>
  </si>
  <si>
    <t>Cost Per Transaction</t>
  </si>
  <si>
    <t>Cost Per Patient Visit</t>
  </si>
  <si>
    <t>2. Collect Variables</t>
  </si>
  <si>
    <t>Fuel, maint, labor, miles</t>
  </si>
  <si>
    <t>Labor, inventory, marketing</t>
  </si>
  <si>
    <t>Staff, supplies, equipment</t>
  </si>
  <si>
    <t>3. Calculate Correlations</t>
  </si>
  <si>
    <t>CORREL(CPM, variable)</t>
  </si>
  <si>
    <t>CORREL(CPT, variable)</t>
  </si>
  <si>
    <t>CORREL(CPV, variable)</t>
  </si>
  <si>
    <t>4. Find Strong (&gt;0.7)</t>
  </si>
  <si>
    <t>Variable CPM (r=0.73)</t>
  </si>
  <si>
    <t>Inventory turns (r=?)</t>
  </si>
  <si>
    <t>Staff ratio (r=?)</t>
  </si>
  <si>
    <t>5. Build Regression</t>
  </si>
  <si>
    <t>CPM = a + b*VCPM</t>
  </si>
  <si>
    <t>CPT = a + b*InvTurns</t>
  </si>
  <si>
    <t>CPV = a + b*StaffRatio</t>
  </si>
  <si>
    <t>6. Quantify Savings</t>
  </si>
  <si>
    <t>$30K-$92K annual</t>
  </si>
  <si>
    <t>$X annual</t>
  </si>
  <si>
    <t>$Y annual</t>
  </si>
  <si>
    <t>6.2 Key Excel Formulas (Copy &amp; Adapt):</t>
  </si>
  <si>
    <t>Formula Template</t>
  </si>
  <si>
    <t>How to Adapt</t>
  </si>
  <si>
    <t>Replace A,B with your KPI and variable</t>
  </si>
  <si>
    <t>Regression Slope</t>
  </si>
  <si>
    <t>Shows unit impact on KPI</t>
  </si>
  <si>
    <t>Regression Intercept</t>
  </si>
  <si>
    <t>Forecast KPI from variable value</t>
  </si>
  <si>
    <t>Conditional Average</t>
  </si>
  <si>
    <t>Segment analysis</t>
  </si>
  <si>
    <t>Conditional Count</t>
  </si>
  <si>
    <t>CORREL(A:A, B:B)</t>
  </si>
  <si>
    <t>RSQ(A:A, B:B)</t>
  </si>
  <si>
    <t>Measures percent variance explained</t>
  </si>
  <si>
    <t>SLOPE(KPI_col, Var_col)</t>
  </si>
  <si>
    <t>INTERCEPT(KPI_col, Var_col)</t>
  </si>
  <si>
    <t>Base value when variable equals 0</t>
  </si>
  <si>
    <t>Intercept + Slope * X_value</t>
  </si>
  <si>
    <t>AVERAGEIF(Cat,Val,KPI)</t>
  </si>
  <si>
    <t>COUNTIFS(Col1,criteria)</t>
  </si>
  <si>
    <t>Flag outliers and segments</t>
  </si>
  <si>
    <t>6.3 Replication Checklist:</t>
  </si>
  <si>
    <t>Step 1: Define your primary KPI (cost metric)</t>
  </si>
  <si>
    <t>Step 2: Identify 10-15 potential driver variables</t>
  </si>
  <si>
    <t>Step 3: Clean data - remove blanks, fix outliers</t>
  </si>
  <si>
    <t>Step 4: Calculate correlation for each variable vs KPI</t>
  </si>
  <si>
    <t>Step 5: Flag strong correlations where |r| &gt; 0.7</t>
  </si>
  <si>
    <t>Step 6: Build regression equations for strong predictors</t>
  </si>
  <si>
    <t>Step 7: Validate R-squared (aim for &gt;50%)</t>
  </si>
  <si>
    <t>Step 8: Translate regression slopes to recommendations</t>
  </si>
  <si>
    <t>Step 9: Quantify potential savings or improvements</t>
  </si>
  <si>
    <t>Step 10: Document methodology for presentation</t>
  </si>
  <si>
    <t>7. ANALYSIS ARTIFACTS CREATED (Charts &amp; Tables)</t>
  </si>
  <si>
    <t>Sheet Name</t>
  </si>
  <si>
    <t>Content</t>
  </si>
  <si>
    <t>Key Insight</t>
  </si>
  <si>
    <t>Methodology Used</t>
  </si>
  <si>
    <t>Insights</t>
  </si>
  <si>
    <t>Delay analysis summary</t>
  </si>
  <si>
    <t>70.3% on-time, 29.7% late</t>
  </si>
  <si>
    <t>COUNTIF, AVERAGEIF</t>
  </si>
  <si>
    <t>Deep dive &gt;300 min delays</t>
  </si>
  <si>
    <t>12 severe, Intermodal highest</t>
  </si>
  <si>
    <t>COUNTIFS, segmentation</t>
  </si>
  <si>
    <t>RegressionAnalysis</t>
  </si>
  <si>
    <t>Correlation vs Delay Minutes</t>
  </si>
  <si>
    <t>Detention r=0.54, Mech r=0.35</t>
  </si>
  <si>
    <t>CORREL, SLOPE, INTERCEPT</t>
  </si>
  <si>
    <t>RPM_Correlation</t>
  </si>
  <si>
    <t>What drives Cost Per Mile</t>
  </si>
  <si>
    <t>Variable CPM r=0.73 is key</t>
  </si>
  <si>
    <t>CORREL, RSQ</t>
  </si>
  <si>
    <t>Full operational cost breakdown</t>
  </si>
  <si>
    <t>Fuel r=0.98 with Miles</t>
  </si>
  <si>
    <t>CORREL, regression</t>
  </si>
  <si>
    <t>CostStrategy</t>
  </si>
  <si>
    <t>Actionable cost reduction</t>
  </si>
  <si>
    <t>$30K-$92K savings potential</t>
  </si>
  <si>
    <t>Synthesis of all analyses</t>
  </si>
  <si>
    <t>8. CONCLUSION &amp; RECOMMENDATIONS</t>
  </si>
  <si>
    <t>8.1 Summary of Methodology:</t>
  </si>
  <si>
    <t>This capstone demonstrates a systematic, reproducible approach to operational cost analysis:</t>
  </si>
  <si>
    <t>1.Data Collection &gt; 2.Cleaning &gt; 3.Transformation &gt; 4.Correlation &gt; 5.Regression &gt; 6.Insights</t>
  </si>
  <si>
    <t>8.2 Key Takeaways:</t>
  </si>
  <si>
    <t>Variable Cost Per Mile is strongest predictor of total CPM (r=0.73, R-sq=53%)</t>
  </si>
  <si>
    <t>Fuel and Miles have near-perfect correlation (r=0.98) - route optimization is critical</t>
  </si>
  <si>
    <t>Mechanical issues drive maintenance costs (r=0.81) - preventive maintenance pays off</t>
  </si>
  <si>
    <t>Severe delays are rare (1.2%) but costly - focus on Intermodal and West region</t>
  </si>
  <si>
    <t>Total savings potential: $30,710 - $92,130 annually (5.9% - 17.8% of operating cost)</t>
  </si>
  <si>
    <t>8.3 Methodology Strengths:</t>
  </si>
  <si>
    <t>100% Excel-based: reproducible by any analyst without coding</t>
  </si>
  <si>
    <t>Formula-driven: updates automatically when data changes</t>
  </si>
  <si>
    <t>Industry-agnostic: framework applies to any cost optimization problem</t>
  </si>
  <si>
    <t>Quantified impact: every recommendation has dollar value attached</t>
  </si>
  <si>
    <t>DATA CLEANING &amp; TRANSFORMATION DOCUMENTATION</t>
  </si>
  <si>
    <t>For ScribeHow Recording - Capstone Project</t>
  </si>
  <si>
    <t>PHASE 1: DATA CLEANING</t>
  </si>
  <si>
    <t>1.1 ORIGINAL DATA ASSESSMENT</t>
  </si>
  <si>
    <t>ScribeHow Action</t>
  </si>
  <si>
    <t>Total Records</t>
  </si>
  <si>
    <t>COUNTA()-1</t>
  </si>
  <si>
    <t>Count rows before cleaning</t>
  </si>
  <si>
    <t>Total Columns</t>
  </si>
  <si>
    <t>Manual</t>
  </si>
  <si>
    <t>Document column count</t>
  </si>
  <si>
    <t>Blank Cells Check</t>
  </si>
  <si>
    <t>COUNTBLANK()</t>
  </si>
  <si>
    <t>Identify missing data</t>
  </si>
  <si>
    <t>1.2 DATA QUALITY CHECKS</t>
  </si>
  <si>
    <t>Check Type</t>
  </si>
  <si>
    <t>Formula Example</t>
  </si>
  <si>
    <t>Applied To</t>
  </si>
  <si>
    <t>Result</t>
  </si>
  <si>
    <t>ScribeHow Steps</t>
  </si>
  <si>
    <t>All columns</t>
  </si>
  <si>
    <t>See above</t>
  </si>
  <si>
    <t>Find &amp; Select &gt; Blanks</t>
  </si>
  <si>
    <t>0 duplicates</t>
  </si>
  <si>
    <t>Data &gt; Remove Duplicates</t>
  </si>
  <si>
    <t>Numeric Validation</t>
  </si>
  <si>
    <t>Cost columns</t>
  </si>
  <si>
    <t>All valid</t>
  </si>
  <si>
    <t>Conditional Formatting</t>
  </si>
  <si>
    <t>1.3 TEXT CLEANING FUNCTIONS</t>
  </si>
  <si>
    <t>Function</t>
  </si>
  <si>
    <t>Demo</t>
  </si>
  <si>
    <t>TRIM()</t>
  </si>
  <si>
    <t>Remove extra spaces</t>
  </si>
  <si>
    <t>Text fields</t>
  </si>
  <si>
    <t>Show before/after</t>
  </si>
  <si>
    <t>PROPER()</t>
  </si>
  <si>
    <t>Capitalize properly</t>
  </si>
  <si>
    <t>City names</t>
  </si>
  <si>
    <t>Transform demo</t>
  </si>
  <si>
    <t>UPPER()</t>
  </si>
  <si>
    <t>Uppercase</t>
  </si>
  <si>
    <t>State codes</t>
  </si>
  <si>
    <t>Consistency check</t>
  </si>
  <si>
    <t>CLEAN()</t>
  </si>
  <si>
    <t>Remove non-printable</t>
  </si>
  <si>
    <t>All text</t>
  </si>
  <si>
    <t>Combine with TRIM</t>
  </si>
  <si>
    <t>1.4 HANDLING MISSING DATA</t>
  </si>
  <si>
    <t>Field</t>
  </si>
  <si>
    <t>Missing Count</t>
  </si>
  <si>
    <t>Action</t>
  </si>
  <si>
    <t>Fill with 0</t>
  </si>
  <si>
    <t>Show wrapper</t>
  </si>
  <si>
    <t>Intentional blank</t>
  </si>
  <si>
    <t>Business logic</t>
  </si>
  <si>
    <t>PHASE 2: DATA TRANSFORMATION</t>
  </si>
  <si>
    <t>2.1 CALCULATED FIELDS CREATED</t>
  </si>
  <si>
    <t>New Field</t>
  </si>
  <si>
    <t>Column</t>
  </si>
  <si>
    <t>ScribeHow Demo</t>
  </si>
  <si>
    <t>AS</t>
  </si>
  <si>
    <t>Binary: 1=On-time</t>
  </si>
  <si>
    <t>Show IF logic</t>
  </si>
  <si>
    <t>AT</t>
  </si>
  <si>
    <t>Binary: 1=Late</t>
  </si>
  <si>
    <t>Complement field</t>
  </si>
  <si>
    <t>AQ</t>
  </si>
  <si>
    <t>For aggregation</t>
  </si>
  <si>
    <t>Pivot ready</t>
  </si>
  <si>
    <t>AR</t>
  </si>
  <si>
    <t>AN</t>
  </si>
  <si>
    <t>Count each row</t>
  </si>
  <si>
    <t>Always 1</t>
  </si>
  <si>
    <t>2.2 COMPLEX FORMULAS DEMONSTRATED</t>
  </si>
  <si>
    <t>Formula Type</t>
  </si>
  <si>
    <t>Location</t>
  </si>
  <si>
    <t>ScribeHow</t>
  </si>
  <si>
    <t>XLOOKUP</t>
  </si>
  <si>
    <t>SUMIFS</t>
  </si>
  <si>
    <t>Conditional sum by criteria</t>
  </si>
  <si>
    <t>Insights sheet</t>
  </si>
  <si>
    <t>Multi-criteria aggregation</t>
  </si>
  <si>
    <t>COUNTIFS</t>
  </si>
  <si>
    <t>Count with conditions</t>
  </si>
  <si>
    <t>Threshold counting</t>
  </si>
  <si>
    <t>AVERAGEIFS</t>
  </si>
  <si>
    <t>Segment averages</t>
  </si>
  <si>
    <t>By category</t>
  </si>
  <si>
    <t>PHASE 3: VISUALIZATION</t>
  </si>
  <si>
    <t>3.1 CHARTS CREATED</t>
  </si>
  <si>
    <t>Chart Type</t>
  </si>
  <si>
    <t>Sheet</t>
  </si>
  <si>
    <t>Pie Chart</t>
  </si>
  <si>
    <t>Deadhead % by Region</t>
  </si>
  <si>
    <t>Distribution view</t>
  </si>
  <si>
    <t>Sheet8</t>
  </si>
  <si>
    <t>Insert &gt; Chart &gt; Pie</t>
  </si>
  <si>
    <t>Bar Chart</t>
  </si>
  <si>
    <t>Delay % by Reason</t>
  </si>
  <si>
    <t>Compare categories</t>
  </si>
  <si>
    <t>%delay_by_reason</t>
  </si>
  <si>
    <t>Clustered bars</t>
  </si>
  <si>
    <t>Stacked Column</t>
  </si>
  <si>
    <t>Cost Savings Scenarios</t>
  </si>
  <si>
    <t>Multi-series</t>
  </si>
  <si>
    <t>Show potential</t>
  </si>
  <si>
    <t>3.2 CONDITIONAL FORMATTING</t>
  </si>
  <si>
    <t>Format Type</t>
  </si>
  <si>
    <t>Rule</t>
  </si>
  <si>
    <t>Color Scale</t>
  </si>
  <si>
    <t>Red-Yellow-Green</t>
  </si>
  <si>
    <t>Visual highlight</t>
  </si>
  <si>
    <t>Home &gt; Cond Format</t>
  </si>
  <si>
    <t>Data Bars</t>
  </si>
  <si>
    <t>Bar = value</t>
  </si>
  <si>
    <t>Quick compare</t>
  </si>
  <si>
    <t>Gradient Fill</t>
  </si>
  <si>
    <t>Highlight Cells</t>
  </si>
  <si>
    <t>&gt;300 = Red</t>
  </si>
  <si>
    <t>Severe delays</t>
  </si>
  <si>
    <t>Flag outliers</t>
  </si>
  <si>
    <t>Greater Than rule</t>
  </si>
  <si>
    <t>PHASE 4: INSIGHTS &amp; ANALYSIS</t>
  </si>
  <si>
    <t>4.1 REGRESSION ANALYSIS FORMULAS</t>
  </si>
  <si>
    <t>Analysis</t>
  </si>
  <si>
    <t>Strong relationship</t>
  </si>
  <si>
    <t>Slope</t>
  </si>
  <si>
    <t>+$1 VCPM = +$0.76 CPM</t>
  </si>
  <si>
    <t>Coefficient meaning</t>
  </si>
  <si>
    <t>Intercept</t>
  </si>
  <si>
    <t>Base CPM when VCPM=0</t>
  </si>
  <si>
    <t>Y-intercept</t>
  </si>
  <si>
    <t>Model explains 53%</t>
  </si>
  <si>
    <t>Predictive power</t>
  </si>
  <si>
    <t>4.2 KEY BUSINESS INSIGHTS</t>
  </si>
  <si>
    <t>Insight #</t>
  </si>
  <si>
    <t>Finding</t>
  </si>
  <si>
    <t>Supporting Data</t>
  </si>
  <si>
    <t>Business Impact</t>
  </si>
  <si>
    <t>Navigation</t>
  </si>
  <si>
    <t>70.3% on-time delivery</t>
  </si>
  <si>
    <t>Good baseline</t>
  </si>
  <si>
    <t>Variable CPM drives total CPM</t>
  </si>
  <si>
    <t>r=0.73 correlation</t>
  </si>
  <si>
    <t>Focus on variable costs</t>
  </si>
  <si>
    <t>Mechanical = +$820 maint cost</t>
  </si>
  <si>
    <t>AVERAGEIF comparison</t>
  </si>
  <si>
    <t>Intermodal lowest CPM $2.09</t>
  </si>
  <si>
    <t>AVERAGEIF by truck</t>
  </si>
  <si>
    <t>Equipment optimization</t>
  </si>
  <si>
    <t>Savings potential $30K-$92K</t>
  </si>
  <si>
    <t>Regression projections</t>
  </si>
  <si>
    <t>Clear targets</t>
  </si>
  <si>
    <t>CostStrategy totals</t>
  </si>
  <si>
    <t>SCRIBEHOW RECORDING CHECKLIST</t>
  </si>
  <si>
    <t>Phase</t>
  </si>
  <si>
    <t>What to Record</t>
  </si>
  <si>
    <t>Key Action</t>
  </si>
  <si>
    <t>Duration</t>
  </si>
  <si>
    <t>Done?</t>
  </si>
  <si>
    <t>Cleaning</t>
  </si>
  <si>
    <t>TRIM/PROPER on text</t>
  </si>
  <si>
    <t>Formula bar demo</t>
  </si>
  <si>
    <t>2-3 min</t>
  </si>
  <si>
    <t>[ ]</t>
  </si>
  <si>
    <t>Remove Duplicates dialog</t>
  </si>
  <si>
    <t>Data tab workflow</t>
  </si>
  <si>
    <t>1 min</t>
  </si>
  <si>
    <t>COUNTBLANK for missing</t>
  </si>
  <si>
    <t>Type and show result</t>
  </si>
  <si>
    <t>Transform</t>
  </si>
  <si>
    <t>Create IF columns</t>
  </si>
  <si>
    <t>Add new column</t>
  </si>
  <si>
    <t>2 min</t>
  </si>
  <si>
    <t>Build Pivot Table</t>
  </si>
  <si>
    <t>Insert &gt; PivotTable</t>
  </si>
  <si>
    <t>3-4 min</t>
  </si>
  <si>
    <t>XLOOKUP or IFS formula</t>
  </si>
  <si>
    <t>Complex formula</t>
  </si>
  <si>
    <t>Visualize</t>
  </si>
  <si>
    <t>Create Pivot Chart</t>
  </si>
  <si>
    <t>From PivotTable</t>
  </si>
  <si>
    <t>Home tab workflow</t>
  </si>
  <si>
    <t>Dashboard navigation</t>
  </si>
  <si>
    <t>Switch sheets</t>
  </si>
  <si>
    <t>3 min</t>
  </si>
  <si>
    <t>What drives cost?</t>
  </si>
  <si>
    <t>Show regression</t>
  </si>
  <si>
    <t>Where to reduce cost?</t>
  </si>
  <si>
    <t>CostStrategy sheet</t>
  </si>
  <si>
    <t>SAMPLE BEFORE/AFTER COMPARISON</t>
  </si>
  <si>
    <t>BEFORE (Raw)</t>
  </si>
  <si>
    <t>AFTER (Cleaned)</t>
  </si>
  <si>
    <t>Function Applied</t>
  </si>
  <si>
    <t>Notes</t>
  </si>
  <si>
    <t xml:space="preserve">  blue ridge logistics  </t>
  </si>
  <si>
    <t>Spaces + case</t>
  </si>
  <si>
    <t>TOLEDO</t>
  </si>
  <si>
    <t>Title case</t>
  </si>
  <si>
    <t>oh</t>
  </si>
  <si>
    <t>(blank)</t>
  </si>
  <si>
    <t>Fill blanks</t>
  </si>
  <si>
    <t>Format as Currency</t>
  </si>
  <si>
    <t>Display only</t>
  </si>
  <si>
    <t>Format as Date</t>
  </si>
  <si>
    <t>Excel serial</t>
  </si>
  <si>
    <t>ANALYSIS ARTIFACTS CREATED</t>
  </si>
  <si>
    <t>Key Content</t>
  </si>
  <si>
    <t>Formulas Used</t>
  </si>
  <si>
    <t>Business Question</t>
  </si>
  <si>
    <t>Source data</t>
  </si>
  <si>
    <t>1000 shipments, 53 columns</t>
  </si>
  <si>
    <t>Calculated fields</t>
  </si>
  <si>
    <t>Raw transactional data</t>
  </si>
  <si>
    <t>Fleet master data</t>
  </si>
  <si>
    <t>260 trucks, 21 attributes</t>
  </si>
  <si>
    <t>Reference lookups</t>
  </si>
  <si>
    <t>Equipment details</t>
  </si>
  <si>
    <t>KPI Summary</t>
  </si>
  <si>
    <t>On-time %, delays by reason</t>
  </si>
  <si>
    <t>AVERAGE, COUNTIF</t>
  </si>
  <si>
    <t>How are we performing?</t>
  </si>
  <si>
    <t>Outlier deep dive</t>
  </si>
  <si>
    <t>12 severe delays analyzed</t>
  </si>
  <si>
    <t>COUNTIFS, AVERAGEIF</t>
  </si>
  <si>
    <t>What causes worst delays?</t>
  </si>
  <si>
    <t>Delay predictors</t>
  </si>
  <si>
    <t>Correlation matrix</t>
  </si>
  <si>
    <t>CORREL, SLOPE, RSQ</t>
  </si>
  <si>
    <t>What predicts delays?</t>
  </si>
  <si>
    <t>CPM drivers</t>
  </si>
  <si>
    <t>Strong correlations &gt;0.7</t>
  </si>
  <si>
    <t>CORREL matrix</t>
  </si>
  <si>
    <t>What drives costs?</t>
  </si>
  <si>
    <t>Cost metrics</t>
  </si>
  <si>
    <t>Fuel, maint, driver pay</t>
  </si>
  <si>
    <t>Regression equations</t>
  </si>
  <si>
    <t>Where is money going?</t>
  </si>
  <si>
    <t>Recommendations</t>
  </si>
  <si>
    <t>Savings calculator</t>
  </si>
  <si>
    <t>Projection formulas</t>
  </si>
  <si>
    <t>How to reduce costs?</t>
  </si>
  <si>
    <t>Capstone_Methodology</t>
  </si>
  <si>
    <t>Documentation</t>
  </si>
  <si>
    <t>Full methodology</t>
  </si>
  <si>
    <t>Process narrative</t>
  </si>
  <si>
    <t>How was this done?</t>
  </si>
  <si>
    <t>DataCleaningLog</t>
  </si>
  <si>
    <t>This sheet</t>
  </si>
  <si>
    <t>Cleaning steps</t>
  </si>
  <si>
    <t>All techniques</t>
  </si>
  <si>
    <t>ScribeHow reference</t>
  </si>
  <si>
    <t>BEFORE &amp; AFTER DATA CLEANING DEMONSTRATION - For ScribeHow Recording</t>
  </si>
  <si>
    <t>SECTION 1: SIMULATED 'DIRTY' DATA (Before Cleaning)</t>
  </si>
  <si>
    <t>Row #</t>
  </si>
  <si>
    <t>carrier_name (DIRTY)</t>
  </si>
  <si>
    <t>origin_city (DIRTY)</t>
  </si>
  <si>
    <t>origin_state (DIRTY)</t>
  </si>
  <si>
    <t>delay_minutes (DIRTY)</t>
  </si>
  <si>
    <t>truck_type (DIRTY)</t>
  </si>
  <si>
    <t>Issues Present</t>
  </si>
  <si>
    <t>DRY VAN</t>
  </si>
  <si>
    <t>Extra spaces, inconsistent case, missing value</t>
  </si>
  <si>
    <t>SUNBELT HAULAGE</t>
  </si>
  <si>
    <t xml:space="preserve">  Miami  </t>
  </si>
  <si>
    <t>reefer</t>
  </si>
  <si>
    <t>All caps, extra spaces, lowercase type</t>
  </si>
  <si>
    <t>pacific linehaul</t>
  </si>
  <si>
    <t>co</t>
  </si>
  <si>
    <t>FLATBED</t>
  </si>
  <si>
    <t>Lowercase name, lowercase state</t>
  </si>
  <si>
    <t xml:space="preserve">  Cascade Cargo</t>
  </si>
  <si>
    <t>CHICAGO</t>
  </si>
  <si>
    <t>abc</t>
  </si>
  <si>
    <t>Leading space, non-numeric delay</t>
  </si>
  <si>
    <t xml:space="preserve">KEYSTONE FREIGHT  </t>
  </si>
  <si>
    <t>boston</t>
  </si>
  <si>
    <t>ma</t>
  </si>
  <si>
    <t xml:space="preserve">  Tanker  </t>
  </si>
  <si>
    <t>Trailing space, inconsistent case</t>
  </si>
  <si>
    <t>great lakes carriers</t>
  </si>
  <si>
    <t>PHOENIX</t>
  </si>
  <si>
    <t>az</t>
  </si>
  <si>
    <t>dry van</t>
  </si>
  <si>
    <t>Lowercase, missing delay</t>
  </si>
  <si>
    <t xml:space="preserve">  MIDWEST EXPRESS TRUCKING  </t>
  </si>
  <si>
    <t>seattle</t>
  </si>
  <si>
    <t>REEFER</t>
  </si>
  <si>
    <t>Extra spaces both sides</t>
  </si>
  <si>
    <t xml:space="preserve">  LOS ANGELES  </t>
  </si>
  <si>
    <t>ca</t>
  </si>
  <si>
    <t>flatbed</t>
  </si>
  <si>
    <t>City has spaces, lowercase</t>
  </si>
  <si>
    <t>LONE STAR TRANSPORT</t>
  </si>
  <si>
    <t>houston</t>
  </si>
  <si>
    <t>N/A instead of number</t>
  </si>
  <si>
    <t>atlantic freightways</t>
  </si>
  <si>
    <t xml:space="preserve">  New York  </t>
  </si>
  <si>
    <t>ny</t>
  </si>
  <si>
    <t>intermodal</t>
  </si>
  <si>
    <t>All lowercase, extra spaces</t>
  </si>
  <si>
    <t>SECTION 2: CLEANING FORMULAS (How to Clean)</t>
  </si>
  <si>
    <t>Issue Type</t>
  </si>
  <si>
    <t>Dirty Example</t>
  </si>
  <si>
    <t>Cleaning Formula</t>
  </si>
  <si>
    <t>Clean Result</t>
  </si>
  <si>
    <t>Excel Formula to Use</t>
  </si>
  <si>
    <t>Extra Spaces</t>
  </si>
  <si>
    <t>Proper Case</t>
  </si>
  <si>
    <t>Uppercase State</t>
  </si>
  <si>
    <t>Combined Clean</t>
  </si>
  <si>
    <t>Missing Number</t>
  </si>
  <si>
    <t>Non-Numeric</t>
  </si>
  <si>
    <t>N/A Value</t>
  </si>
  <si>
    <t>Clean Text+Trim</t>
  </si>
  <si>
    <t>Remove Duplicates</t>
  </si>
  <si>
    <t>Find Blanks</t>
  </si>
  <si>
    <t xml:space="preserve">  BLUE RIDGE LOGISTICS  </t>
  </si>
  <si>
    <t>(Use Data Tab)</t>
  </si>
  <si>
    <t>(Use Find &amp; Select)</t>
  </si>
  <si>
    <t>Home &gt; Find &gt; Go To Special &gt; Blanks</t>
  </si>
  <si>
    <t>Menu: Data &gt; Remove Duplicates</t>
  </si>
  <si>
    <t>Ctrl+G &gt; Special &gt; Blanks</t>
  </si>
  <si>
    <t>carrier_name (CLEAN)</t>
  </si>
  <si>
    <t>origin_city (CLEAN)</t>
  </si>
  <si>
    <t>origin_state (CLEAN)</t>
  </si>
  <si>
    <t>delay_minutes (CLEAN)</t>
  </si>
  <si>
    <t>truck_type (CLEAN)</t>
  </si>
  <si>
    <t>Cleaning Applied</t>
  </si>
  <si>
    <t>PROPER(TRIM()), IFERROR() for blank</t>
  </si>
  <si>
    <t>PROPER(TRIM())</t>
  </si>
  <si>
    <t>PROPER(), UPPER()</t>
  </si>
  <si>
    <t>TRIM(), IFERROR() for non-numeric</t>
  </si>
  <si>
    <t>PROPER(TRIM()), UPPER()</t>
  </si>
  <si>
    <t>IF() for N/A replacement</t>
  </si>
  <si>
    <t>Severe Delays (&gt;300)</t>
  </si>
  <si>
    <t>On-Time Shipments</t>
  </si>
  <si>
    <t>Late Shipments</t>
  </si>
  <si>
    <t>Avg Delay Minutes</t>
  </si>
  <si>
    <t>SECTION 6: KEY TRANSFORMATION FORMULAS USED IN THIS PROJECT</t>
  </si>
  <si>
    <t>Example Formula</t>
  </si>
  <si>
    <t>Sheet Used In</t>
  </si>
  <si>
    <t>CORREL</t>
  </si>
  <si>
    <t>Find correlations</t>
  </si>
  <si>
    <t>SLOPE</t>
  </si>
  <si>
    <t>Regression coefficient</t>
  </si>
  <si>
    <t>INTERCEPT</t>
  </si>
  <si>
    <t>Regression constant</t>
  </si>
  <si>
    <t>RSQ</t>
  </si>
  <si>
    <t>R-squared value</t>
  </si>
  <si>
    <t>Count with criteria</t>
  </si>
  <si>
    <t>Sum with criteria</t>
  </si>
  <si>
    <t>Average with criteria</t>
  </si>
  <si>
    <t>IF</t>
  </si>
  <si>
    <t>Conditional logic</t>
  </si>
  <si>
    <t>IFERROR</t>
  </si>
  <si>
    <t>Handle errors</t>
  </si>
  <si>
    <t>Multiple sheets</t>
  </si>
  <si>
    <t>0 if error</t>
  </si>
  <si>
    <t>Lookup values</t>
  </si>
  <si>
    <t>Data joins</t>
  </si>
  <si>
    <t>MEDIAN</t>
  </si>
  <si>
    <t>Middle value</t>
  </si>
  <si>
    <t>-14 min</t>
  </si>
  <si>
    <t>SECTION 7: PROJECT SHEETS NAVIGATION (For ScribeHow Demo)</t>
  </si>
  <si>
    <t>Demo Focus</t>
  </si>
  <si>
    <t>1,000 shipment orders</t>
  </si>
  <si>
    <t>Show source data</t>
  </si>
  <si>
    <t>What does data look like?</t>
  </si>
  <si>
    <t>260 truck records</t>
  </si>
  <si>
    <t>Show dimension table</t>
  </si>
  <si>
    <t>What trucks do we have?</t>
  </si>
  <si>
    <t>RawDataSample</t>
  </si>
  <si>
    <t>Cleaning demonstration</t>
  </si>
  <si>
    <t>Before/After examples</t>
  </si>
  <si>
    <t>RECORD THIS FIRST</t>
  </si>
  <si>
    <t>How was data cleaned?</t>
  </si>
  <si>
    <t>Key metrics summary</t>
  </si>
  <si>
    <t>On-time %, averages</t>
  </si>
  <si>
    <t>Show summary stats</t>
  </si>
  <si>
    <t>Overall performance?</t>
  </si>
  <si>
    <t>Severe delays by carrier</t>
  </si>
  <si>
    <t>Show drill-down</t>
  </si>
  <si>
    <t>What causes severe delays?</t>
  </si>
  <si>
    <t>Correlation analysis</t>
  </si>
  <si>
    <t>Cost per mile drivers</t>
  </si>
  <si>
    <t>Show key finding</t>
  </si>
  <si>
    <t>What drives CPM?</t>
  </si>
  <si>
    <t>Operational costs</t>
  </si>
  <si>
    <t>Show cost breakdown</t>
  </si>
  <si>
    <t>Where does money go?</t>
  </si>
  <si>
    <t>Show business value</t>
  </si>
  <si>
    <t>Reference for write-up</t>
  </si>
  <si>
    <t>How was analysis done?</t>
  </si>
  <si>
    <t>LIVE Demo (Actual Result)</t>
  </si>
  <si>
    <t>ADDITIONAL USEFUL CLEANING FORMULAS:</t>
  </si>
  <si>
    <t>LIVE Demo</t>
  </si>
  <si>
    <t>Left Characters</t>
  </si>
  <si>
    <t>OH-Toledo</t>
  </si>
  <si>
    <t>=TRIM(B6)</t>
  </si>
  <si>
    <t>=PROPER(C6)</t>
  </si>
  <si>
    <t>=UPPER(D6)</t>
  </si>
  <si>
    <t>=PROPER(TRIM(B6))</t>
  </si>
  <si>
    <t>=IF(E6="",0,E6)</t>
  </si>
  <si>
    <t>=IFERROR(VALUE(E9),0)</t>
  </si>
  <si>
    <t>=IF(E14="N/A",0,E14)</t>
  </si>
  <si>
    <t>=TRIM(CLEAN(B9))</t>
  </si>
  <si>
    <t>Formula Syntax</t>
  </si>
  <si>
    <t>Example Input</t>
  </si>
  <si>
    <t>Output</t>
  </si>
  <si>
    <t>Use Case</t>
  </si>
  <si>
    <t>SUBSTITUTE()</t>
  </si>
  <si>
    <t>Replace specific text</t>
  </si>
  <si>
    <t>New York City</t>
  </si>
  <si>
    <t>=SUBSTITUTE(C33," ","")</t>
  </si>
  <si>
    <t>Remove all spaces</t>
  </si>
  <si>
    <t>📋 KEY FORMULAS FOR SCRIBEHOW DEMO:</t>
  </si>
  <si>
    <t>Input Example</t>
  </si>
  <si>
    <t>When to Use</t>
  </si>
  <si>
    <t>Text Cleaning</t>
  </si>
  <si>
    <t>TRIM</t>
  </si>
  <si>
    <t>Removes extra spaces</t>
  </si>
  <si>
    <t xml:space="preserve">  hello world  </t>
  </si>
  <si>
    <t>hello world</t>
  </si>
  <si>
    <t>Leading/trailing spaces</t>
  </si>
  <si>
    <t>CLEAN</t>
  </si>
  <si>
    <t>data here</t>
  </si>
  <si>
    <t>datahere</t>
  </si>
  <si>
    <t>Imported data</t>
  </si>
  <si>
    <t>PROPER</t>
  </si>
  <si>
    <t>Title Case</t>
  </si>
  <si>
    <t>JOHN SMITH</t>
  </si>
  <si>
    <t>John Smith</t>
  </si>
  <si>
    <t>Names, cities</t>
  </si>
  <si>
    <t>UPPER</t>
  </si>
  <si>
    <t>UPPERCASE</t>
  </si>
  <si>
    <t>hello</t>
  </si>
  <si>
    <t>HELLO</t>
  </si>
  <si>
    <t>LOWER</t>
  </si>
  <si>
    <t>lowercase</t>
  </si>
  <si>
    <t>Email addresses</t>
  </si>
  <si>
    <t>SUBSTITUTE</t>
  </si>
  <si>
    <t>Replace text</t>
  </si>
  <si>
    <t>NewYork</t>
  </si>
  <si>
    <t>Remove specific chars</t>
  </si>
  <si>
    <t>Missing Data</t>
  </si>
  <si>
    <t>IF (blank)</t>
  </si>
  <si>
    <t>Replace blanks with 0</t>
  </si>
  <si>
    <t>Numeric fields</t>
  </si>
  <si>
    <t>IF (N/A)</t>
  </si>
  <si>
    <t>Replace N/A</t>
  </si>
  <si>
    <t>Survey data</t>
  </si>
  <si>
    <t>SECTION 4: COMPREHENSIVE FORMULA EXAMPLES (Copy &amp; Modify)</t>
  </si>
  <si>
    <t>=TRIM(A1)</t>
  </si>
  <si>
    <t>=CLEAN(A1)</t>
  </si>
  <si>
    <t>Removes non-printable</t>
  </si>
  <si>
    <t>=PROPER(A1)</t>
  </si>
  <si>
    <t>=UPPER(A1)</t>
  </si>
  <si>
    <t>=LOWER(A1)</t>
  </si>
  <si>
    <t>=SUBSTITUTE(A1," ","")</t>
  </si>
  <si>
    <t>=IF(A1="",0,A1)</t>
  </si>
  <si>
    <t>=IFERROR(VALUE(A1),0)</t>
  </si>
  <si>
    <t>Non-numeric values</t>
  </si>
  <si>
    <t>=IF(A1="N/A","",A1)</t>
  </si>
  <si>
    <t>COALESCE</t>
  </si>
  <si>
    <t>=IF(ISBLANK(A1),B1,A1)</t>
  </si>
  <si>
    <t>Use fallback value</t>
  </si>
  <si>
    <t>Fallback</t>
  </si>
  <si>
    <t>Multiple sources</t>
  </si>
  <si>
    <t>Combined</t>
  </si>
  <si>
    <t>TRIM+PROPER</t>
  </si>
  <si>
    <t>=PROPER(TRIM(A1))</t>
  </si>
  <si>
    <t>Clean + format</t>
  </si>
  <si>
    <t xml:space="preserve">  JOHN DOE  </t>
  </si>
  <si>
    <t>John Doe</t>
  </si>
  <si>
    <t>Names</t>
  </si>
  <si>
    <t>TRIM+UPPER</t>
  </si>
  <si>
    <t>=UPPER(TRIM(A1))</t>
  </si>
  <si>
    <t>Clean + uppercase</t>
  </si>
  <si>
    <t xml:space="preserve">  ca  </t>
  </si>
  <si>
    <t>CLEAN+TRIM</t>
  </si>
  <si>
    <t>=TRIM(CLEAN(A1))</t>
  </si>
  <si>
    <t>Remove all junk</t>
  </si>
  <si>
    <t xml:space="preserve">  bad data  </t>
  </si>
  <si>
    <t>bad data</t>
  </si>
  <si>
    <t>Imported text</t>
  </si>
  <si>
    <t>Validation</t>
  </si>
  <si>
    <t>ISNUMBER</t>
  </si>
  <si>
    <t>=ISNUMBER(A1)</t>
  </si>
  <si>
    <t>Check if numeric</t>
  </si>
  <si>
    <t>Data validation</t>
  </si>
  <si>
    <t>ISTEXT</t>
  </si>
  <si>
    <t>=ISTEXT(A1)</t>
  </si>
  <si>
    <t>Check if text</t>
  </si>
  <si>
    <t>Type checking</t>
  </si>
  <si>
    <t>ISBLANK</t>
  </si>
  <si>
    <t>=ISBLANK(A1)</t>
  </si>
  <si>
    <t>Check if empty</t>
  </si>
  <si>
    <t>Find missing</t>
  </si>
  <si>
    <t>LEN</t>
  </si>
  <si>
    <t>=LEN(TRIM(A1))</t>
  </si>
  <si>
    <t>Count characters</t>
  </si>
  <si>
    <t xml:space="preserve">  hello  </t>
  </si>
  <si>
    <t>Field length</t>
  </si>
  <si>
    <t>COUNTBLANK</t>
  </si>
  <si>
    <t>=COUNTBLANK(A1:A100)</t>
  </si>
  <si>
    <t>Count empty cells</t>
  </si>
  <si>
    <t>(range)</t>
  </si>
  <si>
    <t>Missing data count</t>
  </si>
  <si>
    <t>COUNTIF</t>
  </si>
  <si>
    <t>=COUNTIF(A1:A100,"&gt;300")</t>
  </si>
  <si>
    <t>SUMIF</t>
  </si>
  <si>
    <t>=SUMIF(A:A,"X",B:B)</t>
  </si>
  <si>
    <t>Category totals</t>
  </si>
  <si>
    <t>AVERAGEIF</t>
  </si>
  <si>
    <t>=AVERAGEIF(A:A,"&gt;0",B:B)</t>
  </si>
  <si>
    <t>Avg with criteria</t>
  </si>
  <si>
    <t>0 (FALSE)</t>
  </si>
  <si>
    <t>🚛 LOGISTICS &amp; FLEET OPERATIONS - KEY INSIGHTS DASHBOARD</t>
  </si>
  <si>
    <t>Comprehensive Performance Analysis | Data: 1,000 Shipments | Fleet: 260 Trucks</t>
  </si>
  <si>
    <t>📦 TOTAL SHIPMENTS</t>
  </si>
  <si>
    <t>✅ ON-TIME DELIVERY RATE</t>
  </si>
  <si>
    <t>⏱️ AVERAGE DELAY (MIN)</t>
  </si>
  <si>
    <t>🔴 SEVERE DELAYS (&gt;300 min)</t>
  </si>
  <si>
    <t>📋 KEY INSIGHTS SUMMARY</t>
  </si>
  <si>
    <t>📊 CARRIER PERFORMANCE</t>
  </si>
  <si>
    <t>On-Time %</t>
  </si>
  <si>
    <t>Avg Delay</t>
  </si>
  <si>
    <t>Status</t>
  </si>
  <si>
    <t>🗺️ REGIONAL PERFORMANCE</t>
  </si>
  <si>
    <t>⚠️ DELAY REASONS BREAKDOWN</t>
  </si>
  <si>
    <t>% of Delays</t>
  </si>
  <si>
    <t>Bar</t>
  </si>
  <si>
    <t>🚚 TRUCK TYPE PERFORMANCE</t>
  </si>
  <si>
    <t>💰 COST SUMMARY</t>
  </si>
  <si>
    <t>Total Maintenance</t>
  </si>
  <si>
    <t>Avg Cost Per Mile</t>
  </si>
  <si>
    <t>On-Time</t>
  </si>
  <si>
    <t>Late</t>
  </si>
  <si>
    <t>📅 Data Source: fact_orders_1000 (1,000 shipments) | dim_fleet_260 (260 trucks) | Dashboard auto-updates with source data</t>
  </si>
  <si>
    <t>📈 VISUAL ANALYTICS - CARRIER PERFORMANCE</t>
  </si>
  <si>
    <t xml:space="preserve">🎨 Perfrmance Guide: 🟢 &gt;84% = Top Performer  |  🔵 81-84% = Average  |  🟠 &lt;81% = Needs </t>
  </si>
  <si>
    <t>█</t>
  </si>
  <si>
    <t>███</t>
  </si>
  <si>
    <t>██</t>
  </si>
  <si>
    <t>Average CPM</t>
  </si>
  <si>
    <t>✅ ON-TIME RATE</t>
  </si>
  <si>
    <t>⏱️ AVG DELAY (MIN)</t>
  </si>
  <si>
    <t>🔴 SEVERE DELAYS (&gt;300)</t>
  </si>
  <si>
    <t>⚠️ DELAY REASONS</t>
  </si>
  <si>
    <t>Reason</t>
  </si>
  <si>
    <t>📈 VISUAL ANALYTICS - PERFORMANCE CHARTS</t>
  </si>
  <si>
    <t>🥧 ON-TIME VS LATE</t>
  </si>
  <si>
    <t>📋 DETAILED PERFORMANCE TABLES</t>
  </si>
  <si>
    <t>🎯 ACTION ITEMS &amp; RECOMMENDATIONS</t>
  </si>
  <si>
    <t>Action Item</t>
  </si>
  <si>
    <t>Owner</t>
  </si>
  <si>
    <t>Target</t>
  </si>
  <si>
    <t>Operations</t>
  </si>
  <si>
    <t>Q2 2026</t>
  </si>
  <si>
    <t>Regional Mgr</t>
  </si>
  <si>
    <t>Fleet Mgr</t>
  </si>
  <si>
    <t>Q3 2026</t>
  </si>
  <si>
    <t>🏆 Best Carrier:</t>
  </si>
  <si>
    <t>Atlantic Freightways (86.1%)</t>
  </si>
  <si>
    <t>Flatbed (86.6%)</t>
  </si>
  <si>
    <t>Cascade Cargo (80.5%)</t>
  </si>
  <si>
    <t>📝 EXECUTIVE SUMMARY</t>
  </si>
  <si>
    <t>Report Date:</t>
  </si>
  <si>
    <t>Data Period:</t>
  </si>
  <si>
    <t>Jan 2025 - Dec 2025</t>
  </si>
  <si>
    <t>Total Records:</t>
  </si>
  <si>
    <t>1,000 shipments | 260 trucks</t>
  </si>
  <si>
    <t>Version:</t>
  </si>
  <si>
    <t>v1.0</t>
  </si>
  <si>
    <t>Status:</t>
  </si>
  <si>
    <t>Final</t>
  </si>
  <si>
    <t>████</t>
  </si>
  <si>
    <t>🏆 TOP &amp; BOTTOM PERFORMERS</t>
  </si>
  <si>
    <t>🏆 Best Region:</t>
  </si>
  <si>
    <t>Midwest (85.8%)</t>
  </si>
  <si>
    <t>🏆 Best Truck:</t>
  </si>
  <si>
    <t>⚠️ Review Carrier:</t>
  </si>
  <si>
    <t>⚠️ Review Region:</t>
  </si>
  <si>
    <t>Northeast (79.6%)</t>
  </si>
  <si>
    <t>Fleet performance is strong with 82.9% on-time delivery across 1,000 shipments and 260 trucks.</t>
  </si>
  <si>
    <t>Key focus areas: Detention causes 48.8% of documented delays. Northeast region needs improvement (79.6% on-time).</t>
  </si>
  <si>
    <t>Dry Van truck type has highest delays (11.2 min avg). Implementing dock scheduling improvements could yield 15% reduction in delay incidents.</t>
  </si>
  <si>
    <t>Impact</t>
  </si>
  <si>
    <t>Reduce detention delays - dock scheduling</t>
  </si>
  <si>
    <t>-15% delays</t>
  </si>
  <si>
    <t>Address Northeast region delays</t>
  </si>
  <si>
    <t>+5% on-time</t>
  </si>
  <si>
    <t>Review Dry Van performance</t>
  </si>
  <si>
    <t>+3% on-time</t>
  </si>
  <si>
    <t>v1.0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</si>
</sst>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164" formatCode="0.0%"/>
    <numFmt numFmtId="165" formatCode="0.0000"/>
    <numFmt numFmtId="166" formatCode="&quot;$&quot;0.00"/>
    <numFmt numFmtId="167" formatCode="\+&quot;$&quot;0.00;\-&quot;$&quot;0.00"/>
    <numFmt numFmtId="168" formatCode="&quot;$&quot;#,##0"/>
    <numFmt numFmtId="169" formatCode="0.0"/>
  </numFmts>
  <fonts count="5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rgb="FF000000"/>
      <name val="Calibri"/>
      <family val="2"/>
    </font>
    <font>
      <b/>
      <i/>
      <sz val="11"/>
      <color rgb="FF000000"/>
      <name val="Calibri"/>
    </font>
    <font>
      <b/>
      <sz val="14"/>
      <color theme="1"/>
      <name val="Aptos Narrow"/>
      <family val="2"/>
      <scheme val="minor"/>
    </font>
    <font>
      <b/>
      <sz val="12"/>
      <color theme="1"/>
      <name val="Aptos Narrow"/>
      <family val="2"/>
      <scheme val="minor"/>
    </font>
    <font>
      <b/>
      <sz val="14"/>
      <color rgb="FFC00000"/>
      <name val="Aptos Narrow"/>
      <family val="2"/>
      <scheme val="minor"/>
    </font>
    <font>
      <b/>
      <sz val="14"/>
      <color rgb="FFFFFFFF"/>
      <name val="Aptos Narrow"/>
      <family val="2"/>
      <scheme val="minor"/>
    </font>
    <font>
      <b/>
      <sz val="16"/>
      <color rgb="FFFFFFFF"/>
      <name val="Aptos Narrow"/>
      <family val="2"/>
      <scheme val="minor"/>
    </font>
    <font>
      <sz val="8"/>
      <color rgb="FF242424"/>
      <name val="Segoe UI"/>
      <family val="2"/>
    </font>
    <font>
      <b/>
      <sz val="11"/>
      <color rgb="FFFFFFFF"/>
      <name val="Aptos Narrow"/>
      <family val="2"/>
      <scheme val="minor"/>
    </font>
    <font>
      <i/>
      <sz val="12"/>
      <color theme="1"/>
      <name val="Aptos Narrow"/>
      <family val="2"/>
      <scheme val="minor"/>
    </font>
    <font>
      <b/>
      <sz val="12"/>
      <color rgb="FFFFFFFF"/>
      <name val="Aptos Narrow"/>
      <family val="2"/>
      <scheme val="minor"/>
    </font>
    <font>
      <sz val="11"/>
      <color theme="1"/>
      <name val="Consolas"/>
    </font>
    <font>
      <sz val="10"/>
      <color theme="1"/>
      <name val="Consolas"/>
    </font>
    <font>
      <b/>
      <sz val="22"/>
      <color rgb="FFFFFFFF"/>
      <name val="Aptos Narrow"/>
      <family val="2"/>
      <scheme val="minor"/>
    </font>
    <font>
      <sz val="11"/>
      <color rgb="FFFFFFFF"/>
      <name val="Aptos Narrow"/>
      <family val="2"/>
      <scheme val="minor"/>
    </font>
    <font>
      <i/>
      <sz val="9"/>
      <color rgb="FFFFFFFF"/>
      <name val="Aptos Narrow"/>
      <family val="2"/>
      <scheme val="minor"/>
    </font>
    <font>
      <sz val="10"/>
      <color rgb="FFFFFFFF"/>
      <name val="Aptos Narrow"/>
      <family val="2"/>
      <scheme val="minor"/>
    </font>
    <font>
      <b/>
      <i/>
      <sz val="11"/>
      <color rgb="FFFFFFFF"/>
      <name val="Aptos Narrow"/>
      <family val="2"/>
      <scheme val="minor"/>
    </font>
    <font>
      <b/>
      <sz val="11"/>
      <color rgb="FF87CEEB"/>
      <name val="Aptos Narrow"/>
      <family val="2"/>
      <scheme val="minor"/>
    </font>
    <font>
      <b/>
      <sz val="11"/>
      <color rgb="FFFFD700"/>
      <name val="Aptos Narrow"/>
      <family val="2"/>
      <scheme val="minor"/>
    </font>
    <font>
      <sz val="11"/>
      <color rgb="FF90EE90"/>
      <name val="Aptos Narrow"/>
      <family val="2"/>
      <scheme val="minor"/>
    </font>
    <font>
      <b/>
      <sz val="11"/>
      <color rgb="FF90EE90"/>
      <name val="Aptos Narrow"/>
      <family val="2"/>
      <scheme val="minor"/>
    </font>
    <font>
      <b/>
      <sz val="14"/>
      <color rgb="FF90EE90"/>
      <name val="Aptos Narrow"/>
      <family val="2"/>
      <scheme val="minor"/>
    </font>
    <font>
      <b/>
      <sz val="20"/>
      <color theme="0"/>
      <name val="Aptos Narrow"/>
      <family val="2"/>
      <scheme val="minor"/>
    </font>
    <font>
      <b/>
      <sz val="26"/>
      <color theme="0"/>
      <name val="Aptos Narrow"/>
      <family val="2"/>
      <scheme val="minor"/>
    </font>
    <font>
      <b/>
      <sz val="10"/>
      <color rgb="FF87CEEB"/>
      <name val="Aptos Narrow"/>
      <family val="2"/>
      <scheme val="minor"/>
    </font>
    <font>
      <b/>
      <sz val="11"/>
      <color rgb="FFE0E0E0"/>
      <name val="Aptos Narrow"/>
      <family val="2"/>
      <scheme val="minor"/>
    </font>
    <font>
      <sz val="8"/>
      <name val="Aptos Narrow"/>
      <family val="2"/>
      <scheme val="minor"/>
    </font>
    <font>
      <sz val="11"/>
      <color rgb="FFFFA500"/>
      <name val="Aptos Narrow"/>
      <family val="2"/>
      <scheme val="minor"/>
    </font>
    <font>
      <b/>
      <sz val="20"/>
      <color rgb="FFFFFFFF"/>
      <name val="Aptos Narrow"/>
      <family val="2"/>
      <scheme val="minor"/>
    </font>
    <font>
      <sz val="11"/>
      <color rgb="FF00FF7F"/>
      <name val="Aptos Narrow"/>
      <family val="2"/>
      <scheme val="minor"/>
    </font>
    <font>
      <sz val="11"/>
      <color rgb="FF87CEEB"/>
      <name val="Aptos Narrow"/>
      <family val="2"/>
      <scheme val="minor"/>
    </font>
    <font>
      <b/>
      <sz val="36"/>
      <color rgb="FFFFFFFF"/>
      <name val="Aptos Narrow"/>
      <family val="2"/>
      <scheme val="minor"/>
    </font>
    <font>
      <b/>
      <sz val="9"/>
      <color rgb="FFE0E0E0"/>
      <name val="Aptos Narrow"/>
      <family val="2"/>
      <scheme val="minor"/>
    </font>
    <font>
      <sz val="9"/>
      <color rgb="FFE0E0E0"/>
      <name val="Aptos Narrow"/>
      <family val="2"/>
      <scheme val="minor"/>
    </font>
    <font>
      <sz val="14"/>
      <color rgb="FFFFFFFF"/>
      <name val="Aptos Narrow"/>
      <family val="2"/>
      <scheme val="minor"/>
    </font>
    <font>
      <b/>
      <sz val="18"/>
      <color rgb="FFFFFFFF"/>
      <name val="Aptos Narrow"/>
      <family val="2"/>
      <scheme val="minor"/>
    </font>
    <font>
      <sz val="11"/>
      <color rgb="FFED7D31"/>
      <name val="Aptos Narrow"/>
      <family val="2"/>
      <scheme val="minor"/>
    </font>
    <font>
      <sz val="14"/>
      <color rgb="FFE0E0E0"/>
      <name val="Aptos Narrow"/>
      <family val="2"/>
      <scheme val="minor"/>
    </font>
    <font>
      <b/>
      <i/>
      <sz val="18"/>
      <color rgb="FFFFFFFF"/>
      <name val="Aptos Narrow"/>
      <family val="2"/>
      <scheme val="minor"/>
    </font>
  </fonts>
  <fills count="7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D6DCE5"/>
        <bgColor indexed="64"/>
      </patternFill>
    </fill>
    <fill>
      <patternFill patternType="solid">
        <fgColor rgb="FFE2EFDA"/>
        <bgColor indexed="64"/>
      </patternFill>
    </fill>
    <fill>
      <patternFill patternType="solid">
        <fgColor rgb="FFFCE4D6"/>
        <bgColor indexed="64"/>
      </patternFill>
    </fill>
    <fill>
      <patternFill patternType="solid">
        <fgColor rgb="FFDDEBF7"/>
        <bgColor indexed="64"/>
      </patternFill>
    </fill>
    <fill>
      <patternFill patternType="solid">
        <fgColor rgb="FFD9E2F3"/>
        <bgColor indexed="64"/>
      </patternFill>
    </fill>
    <fill>
      <patternFill patternType="solid">
        <fgColor rgb="FFC6EFCE"/>
        <bgColor indexed="64"/>
      </patternFill>
    </fill>
    <fill>
      <patternFill patternType="solid">
        <fgColor rgb="FFFFF2CC"/>
        <bgColor indexed="64"/>
      </patternFill>
    </fill>
    <fill>
      <patternFill patternType="solid">
        <fgColor rgb="FFD6EAF8"/>
        <bgColor indexed="64"/>
      </patternFill>
    </fill>
    <fill>
      <patternFill patternType="solid">
        <fgColor rgb="FF85C1E9"/>
        <bgColor indexed="64"/>
      </patternFill>
    </fill>
    <fill>
      <patternFill patternType="solid">
        <fgColor rgb="FFF5B7B1"/>
        <bgColor indexed="64"/>
      </patternFill>
    </fill>
    <fill>
      <patternFill patternType="solid">
        <fgColor rgb="FFD6DCE4"/>
        <bgColor indexed="64"/>
      </patternFill>
    </fill>
    <fill>
      <patternFill patternType="solid">
        <fgColor rgb="FFBDD7EE"/>
        <bgColor indexed="64"/>
      </patternFill>
    </fill>
    <fill>
      <patternFill patternType="solid">
        <fgColor rgb="FFFFEB9C"/>
        <bgColor indexed="64"/>
      </patternFill>
    </fill>
    <fill>
      <patternFill patternType="solid">
        <fgColor rgb="FF2E75B6"/>
        <bgColor indexed="64"/>
      </patternFill>
    </fill>
    <fill>
      <patternFill patternType="solid">
        <fgColor rgb="FFD6E3F8"/>
        <bgColor indexed="64"/>
      </patternFill>
    </fill>
    <fill>
      <patternFill patternType="solid">
        <fgColor rgb="FF5482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00000"/>
        <bgColor indexed="64"/>
      </patternFill>
    </fill>
    <fill>
      <patternFill patternType="solid">
        <fgColor rgb="FFF8CBAD"/>
        <bgColor indexed="64"/>
      </patternFill>
    </fill>
    <fill>
      <patternFill patternType="solid">
        <fgColor rgb="FFFFE699"/>
        <bgColor indexed="64"/>
      </patternFill>
    </fill>
    <fill>
      <patternFill patternType="solid">
        <fgColor rgb="FFF4B183"/>
        <bgColor indexed="64"/>
      </patternFill>
    </fill>
    <fill>
      <patternFill patternType="solid">
        <fgColor rgb="FFA9D08E"/>
        <bgColor indexed="64"/>
      </patternFill>
    </fill>
    <fill>
      <patternFill patternType="solid">
        <fgColor rgb="FFFFFF00"/>
        <bgColor indexed="64"/>
      </patternFill>
    </fill>
    <fill>
      <patternFill patternType="solid">
        <fgColor rgb="FF4472C4"/>
        <bgColor indexed="64"/>
      </patternFill>
    </fill>
    <fill>
      <patternFill patternType="solid">
        <fgColor rgb="FFD9EAD3"/>
        <bgColor indexed="64"/>
      </patternFill>
    </fill>
    <fill>
      <patternFill patternType="solid">
        <fgColor rgb="FFC65911"/>
        <bgColor indexed="64"/>
      </patternFill>
    </fill>
    <fill>
      <patternFill patternType="solid">
        <fgColor rgb="FF000000"/>
        <bgColor indexed="64"/>
      </patternFill>
    </fill>
    <fill>
      <patternFill patternType="solid">
        <fgColor rgb="FF2D2D2D"/>
        <bgColor indexed="64"/>
      </patternFill>
    </fill>
    <fill>
      <patternFill patternType="solid">
        <fgColor rgb="FF1A1A1A"/>
        <bgColor indexed="64"/>
      </patternFill>
    </fill>
    <fill>
      <patternFill patternType="solid">
        <fgColor rgb="FF404040"/>
        <bgColor indexed="64"/>
      </patternFill>
    </fill>
    <fill>
      <patternFill patternType="solid">
        <fgColor theme="1"/>
        <bgColor indexed="64"/>
      </patternFill>
    </fill>
    <fill>
      <patternFill patternType="solid">
        <fgColor rgb="FFED7D31"/>
        <bgColor indexed="64"/>
      </patternFill>
    </fill>
    <fill>
      <patternFill patternType="solid">
        <fgColor rgb="FF70AD47"/>
        <bgColor indexed="64"/>
      </patternFill>
    </fill>
    <fill>
      <patternFill patternType="solid">
        <fgColor rgb="FFFF0000"/>
        <bgColor indexed="64"/>
      </patternFill>
    </fill>
    <fill>
      <patternFill patternType="solid">
        <fgColor rgb="FF60A500"/>
        <bgColor indexed="64"/>
      </patternFill>
    </fill>
    <fill>
      <patternFill patternType="solid">
        <fgColor rgb="FFEC7546"/>
        <bgColor indexed="64"/>
      </patternFill>
    </fill>
    <fill>
      <patternFill patternType="solid">
        <fgColor rgb="FF0070C0"/>
        <bgColor indexed="64"/>
      </patternFill>
    </fill>
  </fills>
  <borders count="8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9"/>
      </top>
      <bottom style="thin">
        <color theme="9" tint="0.3999755851924192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rgb="FF1F4E79"/>
      </top>
      <bottom/>
      <diagonal/>
    </border>
    <border>
      <left/>
      <right/>
      <top/>
      <bottom style="thin">
        <color rgb="FF1F4E79"/>
      </bottom>
      <diagonal/>
    </border>
    <border>
      <left style="thin">
        <color rgb="FF1F4E79"/>
      </left>
      <right/>
      <top/>
      <bottom/>
      <diagonal/>
    </border>
    <border>
      <left/>
      <right style="thin">
        <color rgb="FF1F4E79"/>
      </right>
      <top/>
      <bottom/>
      <diagonal/>
    </border>
    <border>
      <left/>
      <right/>
      <top style="thin">
        <color rgb="FF4472C4"/>
      </top>
      <bottom/>
      <diagonal/>
    </border>
    <border>
      <left/>
      <right/>
      <top/>
      <bottom style="thin">
        <color rgb="FF4472C4"/>
      </bottom>
      <diagonal/>
    </border>
    <border>
      <left style="thin">
        <color rgb="FF4472C4"/>
      </left>
      <right/>
      <top/>
      <bottom/>
      <diagonal/>
    </border>
    <border>
      <left style="thin">
        <color rgb="FF4472C4"/>
      </left>
      <right/>
      <top/>
      <bottom style="thin">
        <color rgb="FF4472C4"/>
      </bottom>
      <diagonal/>
    </border>
    <border>
      <left/>
      <right style="thin">
        <color rgb="FF4472C4"/>
      </right>
      <top/>
      <bottom/>
      <diagonal/>
    </border>
    <border>
      <left/>
      <right style="thin">
        <color rgb="FF4472C4"/>
      </right>
      <top/>
      <bottom style="thin">
        <color rgb="FF4472C4"/>
      </bottom>
      <diagonal/>
    </border>
    <border>
      <left style="thin">
        <color rgb="FF4472C4"/>
      </left>
      <right/>
      <top style="thin">
        <color rgb="FF4472C4"/>
      </top>
      <bottom/>
      <diagonal/>
    </border>
    <border>
      <left/>
      <right style="thin">
        <color rgb="FF4472C4"/>
      </right>
      <top style="thin">
        <color rgb="FF4472C4"/>
      </top>
      <bottom/>
      <diagonal/>
    </border>
    <border>
      <left style="thin">
        <color rgb="FF2E75B6"/>
      </left>
      <right/>
      <top/>
      <bottom/>
      <diagonal/>
    </border>
    <border>
      <left/>
      <right style="thin">
        <color rgb="FF2E75B6"/>
      </right>
      <top/>
      <bottom/>
      <diagonal/>
    </border>
    <border>
      <left style="thin">
        <color rgb="FF2E75B6"/>
      </left>
      <right/>
      <top style="thin">
        <color rgb="FF2E75B6"/>
      </top>
      <bottom/>
      <diagonal/>
    </border>
    <border>
      <left/>
      <right/>
      <top style="thin">
        <color rgb="FF2E75B6"/>
      </top>
      <bottom/>
      <diagonal/>
    </border>
    <border>
      <left/>
      <right style="thin">
        <color rgb="FF2E75B6"/>
      </right>
      <top style="thin">
        <color rgb="FF2E75B6"/>
      </top>
      <bottom/>
      <diagonal/>
    </border>
    <border>
      <left style="thin">
        <color rgb="FF2E75B6"/>
      </left>
      <right/>
      <top/>
      <bottom style="thin">
        <color rgb="FF2E75B6"/>
      </bottom>
      <diagonal/>
    </border>
    <border>
      <left/>
      <right/>
      <top/>
      <bottom style="thin">
        <color rgb="FF2E75B6"/>
      </bottom>
      <diagonal/>
    </border>
    <border>
      <left/>
      <right style="thin">
        <color rgb="FF2E75B6"/>
      </right>
      <top/>
      <bottom style="thin">
        <color rgb="FF2E75B6"/>
      </bottom>
      <diagonal/>
    </border>
    <border>
      <left style="thin">
        <color rgb="FFED7D31"/>
      </left>
      <right/>
      <top/>
      <bottom/>
      <diagonal/>
    </border>
    <border>
      <left/>
      <right style="thin">
        <color rgb="FFED7D31"/>
      </right>
      <top/>
      <bottom/>
      <diagonal/>
    </border>
    <border>
      <left style="thin">
        <color rgb="FFED7D31"/>
      </left>
      <right/>
      <top style="thin">
        <color rgb="FFED7D31"/>
      </top>
      <bottom/>
      <diagonal/>
    </border>
    <border>
      <left/>
      <right/>
      <top style="thin">
        <color rgb="FFED7D31"/>
      </top>
      <bottom/>
      <diagonal/>
    </border>
    <border>
      <left/>
      <right style="thin">
        <color rgb="FFED7D31"/>
      </right>
      <top style="thin">
        <color rgb="FFED7D31"/>
      </top>
      <bottom/>
      <diagonal/>
    </border>
    <border>
      <left style="thin">
        <color rgb="FFED7D31"/>
      </left>
      <right/>
      <top/>
      <bottom style="thin">
        <color rgb="FFED7D31"/>
      </bottom>
      <diagonal/>
    </border>
    <border>
      <left/>
      <right/>
      <top/>
      <bottom style="thin">
        <color rgb="FFED7D31"/>
      </bottom>
      <diagonal/>
    </border>
    <border>
      <left/>
      <right style="thin">
        <color rgb="FFED7D31"/>
      </right>
      <top/>
      <bottom style="thin">
        <color rgb="FFED7D31"/>
      </bottom>
      <diagonal/>
    </border>
    <border>
      <left style="thin">
        <color rgb="FF70AD47"/>
      </left>
      <right/>
      <top/>
      <bottom/>
      <diagonal/>
    </border>
    <border>
      <left/>
      <right style="thin">
        <color rgb="FF70AD47"/>
      </right>
      <top/>
      <bottom/>
      <diagonal/>
    </border>
    <border>
      <left style="thin">
        <color rgb="FF70AD47"/>
      </left>
      <right/>
      <top style="thin">
        <color rgb="FF70AD47"/>
      </top>
      <bottom/>
      <diagonal/>
    </border>
    <border>
      <left/>
      <right style="thin">
        <color rgb="FF70AD47"/>
      </right>
      <top style="thin">
        <color rgb="FF70AD47"/>
      </top>
      <bottom/>
      <diagonal/>
    </border>
    <border>
      <left style="thin">
        <color rgb="FF70AD47"/>
      </left>
      <right/>
      <top/>
      <bottom style="thin">
        <color rgb="FF70AD47"/>
      </bottom>
      <diagonal/>
    </border>
    <border>
      <left/>
      <right style="thin">
        <color rgb="FF70AD47"/>
      </right>
      <top/>
      <bottom style="thin">
        <color rgb="FF70AD47"/>
      </bottom>
      <diagonal/>
    </border>
    <border>
      <left/>
      <right/>
      <top/>
      <bottom style="thin">
        <color rgb="FF666666"/>
      </bottom>
      <diagonal/>
    </border>
    <border>
      <left style="thin">
        <color rgb="FF666666"/>
      </left>
      <right/>
      <top/>
      <bottom style="thin">
        <color rgb="FF666666"/>
      </bottom>
      <diagonal/>
    </border>
    <border>
      <left/>
      <right style="thin">
        <color rgb="FF666666"/>
      </right>
      <top/>
      <bottom style="thin">
        <color rgb="FF666666"/>
      </bottom>
      <diagonal/>
    </border>
    <border>
      <left/>
      <right/>
      <top style="thin">
        <color rgb="FF70AD47"/>
      </top>
      <bottom/>
      <diagonal/>
    </border>
    <border>
      <left/>
      <right/>
      <top/>
      <bottom style="thin">
        <color rgb="FF70AD47"/>
      </bottom>
      <diagonal/>
    </border>
    <border>
      <left/>
      <right/>
      <top style="thin">
        <color rgb="FF7030A0"/>
      </top>
      <bottom/>
      <diagonal/>
    </border>
    <border>
      <left/>
      <right/>
      <top/>
      <bottom style="thin">
        <color rgb="FF7030A0"/>
      </bottom>
      <diagonal/>
    </border>
    <border>
      <left style="thin">
        <color rgb="FF7030A0"/>
      </left>
      <right/>
      <top style="thin">
        <color rgb="FF7030A0"/>
      </top>
      <bottom/>
      <diagonal/>
    </border>
    <border>
      <left style="thin">
        <color rgb="FF7030A0"/>
      </left>
      <right/>
      <top/>
      <bottom/>
      <diagonal/>
    </border>
    <border>
      <left style="thin">
        <color rgb="FF7030A0"/>
      </left>
      <right/>
      <top/>
      <bottom style="thin">
        <color rgb="FF7030A0"/>
      </bottom>
      <diagonal/>
    </border>
    <border>
      <left/>
      <right style="thin">
        <color rgb="FF7030A0"/>
      </right>
      <top style="thin">
        <color rgb="FF7030A0"/>
      </top>
      <bottom/>
      <diagonal/>
    </border>
    <border>
      <left/>
      <right style="thin">
        <color rgb="FF7030A0"/>
      </right>
      <top/>
      <bottom/>
      <diagonal/>
    </border>
    <border>
      <left/>
      <right style="thin">
        <color rgb="FF7030A0"/>
      </right>
      <top/>
      <bottom style="thin">
        <color rgb="FF7030A0"/>
      </bottom>
      <diagonal/>
    </border>
    <border>
      <left style="thin">
        <color rgb="FF1F4E79"/>
      </left>
      <right/>
      <top style="thin">
        <color rgb="FF1F4E79"/>
      </top>
      <bottom/>
      <diagonal/>
    </border>
    <border>
      <left style="thin">
        <color rgb="FF1F4E79"/>
      </left>
      <right/>
      <top/>
      <bottom style="thin">
        <color rgb="FF1F4E79"/>
      </bottom>
      <diagonal/>
    </border>
    <border>
      <left/>
      <right style="thin">
        <color rgb="FF1F4E79"/>
      </right>
      <top style="thin">
        <color rgb="FF1F4E79"/>
      </top>
      <bottom/>
      <diagonal/>
    </border>
    <border>
      <left/>
      <right style="thin">
        <color rgb="FF1F4E79"/>
      </right>
      <top/>
      <bottom style="thin">
        <color rgb="FF1F4E79"/>
      </bottom>
      <diagonal/>
    </border>
    <border>
      <left/>
      <right/>
      <top/>
      <bottom style="thin">
        <color rgb="FFC00000"/>
      </bottom>
      <diagonal/>
    </border>
    <border>
      <left style="thin">
        <color rgb="FFC00000"/>
      </left>
      <right/>
      <top/>
      <bottom/>
      <diagonal/>
    </border>
    <border>
      <left style="thin">
        <color rgb="FFC00000"/>
      </left>
      <right/>
      <top/>
      <bottom style="thin">
        <color rgb="FFC00000"/>
      </bottom>
      <diagonal/>
    </border>
    <border>
      <left/>
      <right style="thin">
        <color rgb="FFC00000"/>
      </right>
      <top/>
      <bottom/>
      <diagonal/>
    </border>
    <border>
      <left/>
      <right style="thin">
        <color rgb="FFC00000"/>
      </right>
      <top/>
      <bottom style="thin">
        <color rgb="FFC00000"/>
      </bottom>
      <diagonal/>
    </border>
    <border>
      <left/>
      <right/>
      <top style="thin">
        <color rgb="FF404040"/>
      </top>
      <bottom/>
      <diagonal/>
    </border>
    <border>
      <left/>
      <right/>
      <top/>
      <bottom style="thin">
        <color rgb="FF404040"/>
      </bottom>
      <diagonal/>
    </border>
    <border>
      <left style="thin">
        <color rgb="FF404040"/>
      </left>
      <right/>
      <top style="thin">
        <color rgb="FF404040"/>
      </top>
      <bottom/>
      <diagonal/>
    </border>
    <border>
      <left style="thin">
        <color rgb="FF404040"/>
      </left>
      <right/>
      <top/>
      <bottom/>
      <diagonal/>
    </border>
    <border>
      <left style="thin">
        <color rgb="FF404040"/>
      </left>
      <right/>
      <top/>
      <bottom style="thin">
        <color rgb="FF404040"/>
      </bottom>
      <diagonal/>
    </border>
    <border>
      <left/>
      <right style="thin">
        <color rgb="FF404040"/>
      </right>
      <top style="thin">
        <color rgb="FF404040"/>
      </top>
      <bottom/>
      <diagonal/>
    </border>
    <border>
      <left/>
      <right style="thin">
        <color rgb="FF404040"/>
      </right>
      <top/>
      <bottom/>
      <diagonal/>
    </border>
    <border>
      <left/>
      <right style="thin">
        <color rgb="FF404040"/>
      </right>
      <top/>
      <bottom style="thin">
        <color rgb="FF40404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7">
    <xf numFmtId="0" fontId="0" fillId="0" borderId="0" xfId="0"/>
    <xf numFmtId="14" fontId="0" fillId="0" borderId="0" xfId="0" applyNumberFormat="1"/>
    <xf numFmtId="0" fontId="18" fillId="0" borderId="0" xfId="0" applyFont="1" applyAlignment="1">
      <alignment horizontal="left" vertical="center"/>
    </xf>
    <xf numFmtId="0" fontId="0" fillId="0" borderId="0" xfId="0" pivotButton="1"/>
    <xf numFmtId="22" fontId="0" fillId="0" borderId="0" xfId="0" applyNumberFormat="1"/>
    <xf numFmtId="10" fontId="0" fillId="0" borderId="0" xfId="0" applyNumberFormat="1"/>
    <xf numFmtId="0" fontId="0" fillId="0" borderId="0" xfId="0" applyAlignment="1">
      <alignment horizontal="center"/>
    </xf>
    <xf numFmtId="0" fontId="19" fillId="0" borderId="0" xfId="0" applyFont="1" applyAlignment="1">
      <alignment horizontal="left" vertical="center"/>
    </xf>
    <xf numFmtId="0" fontId="0" fillId="0" borderId="0" xfId="0" applyAlignment="1">
      <alignment horizontal="center" vertical="center"/>
    </xf>
    <xf numFmtId="0" fontId="16" fillId="0" borderId="10" xfId="0" applyFont="1" applyBorder="1" applyAlignment="1">
      <alignment horizontal="center"/>
    </xf>
    <xf numFmtId="14" fontId="0" fillId="0" borderId="0" xfId="0" applyNumberFormat="1" applyAlignment="1">
      <alignment horizontal="center"/>
    </xf>
    <xf numFmtId="22" fontId="0" fillId="0" borderId="0" xfId="0" applyNumberFormat="1" applyAlignment="1">
      <alignment horizontal="center"/>
    </xf>
    <xf numFmtId="0" fontId="16" fillId="0" borderId="0" xfId="0" applyFont="1"/>
    <xf numFmtId="164" fontId="0" fillId="0" borderId="0" xfId="0" applyNumberFormat="1"/>
    <xf numFmtId="0" fontId="21" fillId="0" borderId="0" xfId="0" applyFont="1"/>
    <xf numFmtId="0" fontId="22" fillId="0" borderId="0" xfId="0" applyFont="1"/>
    <xf numFmtId="0" fontId="16" fillId="34" borderId="0" xfId="0" applyFont="1" applyFill="1"/>
    <xf numFmtId="165" fontId="0" fillId="0" borderId="0" xfId="0" applyNumberFormat="1"/>
    <xf numFmtId="0" fontId="16" fillId="35" borderId="0" xfId="0" applyFont="1" applyFill="1"/>
    <xf numFmtId="0" fontId="16" fillId="36" borderId="0" xfId="0" applyFont="1" applyFill="1"/>
    <xf numFmtId="0" fontId="16" fillId="37" borderId="0" xfId="0" applyFont="1" applyFill="1"/>
    <xf numFmtId="2" fontId="0" fillId="0" borderId="0" xfId="0" applyNumberFormat="1"/>
    <xf numFmtId="0" fontId="16" fillId="38" borderId="0" xfId="0" applyFont="1" applyFill="1"/>
    <xf numFmtId="0" fontId="21" fillId="39" borderId="0" xfId="0" applyFont="1" applyFill="1"/>
    <xf numFmtId="0" fontId="21" fillId="40" borderId="0" xfId="0" applyFont="1" applyFill="1"/>
    <xf numFmtId="0" fontId="21" fillId="36" borderId="0" xfId="0" applyFont="1" applyFill="1"/>
    <xf numFmtId="166" fontId="0" fillId="0" borderId="0" xfId="0" applyNumberFormat="1"/>
    <xf numFmtId="167" fontId="0" fillId="0" borderId="0" xfId="0" applyNumberFormat="1"/>
    <xf numFmtId="0" fontId="24" fillId="33" borderId="0" xfId="0" applyFont="1" applyFill="1"/>
    <xf numFmtId="0" fontId="16" fillId="41" borderId="0" xfId="0" applyFont="1" applyFill="1"/>
    <xf numFmtId="0" fontId="16" fillId="42" borderId="0" xfId="0" applyFont="1" applyFill="1"/>
    <xf numFmtId="0" fontId="16" fillId="43" borderId="0" xfId="0" applyFont="1" applyFill="1"/>
    <xf numFmtId="0" fontId="25" fillId="0" borderId="0" xfId="0" applyFont="1"/>
    <xf numFmtId="0" fontId="16" fillId="44" borderId="0" xfId="0" applyFont="1" applyFill="1"/>
    <xf numFmtId="0" fontId="16" fillId="45" borderId="0" xfId="0" applyFont="1" applyFill="1"/>
    <xf numFmtId="168" fontId="0" fillId="0" borderId="0" xfId="0" applyNumberFormat="1"/>
    <xf numFmtId="3" fontId="0" fillId="0" borderId="0" xfId="0" applyNumberFormat="1"/>
    <xf numFmtId="168" fontId="16" fillId="39" borderId="0" xfId="0" applyNumberFormat="1" applyFont="1" applyFill="1"/>
    <xf numFmtId="168" fontId="16" fillId="0" borderId="0" xfId="0" applyNumberFormat="1" applyFont="1"/>
    <xf numFmtId="0" fontId="27" fillId="0" borderId="0" xfId="0" applyFont="1"/>
    <xf numFmtId="9" fontId="0" fillId="0" borderId="0" xfId="0" applyNumberFormat="1"/>
    <xf numFmtId="0" fontId="26" fillId="47" borderId="0" xfId="0" applyFont="1" applyFill="1"/>
    <xf numFmtId="0" fontId="16" fillId="48" borderId="0" xfId="0" applyFont="1" applyFill="1"/>
    <xf numFmtId="0" fontId="26" fillId="49" borderId="0" xfId="0" applyFont="1" applyFill="1"/>
    <xf numFmtId="0" fontId="16" fillId="50" borderId="0" xfId="0" applyFont="1" applyFill="1"/>
    <xf numFmtId="0" fontId="26" fillId="51" borderId="0" xfId="0" applyFont="1" applyFill="1"/>
    <xf numFmtId="0" fontId="16" fillId="52" borderId="0" xfId="0" applyFont="1" applyFill="1"/>
    <xf numFmtId="8" fontId="0" fillId="0" borderId="0" xfId="0" applyNumberFormat="1"/>
    <xf numFmtId="0" fontId="26" fillId="53" borderId="0" xfId="0" applyFont="1" applyFill="1"/>
    <xf numFmtId="0" fontId="16" fillId="54" borderId="0" xfId="0" applyFont="1" applyFill="1"/>
    <xf numFmtId="0" fontId="16" fillId="56" borderId="0" xfId="0" applyFont="1" applyFill="1"/>
    <xf numFmtId="0" fontId="0" fillId="40" borderId="0" xfId="0" applyFill="1"/>
    <xf numFmtId="0" fontId="16" fillId="58" borderId="0" xfId="0" applyFont="1" applyFill="1"/>
    <xf numFmtId="0" fontId="16" fillId="36" borderId="0" xfId="0" applyFont="1" applyFill="1"/>
    <xf numFmtId="0" fontId="16" fillId="37" borderId="0" xfId="0" applyFont="1" applyFill="1"/>
    <xf numFmtId="0" fontId="0" fillId="0" borderId="0" xfId="0"/>
    <xf numFmtId="0" fontId="23" fillId="33" borderId="0" xfId="0" applyFont="1" applyFill="1"/>
    <xf numFmtId="0" fontId="16" fillId="55" borderId="0" xfId="0" applyFont="1" applyFill="1"/>
    <xf numFmtId="0" fontId="16" fillId="57" borderId="0" xfId="0" applyFont="1" applyFill="1"/>
    <xf numFmtId="0" fontId="16" fillId="35" borderId="0" xfId="0" applyFont="1" applyFill="1"/>
    <xf numFmtId="0" fontId="20" fillId="0" borderId="0" xfId="0" applyFont="1"/>
    <xf numFmtId="0" fontId="26" fillId="33" borderId="0" xfId="0" applyFont="1" applyFill="1"/>
    <xf numFmtId="0" fontId="16" fillId="44" borderId="0" xfId="0" applyFont="1" applyFill="1"/>
    <xf numFmtId="0" fontId="16" fillId="39" borderId="0" xfId="0" applyFont="1" applyFill="1"/>
    <xf numFmtId="0" fontId="16" fillId="46" borderId="0" xfId="0" applyFont="1" applyFill="1"/>
    <xf numFmtId="0" fontId="0" fillId="0" borderId="0" xfId="0" applyNumberFormat="1"/>
    <xf numFmtId="49" fontId="0" fillId="0" borderId="0" xfId="0" applyNumberFormat="1"/>
    <xf numFmtId="0" fontId="26" fillId="59" borderId="0" xfId="0" applyFont="1" applyFill="1"/>
    <xf numFmtId="49" fontId="16" fillId="45" borderId="0" xfId="0" applyNumberFormat="1" applyFont="1" applyFill="1"/>
    <xf numFmtId="49" fontId="29" fillId="40" borderId="0" xfId="0" applyNumberFormat="1" applyFont="1" applyFill="1"/>
    <xf numFmtId="0" fontId="0" fillId="35" borderId="0" xfId="0" applyFill="1"/>
    <xf numFmtId="49" fontId="30" fillId="40" borderId="0" xfId="0" applyNumberFormat="1" applyFont="1" applyFill="1"/>
    <xf numFmtId="0" fontId="0" fillId="60" borderId="0" xfId="0" applyFill="1"/>
    <xf numFmtId="0" fontId="28" fillId="59" borderId="0" xfId="0" applyFont="1" applyFill="1"/>
    <xf numFmtId="0" fontId="30" fillId="40" borderId="0" xfId="0" quotePrefix="1" applyFont="1" applyFill="1"/>
    <xf numFmtId="6" fontId="0" fillId="0" borderId="0" xfId="0" applyNumberFormat="1"/>
    <xf numFmtId="0" fontId="31" fillId="33" borderId="0" xfId="0" applyFont="1" applyFill="1" applyAlignment="1">
      <alignment horizontal="center"/>
    </xf>
    <xf numFmtId="0" fontId="28" fillId="61" borderId="0" xfId="0" applyFont="1" applyFill="1" applyAlignment="1">
      <alignment horizontal="center"/>
    </xf>
    <xf numFmtId="0" fontId="23" fillId="33" borderId="11" xfId="0" applyFont="1" applyFill="1" applyBorder="1" applyAlignment="1">
      <alignment horizontal="left"/>
    </xf>
    <xf numFmtId="0" fontId="23" fillId="33" borderId="13" xfId="0" applyFont="1" applyFill="1" applyBorder="1" applyAlignment="1">
      <alignment horizontal="left"/>
    </xf>
    <xf numFmtId="0" fontId="23" fillId="33" borderId="15" xfId="0" applyFont="1" applyFill="1" applyBorder="1" applyAlignment="1">
      <alignment horizontal="left"/>
    </xf>
    <xf numFmtId="0" fontId="28" fillId="47" borderId="11" xfId="0" applyFont="1" applyFill="1" applyBorder="1" applyAlignment="1">
      <alignment horizontal="center"/>
    </xf>
    <xf numFmtId="0" fontId="0" fillId="0" borderId="0" xfId="0" applyBorder="1"/>
    <xf numFmtId="0" fontId="28" fillId="47" borderId="13" xfId="0" applyFont="1" applyFill="1" applyBorder="1" applyAlignment="1">
      <alignment horizontal="center"/>
    </xf>
    <xf numFmtId="0" fontId="28" fillId="47" borderId="15" xfId="0" applyFont="1" applyFill="1" applyBorder="1" applyAlignment="1">
      <alignment horizontal="center"/>
    </xf>
    <xf numFmtId="0" fontId="28" fillId="61" borderId="11" xfId="0" applyFont="1" applyFill="1" applyBorder="1" applyAlignment="1">
      <alignment horizontal="center"/>
    </xf>
    <xf numFmtId="0" fontId="28" fillId="61" borderId="13" xfId="0" applyFont="1" applyFill="1" applyBorder="1" applyAlignment="1">
      <alignment horizontal="center"/>
    </xf>
    <xf numFmtId="0" fontId="28" fillId="61" borderId="15" xfId="0" applyFont="1" applyFill="1" applyBorder="1" applyAlignment="1">
      <alignment horizontal="center"/>
    </xf>
    <xf numFmtId="0" fontId="23" fillId="33" borderId="17" xfId="0" applyFont="1" applyFill="1" applyBorder="1" applyAlignment="1">
      <alignment horizontal="center"/>
    </xf>
    <xf numFmtId="0" fontId="0" fillId="62" borderId="0" xfId="0" applyFill="1"/>
    <xf numFmtId="0" fontId="0" fillId="62" borderId="0" xfId="0" applyFill="1" applyBorder="1"/>
    <xf numFmtId="0" fontId="32" fillId="62" borderId="0" xfId="0" applyFont="1" applyFill="1"/>
    <xf numFmtId="0" fontId="32" fillId="62" borderId="0" xfId="0" applyFont="1" applyFill="1" applyBorder="1"/>
    <xf numFmtId="0" fontId="26" fillId="62" borderId="0" xfId="0" applyFont="1" applyFill="1"/>
    <xf numFmtId="0" fontId="23" fillId="62" borderId="0" xfId="0" applyFont="1" applyFill="1"/>
    <xf numFmtId="0" fontId="23" fillId="62" borderId="0" xfId="0" applyFont="1" applyFill="1"/>
    <xf numFmtId="164" fontId="32" fillId="62" borderId="0" xfId="0" applyNumberFormat="1" applyFont="1" applyFill="1"/>
    <xf numFmtId="0" fontId="33" fillId="62" borderId="0" xfId="0" applyFont="1" applyFill="1" applyAlignment="1">
      <alignment horizontal="center"/>
    </xf>
    <xf numFmtId="0" fontId="34" fillId="62" borderId="0" xfId="0" applyFont="1" applyFill="1" applyAlignment="1">
      <alignment horizontal="center"/>
    </xf>
    <xf numFmtId="0" fontId="35" fillId="33" borderId="0" xfId="0" applyFont="1" applyFill="1" applyAlignment="1">
      <alignment horizontal="center"/>
    </xf>
    <xf numFmtId="0" fontId="36" fillId="63" borderId="13" xfId="0" applyFont="1" applyFill="1" applyBorder="1" applyAlignment="1">
      <alignment horizontal="center"/>
    </xf>
    <xf numFmtId="0" fontId="36" fillId="63" borderId="15" xfId="0" applyFont="1" applyFill="1" applyBorder="1" applyAlignment="1">
      <alignment horizontal="center"/>
    </xf>
    <xf numFmtId="0" fontId="37" fillId="65" borderId="17" xfId="0" applyFont="1" applyFill="1" applyBorder="1"/>
    <xf numFmtId="0" fontId="37" fillId="65" borderId="0" xfId="0" applyFont="1" applyFill="1" applyBorder="1" applyAlignment="1">
      <alignment horizontal="center"/>
    </xf>
    <xf numFmtId="0" fontId="37" fillId="65" borderId="18" xfId="0" applyFont="1" applyFill="1" applyBorder="1" applyAlignment="1">
      <alignment horizontal="center"/>
    </xf>
    <xf numFmtId="0" fontId="32" fillId="64" borderId="17" xfId="0" applyFont="1" applyFill="1" applyBorder="1"/>
    <xf numFmtId="0" fontId="32" fillId="64" borderId="0" xfId="0" applyFont="1" applyFill="1" applyBorder="1" applyAlignment="1">
      <alignment horizontal="center"/>
    </xf>
    <xf numFmtId="0" fontId="32" fillId="64" borderId="18" xfId="0" applyFont="1" applyFill="1" applyBorder="1" applyAlignment="1">
      <alignment horizontal="center"/>
    </xf>
    <xf numFmtId="0" fontId="32" fillId="64" borderId="14" xfId="0" applyFont="1" applyFill="1" applyBorder="1"/>
    <xf numFmtId="0" fontId="32" fillId="64" borderId="12" xfId="0" applyFont="1" applyFill="1" applyBorder="1" applyAlignment="1">
      <alignment horizontal="center"/>
    </xf>
    <xf numFmtId="0" fontId="32" fillId="64" borderId="16" xfId="0" applyFont="1" applyFill="1" applyBorder="1" applyAlignment="1">
      <alignment horizontal="center"/>
    </xf>
    <xf numFmtId="0" fontId="37" fillId="65" borderId="18" xfId="0" applyFont="1" applyFill="1" applyBorder="1"/>
    <xf numFmtId="0" fontId="37" fillId="65" borderId="0" xfId="0" applyFont="1" applyFill="1"/>
    <xf numFmtId="0" fontId="32" fillId="64" borderId="18" xfId="0" applyFont="1" applyFill="1" applyBorder="1"/>
    <xf numFmtId="0" fontId="32" fillId="64" borderId="0" xfId="0" applyFont="1" applyFill="1"/>
    <xf numFmtId="0" fontId="32" fillId="64" borderId="16" xfId="0" applyFont="1" applyFill="1" applyBorder="1"/>
    <xf numFmtId="10" fontId="32" fillId="64" borderId="0" xfId="0" applyNumberFormat="1" applyFont="1" applyFill="1" applyBorder="1" applyAlignment="1">
      <alignment horizontal="center"/>
    </xf>
    <xf numFmtId="8" fontId="32" fillId="64" borderId="0" xfId="0" applyNumberFormat="1" applyFont="1" applyFill="1" applyBorder="1" applyAlignment="1">
      <alignment horizontal="center"/>
    </xf>
    <xf numFmtId="10" fontId="32" fillId="64" borderId="12" xfId="0" applyNumberFormat="1" applyFont="1" applyFill="1" applyBorder="1" applyAlignment="1">
      <alignment horizontal="center"/>
    </xf>
    <xf numFmtId="8" fontId="32" fillId="64" borderId="12" xfId="0" applyNumberFormat="1" applyFont="1" applyFill="1" applyBorder="1" applyAlignment="1">
      <alignment horizontal="center"/>
    </xf>
    <xf numFmtId="0" fontId="28" fillId="49" borderId="13" xfId="0" applyFont="1" applyFill="1" applyBorder="1" applyAlignment="1">
      <alignment horizontal="center"/>
    </xf>
    <xf numFmtId="0" fontId="28" fillId="49" borderId="11" xfId="0" applyFont="1" applyFill="1" applyBorder="1" applyAlignment="1">
      <alignment horizontal="center"/>
    </xf>
    <xf numFmtId="0" fontId="28" fillId="49" borderId="15" xfId="0" applyFont="1" applyFill="1" applyBorder="1" applyAlignment="1">
      <alignment horizontal="center"/>
    </xf>
    <xf numFmtId="0" fontId="32" fillId="64" borderId="0" xfId="0" applyFont="1" applyFill="1" applyBorder="1"/>
    <xf numFmtId="0" fontId="38" fillId="64" borderId="17" xfId="0" applyFont="1" applyFill="1" applyBorder="1"/>
    <xf numFmtId="0" fontId="38" fillId="64" borderId="0" xfId="0" applyFont="1" applyFill="1" applyBorder="1"/>
    <xf numFmtId="0" fontId="39" fillId="64" borderId="0" xfId="0" applyFont="1" applyFill="1" applyBorder="1" applyAlignment="1">
      <alignment horizontal="right"/>
    </xf>
    <xf numFmtId="0" fontId="39" fillId="64" borderId="18" xfId="0" applyFont="1" applyFill="1" applyBorder="1" applyAlignment="1">
      <alignment horizontal="right"/>
    </xf>
    <xf numFmtId="0" fontId="38" fillId="64" borderId="14" xfId="0" applyFont="1" applyFill="1" applyBorder="1"/>
    <xf numFmtId="0" fontId="38" fillId="64" borderId="12" xfId="0" applyFont="1" applyFill="1" applyBorder="1"/>
    <xf numFmtId="0" fontId="40" fillId="64" borderId="12" xfId="0" applyFont="1" applyFill="1" applyBorder="1" applyAlignment="1">
      <alignment horizontal="right"/>
    </xf>
    <xf numFmtId="0" fontId="40" fillId="64" borderId="16" xfId="0" applyFont="1" applyFill="1" applyBorder="1" applyAlignment="1">
      <alignment horizontal="right"/>
    </xf>
    <xf numFmtId="0" fontId="26" fillId="64" borderId="0" xfId="0" applyFont="1" applyFill="1"/>
    <xf numFmtId="0" fontId="41" fillId="63" borderId="14" xfId="0" applyFont="1" applyFill="1" applyBorder="1" applyAlignment="1">
      <alignment horizontal="center"/>
    </xf>
    <xf numFmtId="0" fontId="41" fillId="63" borderId="16" xfId="0" applyFont="1" applyFill="1" applyBorder="1" applyAlignment="1">
      <alignment horizontal="center"/>
    </xf>
    <xf numFmtId="0" fontId="42" fillId="63" borderId="14" xfId="0" applyFont="1" applyFill="1" applyBorder="1" applyAlignment="1">
      <alignment horizontal="center"/>
    </xf>
    <xf numFmtId="0" fontId="42" fillId="63" borderId="16" xfId="0" applyFont="1" applyFill="1" applyBorder="1" applyAlignment="1">
      <alignment horizontal="center"/>
    </xf>
    <xf numFmtId="0" fontId="43" fillId="63" borderId="13" xfId="0" applyFont="1" applyFill="1" applyBorder="1" applyAlignment="1">
      <alignment horizontal="center"/>
    </xf>
    <xf numFmtId="0" fontId="44" fillId="64" borderId="17" xfId="0" applyFont="1" applyFill="1" applyBorder="1"/>
    <xf numFmtId="0" fontId="44" fillId="64" borderId="0" xfId="0" applyFont="1" applyFill="1" applyBorder="1"/>
    <xf numFmtId="0" fontId="44" fillId="64" borderId="18" xfId="0" applyFont="1" applyFill="1" applyBorder="1"/>
    <xf numFmtId="0" fontId="44" fillId="64" borderId="14" xfId="0" applyFont="1" applyFill="1" applyBorder="1"/>
    <xf numFmtId="0" fontId="44" fillId="64" borderId="12" xfId="0" applyFont="1" applyFill="1" applyBorder="1"/>
    <xf numFmtId="0" fontId="44" fillId="64" borderId="16" xfId="0" applyFont="1" applyFill="1" applyBorder="1"/>
    <xf numFmtId="0" fontId="23" fillId="33" borderId="0" xfId="0" applyFont="1" applyFill="1" applyBorder="1" applyAlignment="1">
      <alignment horizontal="center"/>
    </xf>
    <xf numFmtId="0" fontId="37" fillId="65" borderId="0" xfId="0" applyFont="1" applyFill="1" applyBorder="1"/>
    <xf numFmtId="0" fontId="47" fillId="62" borderId="0" xfId="0" applyFont="1" applyFill="1" applyAlignment="1">
      <alignment horizontal="center"/>
    </xf>
    <xf numFmtId="0" fontId="23" fillId="33" borderId="0" xfId="0" applyFont="1" applyFill="1" applyAlignment="1">
      <alignment horizontal="center"/>
    </xf>
    <xf numFmtId="0" fontId="0" fillId="64" borderId="0" xfId="0" applyFill="1" applyBorder="1"/>
    <xf numFmtId="164" fontId="32" fillId="64" borderId="0" xfId="0" applyNumberFormat="1" applyFont="1" applyFill="1" applyBorder="1"/>
    <xf numFmtId="169" fontId="32" fillId="64" borderId="0" xfId="0" applyNumberFormat="1" applyFont="1" applyFill="1" applyBorder="1"/>
    <xf numFmtId="0" fontId="37" fillId="65" borderId="31" xfId="0" applyFont="1" applyFill="1" applyBorder="1"/>
    <xf numFmtId="0" fontId="32" fillId="64" borderId="31" xfId="0" applyFont="1" applyFill="1" applyBorder="1"/>
    <xf numFmtId="0" fontId="37" fillId="65" borderId="32" xfId="0" applyFont="1" applyFill="1" applyBorder="1"/>
    <xf numFmtId="0" fontId="32" fillId="64" borderId="32" xfId="0" applyFont="1" applyFill="1" applyBorder="1"/>
    <xf numFmtId="0" fontId="32" fillId="64" borderId="36" xfId="0" applyFont="1" applyFill="1" applyBorder="1"/>
    <xf numFmtId="0" fontId="32" fillId="64" borderId="37" xfId="0" applyFont="1" applyFill="1" applyBorder="1"/>
    <xf numFmtId="164" fontId="32" fillId="64" borderId="37" xfId="0" applyNumberFormat="1" applyFont="1" applyFill="1" applyBorder="1"/>
    <xf numFmtId="169" fontId="32" fillId="64" borderId="37" xfId="0" applyNumberFormat="1" applyFont="1" applyFill="1" applyBorder="1"/>
    <xf numFmtId="0" fontId="32" fillId="64" borderId="38" xfId="0" applyFont="1" applyFill="1" applyBorder="1"/>
    <xf numFmtId="0" fontId="37" fillId="65" borderId="39" xfId="0" applyFont="1" applyFill="1" applyBorder="1"/>
    <xf numFmtId="0" fontId="32" fillId="64" borderId="39" xfId="0" applyFont="1" applyFill="1" applyBorder="1"/>
    <xf numFmtId="0" fontId="37" fillId="65" borderId="40" xfId="0" applyFont="1" applyFill="1" applyBorder="1"/>
    <xf numFmtId="0" fontId="32" fillId="64" borderId="44" xfId="0" applyFont="1" applyFill="1" applyBorder="1"/>
    <xf numFmtId="0" fontId="32" fillId="64" borderId="45" xfId="0" applyFont="1" applyFill="1" applyBorder="1"/>
    <xf numFmtId="164" fontId="32" fillId="64" borderId="45" xfId="0" applyNumberFormat="1" applyFont="1" applyFill="1" applyBorder="1"/>
    <xf numFmtId="166" fontId="32" fillId="64" borderId="0" xfId="0" applyNumberFormat="1" applyFont="1" applyFill="1" applyBorder="1"/>
    <xf numFmtId="169" fontId="32" fillId="64" borderId="32" xfId="0" applyNumberFormat="1" applyFont="1" applyFill="1" applyBorder="1"/>
    <xf numFmtId="166" fontId="32" fillId="64" borderId="37" xfId="0" applyNumberFormat="1" applyFont="1" applyFill="1" applyBorder="1"/>
    <xf numFmtId="169" fontId="32" fillId="64" borderId="38" xfId="0" applyNumberFormat="1" applyFont="1" applyFill="1" applyBorder="1"/>
    <xf numFmtId="168" fontId="38" fillId="64" borderId="0" xfId="0" applyNumberFormat="1" applyFont="1" applyFill="1" applyBorder="1"/>
    <xf numFmtId="0" fontId="37" fillId="65" borderId="47" xfId="0" applyFont="1" applyFill="1" applyBorder="1"/>
    <xf numFmtId="0" fontId="32" fillId="62" borderId="0" xfId="0" applyFont="1" applyFill="1" applyAlignment="1">
      <alignment horizontal="center" vertical="center" wrapText="1"/>
    </xf>
    <xf numFmtId="0" fontId="50" fillId="62" borderId="26" xfId="0" applyFont="1" applyFill="1" applyBorder="1" applyAlignment="1">
      <alignment horizontal="center" vertical="center" wrapText="1"/>
    </xf>
    <xf numFmtId="0" fontId="50" fillId="62" borderId="24" xfId="0" applyFont="1" applyFill="1" applyBorder="1" applyAlignment="1">
      <alignment horizontal="center" vertical="center" wrapText="1"/>
    </xf>
    <xf numFmtId="0" fontId="26" fillId="62" borderId="25" xfId="0" applyFont="1" applyFill="1" applyBorder="1" applyAlignment="1">
      <alignment horizontal="center"/>
    </xf>
    <xf numFmtId="0" fontId="26" fillId="62" borderId="0" xfId="0" applyFont="1" applyFill="1" applyBorder="1" applyAlignment="1">
      <alignment horizontal="center"/>
    </xf>
    <xf numFmtId="0" fontId="26" fillId="62" borderId="27" xfId="0" applyFont="1" applyFill="1" applyBorder="1" applyAlignment="1">
      <alignment horizontal="center"/>
    </xf>
    <xf numFmtId="0" fontId="26" fillId="62" borderId="26" xfId="0" applyFont="1" applyFill="1" applyBorder="1" applyAlignment="1">
      <alignment horizontal="center"/>
    </xf>
    <xf numFmtId="0" fontId="32" fillId="62" borderId="24" xfId="0" applyFont="1" applyFill="1" applyBorder="1" applyAlignment="1">
      <alignment horizontal="center"/>
    </xf>
    <xf numFmtId="0" fontId="32" fillId="62" borderId="28" xfId="0" applyFont="1" applyFill="1" applyBorder="1" applyAlignment="1">
      <alignment horizontal="center"/>
    </xf>
    <xf numFmtId="0" fontId="51" fillId="63" borderId="54" xfId="0" applyFont="1" applyFill="1" applyBorder="1"/>
    <xf numFmtId="14" fontId="52" fillId="63" borderId="53" xfId="0" applyNumberFormat="1" applyFont="1" applyFill="1" applyBorder="1"/>
    <xf numFmtId="0" fontId="52" fillId="63" borderId="53" xfId="0" applyFont="1" applyFill="1" applyBorder="1"/>
    <xf numFmtId="0" fontId="51" fillId="63" borderId="53" xfId="0" applyFont="1" applyFill="1" applyBorder="1"/>
    <xf numFmtId="0" fontId="52" fillId="63" borderId="55" xfId="0" applyFont="1" applyFill="1" applyBorder="1"/>
    <xf numFmtId="0" fontId="55" fillId="64" borderId="40" xfId="0" applyFont="1" applyFill="1" applyBorder="1"/>
    <xf numFmtId="0" fontId="55" fillId="64" borderId="46" xfId="0" applyFont="1" applyFill="1" applyBorder="1"/>
    <xf numFmtId="166" fontId="38" fillId="64" borderId="57" xfId="0" applyNumberFormat="1" applyFont="1" applyFill="1" applyBorder="1"/>
    <xf numFmtId="0" fontId="38" fillId="64" borderId="47" xfId="0" applyFont="1" applyFill="1" applyBorder="1"/>
    <xf numFmtId="0" fontId="38" fillId="64" borderId="51" xfId="0" applyFont="1" applyFill="1" applyBorder="1"/>
    <xf numFmtId="0" fontId="37" fillId="65" borderId="48" xfId="0" applyFont="1" applyFill="1" applyBorder="1"/>
    <xf numFmtId="0" fontId="38" fillId="64" borderId="48" xfId="0" applyFont="1" applyFill="1" applyBorder="1"/>
    <xf numFmtId="0" fontId="38" fillId="64" borderId="52" xfId="0" applyFont="1" applyFill="1" applyBorder="1"/>
    <xf numFmtId="0" fontId="0" fillId="64" borderId="59" xfId="0" applyFill="1" applyBorder="1"/>
    <xf numFmtId="0" fontId="32" fillId="64" borderId="59" xfId="0" applyFont="1" applyFill="1" applyBorder="1"/>
    <xf numFmtId="0" fontId="48" fillId="64" borderId="61" xfId="0" applyFont="1" applyFill="1" applyBorder="1"/>
    <xf numFmtId="0" fontId="46" fillId="64" borderId="61" xfId="0" applyFont="1" applyFill="1" applyBorder="1"/>
    <xf numFmtId="0" fontId="46" fillId="64" borderId="62" xfId="0" applyFont="1" applyFill="1" applyBorder="1"/>
    <xf numFmtId="0" fontId="0" fillId="64" borderId="64" xfId="0" applyFill="1" applyBorder="1"/>
    <xf numFmtId="0" fontId="0" fillId="64" borderId="65" xfId="0" applyFill="1" applyBorder="1"/>
    <xf numFmtId="0" fontId="32" fillId="64" borderId="70" xfId="0" applyFont="1" applyFill="1" applyBorder="1"/>
    <xf numFmtId="0" fontId="37" fillId="65" borderId="71" xfId="0" applyFont="1" applyFill="1" applyBorder="1"/>
    <xf numFmtId="0" fontId="32" fillId="64" borderId="71" xfId="0" applyFont="1" applyFill="1" applyBorder="1"/>
    <xf numFmtId="0" fontId="32" fillId="64" borderId="72" xfId="0" applyFont="1" applyFill="1" applyBorder="1"/>
    <xf numFmtId="0" fontId="37" fillId="65" borderId="73" xfId="0" applyFont="1" applyFill="1" applyBorder="1"/>
    <xf numFmtId="0" fontId="32" fillId="64" borderId="73" xfId="0" applyFont="1" applyFill="1" applyBorder="1"/>
    <xf numFmtId="0" fontId="32" fillId="64" borderId="74" xfId="0" applyFont="1" applyFill="1" applyBorder="1"/>
    <xf numFmtId="0" fontId="32" fillId="64" borderId="76" xfId="0" applyFont="1" applyFill="1" applyBorder="1"/>
    <xf numFmtId="0" fontId="49" fillId="64" borderId="78" xfId="0" applyFont="1" applyFill="1" applyBorder="1"/>
    <xf numFmtId="0" fontId="49" fillId="64" borderId="79" xfId="0" applyFont="1" applyFill="1" applyBorder="1"/>
    <xf numFmtId="0" fontId="32" fillId="64" borderId="81" xfId="0" applyFont="1" applyFill="1" applyBorder="1"/>
    <xf numFmtId="0" fontId="32" fillId="64" borderId="82" xfId="0" applyFont="1" applyFill="1" applyBorder="1"/>
    <xf numFmtId="0" fontId="50" fillId="69" borderId="24" xfId="0" applyFont="1" applyFill="1" applyBorder="1" applyAlignment="1">
      <alignment horizontal="center" vertical="center" wrapText="1"/>
    </xf>
    <xf numFmtId="0" fontId="50" fillId="69" borderId="28" xfId="0" applyFont="1" applyFill="1" applyBorder="1" applyAlignment="1">
      <alignment horizontal="center" vertical="center" wrapText="1"/>
    </xf>
    <xf numFmtId="0" fontId="50" fillId="70" borderId="24" xfId="0" applyFont="1" applyFill="1" applyBorder="1" applyAlignment="1">
      <alignment horizontal="center" vertical="center" wrapText="1"/>
    </xf>
    <xf numFmtId="0" fontId="23" fillId="69" borderId="23" xfId="0" applyFont="1" applyFill="1" applyBorder="1" applyAlignment="1">
      <alignment horizontal="center" vertical="center" wrapText="1"/>
    </xf>
    <xf numFmtId="0" fontId="23" fillId="69" borderId="30" xfId="0" applyFont="1" applyFill="1" applyBorder="1" applyAlignment="1">
      <alignment horizontal="center" vertical="center" wrapText="1"/>
    </xf>
    <xf numFmtId="0" fontId="23" fillId="70" borderId="23" xfId="0" applyFont="1" applyFill="1" applyBorder="1" applyAlignment="1">
      <alignment horizontal="center" vertical="center" wrapText="1"/>
    </xf>
    <xf numFmtId="0" fontId="23" fillId="71" borderId="23" xfId="0" applyFont="1" applyFill="1" applyBorder="1" applyAlignment="1">
      <alignment horizontal="center" vertical="center" wrapText="1"/>
    </xf>
    <xf numFmtId="0" fontId="50" fillId="71" borderId="24" xfId="0" applyFont="1" applyFill="1" applyBorder="1" applyAlignment="1">
      <alignment horizontal="center" vertical="center" wrapText="1"/>
    </xf>
    <xf numFmtId="0" fontId="23" fillId="66" borderId="29" xfId="0" applyFont="1" applyFill="1" applyBorder="1" applyAlignment="1">
      <alignment horizontal="center" vertical="center" wrapText="1"/>
    </xf>
    <xf numFmtId="0" fontId="23" fillId="66" borderId="23" xfId="0" applyFont="1" applyFill="1" applyBorder="1" applyAlignment="1">
      <alignment horizontal="center" vertical="center" wrapText="1"/>
    </xf>
    <xf numFmtId="0" fontId="54" fillId="33" borderId="66" xfId="0" applyFont="1" applyFill="1" applyBorder="1" applyAlignment="1">
      <alignment horizontal="center"/>
    </xf>
    <xf numFmtId="0" fontId="54" fillId="33" borderId="19" xfId="0" applyFont="1" applyFill="1" applyBorder="1" applyAlignment="1">
      <alignment horizontal="center"/>
    </xf>
    <xf numFmtId="0" fontId="54" fillId="33" borderId="68" xfId="0" applyFont="1" applyFill="1" applyBorder="1" applyAlignment="1">
      <alignment horizontal="center"/>
    </xf>
    <xf numFmtId="0" fontId="56" fillId="64" borderId="21" xfId="0" applyFont="1" applyFill="1" applyBorder="1"/>
    <xf numFmtId="0" fontId="56" fillId="64" borderId="0" xfId="0" applyFont="1" applyFill="1" applyBorder="1"/>
    <xf numFmtId="0" fontId="56" fillId="64" borderId="22" xfId="0" applyFont="1" applyFill="1" applyBorder="1"/>
    <xf numFmtId="0" fontId="56" fillId="64" borderId="67" xfId="0" applyFont="1" applyFill="1" applyBorder="1"/>
    <xf numFmtId="0" fontId="56" fillId="64" borderId="20" xfId="0" applyFont="1" applyFill="1" applyBorder="1"/>
    <xf numFmtId="0" fontId="56" fillId="64" borderId="69" xfId="0" applyFont="1" applyFill="1" applyBorder="1"/>
    <xf numFmtId="0" fontId="54" fillId="53" borderId="71" xfId="0" applyFont="1" applyFill="1" applyBorder="1" applyAlignment="1">
      <alignment horizontal="center"/>
    </xf>
    <xf numFmtId="0" fontId="54" fillId="53" borderId="0" xfId="0" applyFont="1" applyFill="1" applyBorder="1" applyAlignment="1">
      <alignment horizontal="center"/>
    </xf>
    <xf numFmtId="0" fontId="54" fillId="65" borderId="77" xfId="0" applyFont="1" applyFill="1" applyBorder="1" applyAlignment="1">
      <alignment horizontal="center"/>
    </xf>
    <xf numFmtId="0" fontId="54" fillId="65" borderId="75" xfId="0" applyFont="1" applyFill="1" applyBorder="1" applyAlignment="1">
      <alignment horizontal="center"/>
    </xf>
    <xf numFmtId="0" fontId="54" fillId="65" borderId="80" xfId="0" applyFont="1" applyFill="1" applyBorder="1" applyAlignment="1">
      <alignment horizontal="center"/>
    </xf>
    <xf numFmtId="0" fontId="23" fillId="72" borderId="0" xfId="0" applyFont="1" applyFill="1" applyAlignment="1">
      <alignment horizontal="center"/>
    </xf>
    <xf numFmtId="0" fontId="53" fillId="72" borderId="0" xfId="0" applyFont="1" applyFill="1"/>
    <xf numFmtId="0" fontId="23" fillId="47" borderId="33" xfId="0" applyFont="1" applyFill="1" applyBorder="1" applyAlignment="1">
      <alignment horizontal="center"/>
    </xf>
    <xf numFmtId="0" fontId="23" fillId="47" borderId="34" xfId="0" applyFont="1" applyFill="1" applyBorder="1" applyAlignment="1">
      <alignment horizontal="center"/>
    </xf>
    <xf numFmtId="0" fontId="23" fillId="47" borderId="35" xfId="0" applyFont="1" applyFill="1" applyBorder="1" applyAlignment="1">
      <alignment horizontal="center"/>
    </xf>
    <xf numFmtId="0" fontId="23" fillId="51" borderId="60" xfId="0" applyFont="1" applyFill="1" applyBorder="1" applyAlignment="1">
      <alignment horizontal="center"/>
    </xf>
    <xf numFmtId="0" fontId="23" fillId="51" borderId="58" xfId="0" applyFont="1" applyFill="1" applyBorder="1" applyAlignment="1">
      <alignment horizontal="center"/>
    </xf>
    <xf numFmtId="0" fontId="23" fillId="51" borderId="63" xfId="0" applyFont="1" applyFill="1" applyBorder="1" applyAlignment="1">
      <alignment horizontal="center"/>
    </xf>
    <xf numFmtId="0" fontId="23" fillId="67" borderId="41" xfId="0" applyFont="1" applyFill="1" applyBorder="1" applyAlignment="1">
      <alignment horizontal="center"/>
    </xf>
    <xf numFmtId="0" fontId="23" fillId="67" borderId="42" xfId="0" applyFont="1" applyFill="1" applyBorder="1" applyAlignment="1">
      <alignment horizontal="center"/>
    </xf>
    <xf numFmtId="0" fontId="23" fillId="67" borderId="43" xfId="0" applyFont="1" applyFill="1" applyBorder="1" applyAlignment="1">
      <alignment horizontal="center"/>
    </xf>
    <xf numFmtId="0" fontId="23" fillId="68" borderId="49" xfId="0" applyFont="1" applyFill="1" applyBorder="1" applyAlignment="1">
      <alignment horizontal="center"/>
    </xf>
    <xf numFmtId="0" fontId="23" fillId="68" borderId="56" xfId="0" applyFont="1" applyFill="1" applyBorder="1" applyAlignment="1">
      <alignment horizontal="center"/>
    </xf>
    <xf numFmtId="0" fontId="23" fillId="68" borderId="50" xfId="0" applyFont="1" applyFill="1" applyBorder="1" applyAlignment="1">
      <alignment horizontal="center"/>
    </xf>
    <xf numFmtId="0" fontId="50" fillId="62" borderId="0" xfId="0" applyFont="1" applyFill="1" applyAlignment="1">
      <alignment horizontal="center"/>
    </xf>
    <xf numFmtId="0" fontId="57" fillId="62" borderId="0" xfId="0" applyFont="1" applyFill="1" applyAlignment="1">
      <alignment horizontal="center"/>
    </xf>
    <xf numFmtId="0" fontId="24" fillId="62" borderId="29" xfId="0" applyFont="1" applyFill="1" applyBorder="1" applyAlignment="1">
      <alignment horizontal="center"/>
    </xf>
    <xf numFmtId="0" fontId="24" fillId="62" borderId="23" xfId="0" applyFont="1" applyFill="1" applyBorder="1" applyAlignment="1">
      <alignment horizontal="center"/>
    </xf>
    <xf numFmtId="0" fontId="24" fillId="62" borderId="30" xfId="0" applyFont="1" applyFill="1" applyBorder="1" applyAlignment="1">
      <alignment horizontal="center"/>
    </xf>
    <xf numFmtId="0" fontId="36" fillId="62"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1">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right/>
        <top style="double">
          <color theme="9"/>
        </top>
        <bottom style="thin">
          <color theme="9" tint="0.39997558519241921"/>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27" formatCode="m/d/yyyy\ h:mm"/>
      <alignment horizontal="center" vertical="bottom" textRotation="0" wrapText="0" indent="0" justifyLastLine="0" shrinkToFit="0" readingOrder="0"/>
    </dxf>
    <dxf>
      <numFmt numFmtId="27" formatCode="m/d/yyyy\ h:mm"/>
    </dxf>
    <dxf>
      <numFmt numFmtId="27" formatCode="m/d/yyyy\ h:mm"/>
    </dxf>
    <dxf>
      <numFmt numFmtId="27" formatCode="m/d/yyyy\ h:mm"/>
    </dxf>
    <dxf>
      <numFmt numFmtId="27" formatCode="m/d/yyyy\ h:mm"/>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C7546"/>
      <color rgb="FFD5E40E"/>
      <color rgb="FFE6F339"/>
      <color rgb="FFB0BD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21" Type="http://schemas.microsoft.com/office/2007/relationships/slicerCache" Target="slicerCaches/slicerCache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theme" Target="theme/theme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[Synth_Data_3_20_2026_1000 New.xlsx]Cascade_Cargo_late_20%!PivotTable2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5370458210798"/>
          <c:y val="8.841000138140627E-2"/>
          <c:w val="0.59552316879064815"/>
          <c:h val="0.86682037243491339"/>
        </c:manualLayout>
      </c:layout>
      <c:barChart>
        <c:barDir val="col"/>
        <c:grouping val="clustered"/>
        <c:varyColors val="0"/>
        <c:ser>
          <c:idx val="0"/>
          <c:order val="0"/>
          <c:tx>
            <c:strRef>
              <c:f>'Cascade_Cargo_late_20%'!$A$4:$A$6</c:f>
              <c:strCache>
                <c:ptCount val="1"/>
                <c:pt idx="0">
                  <c:v>Cascade Cargo - Sum of total_shipments</c:v>
                </c:pt>
              </c:strCache>
            </c:strRef>
          </c:tx>
          <c:spPr>
            <a:solidFill>
              <a:schemeClr val="accent1"/>
            </a:solidFill>
            <a:ln>
              <a:noFill/>
            </a:ln>
            <a:effectLst/>
          </c:spPr>
          <c:invertIfNegative val="0"/>
          <c:cat>
            <c:strRef>
              <c:f>'Cascade_Cargo_late_20%'!$A$7</c:f>
              <c:strCache>
                <c:ptCount val="1"/>
                <c:pt idx="0">
                  <c:v>Total</c:v>
                </c:pt>
              </c:strCache>
            </c:strRef>
          </c:cat>
          <c:val>
            <c:numRef>
              <c:f>'Cascade_Cargo_late_20%'!$A$7</c:f>
              <c:numCache>
                <c:formatCode>General</c:formatCode>
                <c:ptCount val="1"/>
                <c:pt idx="0">
                  <c:v>77</c:v>
                </c:pt>
              </c:numCache>
            </c:numRef>
          </c:val>
          <c:extLst>
            <c:ext xmlns:c16="http://schemas.microsoft.com/office/drawing/2014/chart" uri="{C3380CC4-5D6E-409C-BE32-E72D297353CC}">
              <c16:uniqueId val="{00000000-6531-4646-B972-19B6E103859E}"/>
            </c:ext>
          </c:extLst>
        </c:ser>
        <c:ser>
          <c:idx val="1"/>
          <c:order val="1"/>
          <c:tx>
            <c:strRef>
              <c:f>'Cascade_Cargo_late_20%'!$B$4:$B$6</c:f>
              <c:strCache>
                <c:ptCount val="1"/>
                <c:pt idx="0">
                  <c:v>Cascade Cargo - Sum of on_time_count</c:v>
                </c:pt>
              </c:strCache>
            </c:strRef>
          </c:tx>
          <c:spPr>
            <a:solidFill>
              <a:schemeClr val="accent2"/>
            </a:solidFill>
            <a:ln>
              <a:noFill/>
            </a:ln>
            <a:effectLst/>
          </c:spPr>
          <c:invertIfNegative val="0"/>
          <c:cat>
            <c:strRef>
              <c:f>'Cascade_Cargo_late_20%'!$A$7</c:f>
              <c:strCache>
                <c:ptCount val="1"/>
                <c:pt idx="0">
                  <c:v>Total</c:v>
                </c:pt>
              </c:strCache>
            </c:strRef>
          </c:cat>
          <c:val>
            <c:numRef>
              <c:f>'Cascade_Cargo_late_20%'!$B$7</c:f>
              <c:numCache>
                <c:formatCode>General</c:formatCode>
                <c:ptCount val="1"/>
                <c:pt idx="0">
                  <c:v>62</c:v>
                </c:pt>
              </c:numCache>
            </c:numRef>
          </c:val>
          <c:extLst>
            <c:ext xmlns:c16="http://schemas.microsoft.com/office/drawing/2014/chart" uri="{C3380CC4-5D6E-409C-BE32-E72D297353CC}">
              <c16:uniqueId val="{00000001-6531-4646-B972-19B6E103859E}"/>
            </c:ext>
          </c:extLst>
        </c:ser>
        <c:ser>
          <c:idx val="2"/>
          <c:order val="2"/>
          <c:tx>
            <c:strRef>
              <c:f>'Cascade_Cargo_late_20%'!$C$4:$C$6</c:f>
              <c:strCache>
                <c:ptCount val="1"/>
                <c:pt idx="0">
                  <c:v>Cascade Cargo - Sum of Late_count</c:v>
                </c:pt>
              </c:strCache>
            </c:strRef>
          </c:tx>
          <c:spPr>
            <a:solidFill>
              <a:schemeClr val="accent3"/>
            </a:solidFill>
            <a:ln>
              <a:noFill/>
            </a:ln>
            <a:effectLst/>
          </c:spPr>
          <c:invertIfNegative val="0"/>
          <c:cat>
            <c:strRef>
              <c:f>'Cascade_Cargo_late_20%'!$A$7</c:f>
              <c:strCache>
                <c:ptCount val="1"/>
                <c:pt idx="0">
                  <c:v>Total</c:v>
                </c:pt>
              </c:strCache>
            </c:strRef>
          </c:cat>
          <c:val>
            <c:numRef>
              <c:f>'Cascade_Cargo_late_20%'!$C$7</c:f>
              <c:numCache>
                <c:formatCode>General</c:formatCode>
                <c:ptCount val="1"/>
                <c:pt idx="0">
                  <c:v>15</c:v>
                </c:pt>
              </c:numCache>
            </c:numRef>
          </c:val>
          <c:extLst>
            <c:ext xmlns:c16="http://schemas.microsoft.com/office/drawing/2014/chart" uri="{C3380CC4-5D6E-409C-BE32-E72D297353CC}">
              <c16:uniqueId val="{00000002-6531-4646-B972-19B6E103859E}"/>
            </c:ext>
          </c:extLst>
        </c:ser>
        <c:dLbls>
          <c:showLegendKey val="0"/>
          <c:showVal val="0"/>
          <c:showCatName val="0"/>
          <c:showSerName val="0"/>
          <c:showPercent val="0"/>
          <c:showBubbleSize val="0"/>
        </c:dLbls>
        <c:gapWidth val="219"/>
        <c:overlap val="-27"/>
        <c:axId val="1633023759"/>
        <c:axId val="1633011759"/>
      </c:barChart>
      <c:catAx>
        <c:axId val="16330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011759"/>
        <c:crosses val="autoZero"/>
        <c:auto val="1"/>
        <c:lblAlgn val="ctr"/>
        <c:lblOffset val="100"/>
        <c:noMultiLvlLbl val="0"/>
      </c:catAx>
      <c:valAx>
        <c:axId val="163301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023759"/>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[Synth_Data_3_20_2026_1000 New.xlsx]Variable_CPM!PivotTable2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'variable_cost_per_mile' by 'truck_types' and 'shipment_value_bucket'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Variable_CPM!$B$2:$B$3</c:f>
              <c:strCache>
                <c:ptCount val="1"/>
                <c:pt idx="0">
                  <c:v>High</c:v>
                </c:pt>
              </c:strCache>
            </c:strRef>
          </c:tx>
          <c:spPr>
            <a:solidFill>
              <a:schemeClr val="accent1"/>
            </a:solidFill>
            <a:ln>
              <a:noFill/>
            </a:ln>
            <a:effectLst/>
          </c:spPr>
          <c:invertIfNegative val="0"/>
          <c:cat>
            <c:strRef>
              <c:f>Variable_CPM!$A$4:$A$9</c:f>
              <c:strCache>
                <c:ptCount val="5"/>
                <c:pt idx="0">
                  <c:v>Dry Van</c:v>
                </c:pt>
                <c:pt idx="1">
                  <c:v>Flatbed</c:v>
                </c:pt>
                <c:pt idx="2">
                  <c:v>Intermodal</c:v>
                </c:pt>
                <c:pt idx="3">
                  <c:v>Reefer</c:v>
                </c:pt>
                <c:pt idx="4">
                  <c:v>Tanker</c:v>
                </c:pt>
              </c:strCache>
            </c:strRef>
          </c:cat>
          <c:val>
            <c:numRef>
              <c:f>Variable_CPM!$B$4:$B$9</c:f>
              <c:numCache>
                <c:formatCode>General</c:formatCode>
                <c:ptCount val="5"/>
                <c:pt idx="0">
                  <c:v>1.4640677966101692</c:v>
                </c:pt>
                <c:pt idx="1">
                  <c:v>1.6270000000000002</c:v>
                </c:pt>
                <c:pt idx="2">
                  <c:v>1.3790909090909091</c:v>
                </c:pt>
                <c:pt idx="3">
                  <c:v>1.6456521739130436</c:v>
                </c:pt>
                <c:pt idx="4">
                  <c:v>1.6512500000000001</c:v>
                </c:pt>
              </c:numCache>
            </c:numRef>
          </c:val>
          <c:extLst>
            <c:ext xmlns:c16="http://schemas.microsoft.com/office/drawing/2014/chart" uri="{C3380CC4-5D6E-409C-BE32-E72D297353CC}">
              <c16:uniqueId val="{00000000-50B3-4443-8230-1C49652C02B6}"/>
            </c:ext>
          </c:extLst>
        </c:ser>
        <c:ser>
          <c:idx val="1"/>
          <c:order val="1"/>
          <c:tx>
            <c:strRef>
              <c:f>Variable_CPM!$C$2:$C$3</c:f>
              <c:strCache>
                <c:ptCount val="1"/>
                <c:pt idx="0">
                  <c:v>Low</c:v>
                </c:pt>
              </c:strCache>
            </c:strRef>
          </c:tx>
          <c:spPr>
            <a:solidFill>
              <a:schemeClr val="accent2"/>
            </a:solidFill>
            <a:ln>
              <a:noFill/>
            </a:ln>
            <a:effectLst/>
          </c:spPr>
          <c:invertIfNegative val="0"/>
          <c:cat>
            <c:strRef>
              <c:f>Variable_CPM!$A$4:$A$9</c:f>
              <c:strCache>
                <c:ptCount val="5"/>
                <c:pt idx="0">
                  <c:v>Dry Van</c:v>
                </c:pt>
                <c:pt idx="1">
                  <c:v>Flatbed</c:v>
                </c:pt>
                <c:pt idx="2">
                  <c:v>Intermodal</c:v>
                </c:pt>
                <c:pt idx="3">
                  <c:v>Reefer</c:v>
                </c:pt>
                <c:pt idx="4">
                  <c:v>Tanker</c:v>
                </c:pt>
              </c:strCache>
            </c:strRef>
          </c:cat>
          <c:val>
            <c:numRef>
              <c:f>Variable_CPM!$C$4:$C$9</c:f>
              <c:numCache>
                <c:formatCode>General</c:formatCode>
                <c:ptCount val="5"/>
                <c:pt idx="0">
                  <c:v>1.5048659003831424</c:v>
                </c:pt>
                <c:pt idx="1">
                  <c:v>1.5963636363636358</c:v>
                </c:pt>
                <c:pt idx="2">
                  <c:v>1.4422033898305084</c:v>
                </c:pt>
                <c:pt idx="3">
                  <c:v>1.6606164383561641</c:v>
                </c:pt>
                <c:pt idx="4">
                  <c:v>1.7499999999999998</c:v>
                </c:pt>
              </c:numCache>
            </c:numRef>
          </c:val>
          <c:extLst>
            <c:ext xmlns:c16="http://schemas.microsoft.com/office/drawing/2014/chart" uri="{C3380CC4-5D6E-409C-BE32-E72D297353CC}">
              <c16:uniqueId val="{00000001-50B3-4443-8230-1C49652C02B6}"/>
            </c:ext>
          </c:extLst>
        </c:ser>
        <c:ser>
          <c:idx val="2"/>
          <c:order val="2"/>
          <c:tx>
            <c:strRef>
              <c:f>Variable_CPM!$D$2:$D$3</c:f>
              <c:strCache>
                <c:ptCount val="1"/>
                <c:pt idx="0">
                  <c:v>Medium</c:v>
                </c:pt>
              </c:strCache>
            </c:strRef>
          </c:tx>
          <c:spPr>
            <a:solidFill>
              <a:schemeClr val="accent3"/>
            </a:solidFill>
            <a:ln>
              <a:noFill/>
            </a:ln>
            <a:effectLst/>
          </c:spPr>
          <c:invertIfNegative val="0"/>
          <c:cat>
            <c:strRef>
              <c:f>Variable_CPM!$A$4:$A$9</c:f>
              <c:strCache>
                <c:ptCount val="5"/>
                <c:pt idx="0">
                  <c:v>Dry Van</c:v>
                </c:pt>
                <c:pt idx="1">
                  <c:v>Flatbed</c:v>
                </c:pt>
                <c:pt idx="2">
                  <c:v>Intermodal</c:v>
                </c:pt>
                <c:pt idx="3">
                  <c:v>Reefer</c:v>
                </c:pt>
                <c:pt idx="4">
                  <c:v>Tanker</c:v>
                </c:pt>
              </c:strCache>
            </c:strRef>
          </c:cat>
          <c:val>
            <c:numRef>
              <c:f>Variable_CPM!$D$4:$D$9</c:f>
              <c:numCache>
                <c:formatCode>General</c:formatCode>
                <c:ptCount val="5"/>
                <c:pt idx="0">
                  <c:v>1.5046540880503143</c:v>
                </c:pt>
                <c:pt idx="1">
                  <c:v>1.6007843137254905</c:v>
                </c:pt>
                <c:pt idx="2">
                  <c:v>1.4278571428571432</c:v>
                </c:pt>
                <c:pt idx="3">
                  <c:v>1.6536923076923078</c:v>
                </c:pt>
                <c:pt idx="4">
                  <c:v>1.7407692307692306</c:v>
                </c:pt>
              </c:numCache>
            </c:numRef>
          </c:val>
          <c:extLst>
            <c:ext xmlns:c16="http://schemas.microsoft.com/office/drawing/2014/chart" uri="{C3380CC4-5D6E-409C-BE32-E72D297353CC}">
              <c16:uniqueId val="{00000002-50B3-4443-8230-1C49652C02B6}"/>
            </c:ext>
          </c:extLst>
        </c:ser>
        <c:dLbls>
          <c:showLegendKey val="0"/>
          <c:showVal val="0"/>
          <c:showCatName val="0"/>
          <c:showSerName val="0"/>
          <c:showPercent val="0"/>
          <c:showBubbleSize val="0"/>
        </c:dLbls>
        <c:gapWidth val="160"/>
        <c:overlap val="-30"/>
        <c:axId val="1287915168"/>
        <c:axId val="1915333632"/>
      </c:barChart>
      <c:catAx>
        <c:axId val="128791516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truck_types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33632"/>
        <c:crosses val="autoZero"/>
        <c:auto val="1"/>
        <c:lblAlgn val="ctr"/>
        <c:lblOffset val="100"/>
        <c:noMultiLvlLbl val="0"/>
      </c:catAx>
      <c:valAx>
        <c:axId val="1915333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variable_cost_per_mile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151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[Synth_Data_3_20_2026_1000 New.xlsx]%delay_by_reason!PivotTable3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2094534953733"/>
          <c:y val="6.0443701520550168E-2"/>
          <c:w val="0.75232108486439198"/>
          <c:h val="0.82739485330513229"/>
        </c:manualLayout>
      </c:layout>
      <c:barChart>
        <c:barDir val="bar"/>
        <c:grouping val="clustered"/>
        <c:varyColors val="0"/>
        <c:ser>
          <c:idx val="0"/>
          <c:order val="0"/>
          <c:tx>
            <c:strRef>
              <c:f>'%delay_by_reason'!$D$4</c:f>
              <c:strCache>
                <c:ptCount val="1"/>
                <c:pt idx="0">
                  <c:v>Total</c:v>
                </c:pt>
              </c:strCache>
            </c:strRef>
          </c:tx>
          <c:spPr>
            <a:solidFill>
              <a:schemeClr val="accent1"/>
            </a:solidFill>
            <a:ln>
              <a:noFill/>
            </a:ln>
            <a:effectLst/>
          </c:spPr>
          <c:invertIfNegative val="0"/>
          <c:cat>
            <c:strRef>
              <c:f>'%delay_by_reason'!$C$5:$C$10</c:f>
              <c:strCache>
                <c:ptCount val="5"/>
                <c:pt idx="0">
                  <c:v>detention</c:v>
                </c:pt>
                <c:pt idx="2">
                  <c:v>traffic</c:v>
                </c:pt>
                <c:pt idx="3">
                  <c:v>weather</c:v>
                </c:pt>
                <c:pt idx="4">
                  <c:v>mechanical</c:v>
                </c:pt>
              </c:strCache>
            </c:strRef>
          </c:cat>
          <c:val>
            <c:numRef>
              <c:f>'%delay_by_reason'!$D$5:$D$10</c:f>
              <c:numCache>
                <c:formatCode>0.00%</c:formatCode>
                <c:ptCount val="5"/>
                <c:pt idx="0">
                  <c:v>0.7557839072171143</c:v>
                </c:pt>
                <c:pt idx="1">
                  <c:v>0.22468601646535666</c:v>
                </c:pt>
                <c:pt idx="2">
                  <c:v>1.2258878673156661E-2</c:v>
                </c:pt>
                <c:pt idx="3">
                  <c:v>7.2711976443723333E-3</c:v>
                </c:pt>
                <c:pt idx="4">
                  <c:v>0</c:v>
                </c:pt>
              </c:numCache>
            </c:numRef>
          </c:val>
          <c:extLst>
            <c:ext xmlns:c16="http://schemas.microsoft.com/office/drawing/2014/chart" uri="{C3380CC4-5D6E-409C-BE32-E72D297353CC}">
              <c16:uniqueId val="{00000000-D092-4524-90CE-22B5C704E6A1}"/>
            </c:ext>
          </c:extLst>
        </c:ser>
        <c:dLbls>
          <c:showLegendKey val="0"/>
          <c:showVal val="0"/>
          <c:showCatName val="0"/>
          <c:showSerName val="0"/>
          <c:showPercent val="0"/>
          <c:showBubbleSize val="0"/>
        </c:dLbls>
        <c:gapWidth val="33"/>
        <c:overlap val="-30"/>
        <c:axId val="1910903504"/>
        <c:axId val="1910902544"/>
      </c:barChart>
      <c:catAx>
        <c:axId val="191090350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Delay Reason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02544"/>
        <c:crosses val="autoZero"/>
        <c:auto val="1"/>
        <c:lblAlgn val="ctr"/>
        <c:lblOffset val="100"/>
        <c:noMultiLvlLbl val="0"/>
      </c:catAx>
      <c:valAx>
        <c:axId val="1910902544"/>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detention_minutes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910903504"/>
        <c:crosses val="max"/>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[Synth_Data_3_20_2026_1000 New.xlsx]Sheet9!PivotTable6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'deadhead_miles'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Sheet9!$D$4</c:f>
              <c:strCache>
                <c:ptCount val="1"/>
                <c:pt idx="0">
                  <c:v>Total</c:v>
                </c:pt>
              </c:strCache>
            </c:strRef>
          </c:tx>
          <c:spPr>
            <a:solidFill>
              <a:schemeClr val="accent1"/>
            </a:solidFill>
            <a:ln>
              <a:noFill/>
            </a:ln>
            <a:effectLst/>
          </c:spPr>
          <c:invertIfNegative val="0"/>
          <c:cat>
            <c:strRef>
              <c:f>Sheet9!$C$5:$C$9</c:f>
              <c:strCache>
                <c:ptCount val="4"/>
                <c:pt idx="0">
                  <c:v>South</c:v>
                </c:pt>
                <c:pt idx="1">
                  <c:v>Midwest</c:v>
                </c:pt>
                <c:pt idx="2">
                  <c:v>West</c:v>
                </c:pt>
                <c:pt idx="3">
                  <c:v>Northeast</c:v>
                </c:pt>
              </c:strCache>
            </c:strRef>
          </c:cat>
          <c:val>
            <c:numRef>
              <c:f>Sheet9!$D$5:$D$9</c:f>
              <c:numCache>
                <c:formatCode>0.00%</c:formatCode>
                <c:ptCount val="4"/>
                <c:pt idx="0">
                  <c:v>0.309</c:v>
                </c:pt>
                <c:pt idx="1">
                  <c:v>0.247</c:v>
                </c:pt>
                <c:pt idx="2">
                  <c:v>0.24299999999999999</c:v>
                </c:pt>
                <c:pt idx="3">
                  <c:v>0.20100000000000001</c:v>
                </c:pt>
              </c:numCache>
            </c:numRef>
          </c:val>
          <c:extLst>
            <c:ext xmlns:c16="http://schemas.microsoft.com/office/drawing/2014/chart" uri="{C3380CC4-5D6E-409C-BE32-E72D297353CC}">
              <c16:uniqueId val="{00000000-076E-4CF4-BC6A-BC774DDB1393}"/>
            </c:ext>
          </c:extLst>
        </c:ser>
        <c:dLbls>
          <c:showLegendKey val="0"/>
          <c:showVal val="0"/>
          <c:showCatName val="0"/>
          <c:showSerName val="0"/>
          <c:showPercent val="0"/>
          <c:showBubbleSize val="0"/>
        </c:dLbls>
        <c:gapWidth val="33"/>
        <c:overlap val="-30"/>
        <c:axId val="911617568"/>
        <c:axId val="911624768"/>
      </c:barChart>
      <c:catAx>
        <c:axId val="91161756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24768"/>
        <c:crosses val="autoZero"/>
        <c:auto val="1"/>
        <c:lblAlgn val="ctr"/>
        <c:lblOffset val="100"/>
        <c:noMultiLvlLbl val="0"/>
      </c:catAx>
      <c:valAx>
        <c:axId val="911624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deadhead_miles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1756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[Synth_Data_3_20_2026_1000 New.xlsx]Deadhead_miles_per_region!PivotTable5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7323315835520562"/>
          <c:y val="0.24967966995787538"/>
          <c:w val="0.41147353455818025"/>
          <c:h val="0.68578922426363376"/>
        </c:manualLayout>
      </c:layout>
      <c:pieChart>
        <c:varyColors val="1"/>
        <c:ser>
          <c:idx val="0"/>
          <c:order val="0"/>
          <c:tx>
            <c:strRef>
              <c:f>Deadhead_miles_per_region!$D$4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14-43D7-8756-DF0F6F5710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14-43D7-8756-DF0F6F5710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14-43D7-8756-DF0F6F5710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14-43D7-8756-DF0F6F5710CF}"/>
              </c:ext>
            </c:extLst>
          </c:dPt>
          <c:cat>
            <c:strRef>
              <c:f>Deadhead_miles_per_region!$C$5:$C$9</c:f>
              <c:strCache>
                <c:ptCount val="4"/>
                <c:pt idx="0">
                  <c:v>Midwest</c:v>
                </c:pt>
                <c:pt idx="1">
                  <c:v>Northeast</c:v>
                </c:pt>
                <c:pt idx="2">
                  <c:v>South</c:v>
                </c:pt>
                <c:pt idx="3">
                  <c:v>West</c:v>
                </c:pt>
              </c:strCache>
            </c:strRef>
          </c:cat>
          <c:val>
            <c:numRef>
              <c:f>Deadhead_miles_per_region!$D$5:$D$9</c:f>
              <c:numCache>
                <c:formatCode>0.00%</c:formatCode>
                <c:ptCount val="4"/>
                <c:pt idx="0">
                  <c:v>0.21048161887295752</c:v>
                </c:pt>
                <c:pt idx="1">
                  <c:v>0.1950546015338446</c:v>
                </c:pt>
                <c:pt idx="2">
                  <c:v>0.28574629043014355</c:v>
                </c:pt>
                <c:pt idx="3">
                  <c:v>0.30871748916305441</c:v>
                </c:pt>
              </c:numCache>
            </c:numRef>
          </c:val>
          <c:extLst>
            <c:ext xmlns:c16="http://schemas.microsoft.com/office/drawing/2014/chart" uri="{C3380CC4-5D6E-409C-BE32-E72D297353CC}">
              <c16:uniqueId val="{00000008-4014-43D7-8756-DF0F6F5710C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071741032370954"/>
          <c:y val="0.19481256718821263"/>
          <c:w val="0.2226159230096238"/>
          <c:h val="0.56864048361888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400" b="1"/>
              <a:t>Projected</a:t>
            </a:r>
            <a:r>
              <a:rPr lang="en-US" sz="2400" b="1" baseline="0"/>
              <a:t> Cost Savings</a:t>
            </a:r>
            <a:endParaRPr lang="en-US" sz="2400" b="1"/>
          </a:p>
        </c:rich>
      </c:tx>
      <c:layout>
        <c:manualLayout>
          <c:xMode val="edge"/>
          <c:yMode val="edge"/>
          <c:x val="0.29381969299292127"/>
          <c:y val="4.629616146066287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CostStrategy!$B$65</c:f>
              <c:strCache>
                <c:ptCount val="1"/>
                <c:pt idx="0">
                  <c:v>Conservative (5%)</c:v>
                </c:pt>
              </c:strCache>
            </c:strRef>
          </c:tx>
          <c:spPr>
            <a:solidFill>
              <a:srgbClr val="FFFF00"/>
            </a:solidFill>
            <a:ln>
              <a:noFill/>
            </a:ln>
            <a:effectLst/>
          </c:spPr>
          <c:invertIfNegative val="0"/>
          <c:cat>
            <c:strRef>
              <c:f>CostStrategy!$A$66:$A$73</c:f>
              <c:strCache>
                <c:ptCount val="8"/>
                <c:pt idx="0">
                  <c:v>1. Fuel Optimization</c:v>
                </c:pt>
                <c:pt idx="1">
                  <c:v>2. Route Optimization</c:v>
                </c:pt>
                <c:pt idx="2">
                  <c:v>3. Preventive Maintenance</c:v>
                </c:pt>
                <c:pt idx="3">
                  <c:v>4. Deadhead Reduction</c:v>
                </c:pt>
                <c:pt idx="5">
                  <c:v>TOTAL POTENTIAL SAVINGS</c:v>
                </c:pt>
                <c:pt idx="6">
                  <c:v>Total Operating Cost (Base)</c:v>
                </c:pt>
                <c:pt idx="7">
                  <c:v>% Savings of Operating Cost</c:v>
                </c:pt>
              </c:strCache>
            </c:strRef>
          </c:cat>
          <c:val>
            <c:numRef>
              <c:f>CostStrategy!$B$66:$B$73</c:f>
              <c:numCache>
                <c:formatCode>"$"#,##0</c:formatCode>
                <c:ptCount val="8"/>
                <c:pt idx="0">
                  <c:v>12927.160499999998</c:v>
                </c:pt>
                <c:pt idx="1">
                  <c:v>13012.428</c:v>
                </c:pt>
                <c:pt idx="2">
                  <c:v>1024.8464824120604</c:v>
                </c:pt>
                <c:pt idx="3">
                  <c:v>3745.677000000001</c:v>
                </c:pt>
                <c:pt idx="5">
                  <c:v>30710.111982412058</c:v>
                </c:pt>
                <c:pt idx="6">
                  <c:v>517454.46000000043</c:v>
                </c:pt>
                <c:pt idx="7" formatCode="0.0%">
                  <c:v>5.9348434222428061E-2</c:v>
                </c:pt>
              </c:numCache>
            </c:numRef>
          </c:val>
          <c:extLst>
            <c:ext xmlns:c16="http://schemas.microsoft.com/office/drawing/2014/chart" uri="{C3380CC4-5D6E-409C-BE32-E72D297353CC}">
              <c16:uniqueId val="{00000000-C6A6-4FC4-888D-9B8E35909C47}"/>
            </c:ext>
          </c:extLst>
        </c:ser>
        <c:ser>
          <c:idx val="1"/>
          <c:order val="1"/>
          <c:tx>
            <c:strRef>
              <c:f>CostStrategy!$C$65</c:f>
              <c:strCache>
                <c:ptCount val="1"/>
                <c:pt idx="0">
                  <c:v>Moderate (10%)</c:v>
                </c:pt>
              </c:strCache>
            </c:strRef>
          </c:tx>
          <c:spPr>
            <a:solidFill>
              <a:srgbClr val="92D050"/>
            </a:solidFill>
            <a:ln>
              <a:noFill/>
            </a:ln>
            <a:effectLst/>
          </c:spPr>
          <c:invertIfNegative val="0"/>
          <c:cat>
            <c:strRef>
              <c:f>CostStrategy!$A$66:$A$73</c:f>
              <c:strCache>
                <c:ptCount val="8"/>
                <c:pt idx="0">
                  <c:v>1. Fuel Optimization</c:v>
                </c:pt>
                <c:pt idx="1">
                  <c:v>2. Route Optimization</c:v>
                </c:pt>
                <c:pt idx="2">
                  <c:v>3. Preventive Maintenance</c:v>
                </c:pt>
                <c:pt idx="3">
                  <c:v>4. Deadhead Reduction</c:v>
                </c:pt>
                <c:pt idx="5">
                  <c:v>TOTAL POTENTIAL SAVINGS</c:v>
                </c:pt>
                <c:pt idx="6">
                  <c:v>Total Operating Cost (Base)</c:v>
                </c:pt>
                <c:pt idx="7">
                  <c:v>% Savings of Operating Cost</c:v>
                </c:pt>
              </c:strCache>
            </c:strRef>
          </c:cat>
          <c:val>
            <c:numRef>
              <c:f>CostStrategy!$C$66:$C$73</c:f>
              <c:numCache>
                <c:formatCode>"$"#,##0</c:formatCode>
                <c:ptCount val="8"/>
                <c:pt idx="0">
                  <c:v>25854.320999999996</c:v>
                </c:pt>
                <c:pt idx="1">
                  <c:v>26024.856</c:v>
                </c:pt>
                <c:pt idx="2">
                  <c:v>2049.6929648241207</c:v>
                </c:pt>
                <c:pt idx="3">
                  <c:v>7491.3540000000021</c:v>
                </c:pt>
                <c:pt idx="5">
                  <c:v>61420.223964824116</c:v>
                </c:pt>
                <c:pt idx="7" formatCode="0.0%">
                  <c:v>0.11869686844485612</c:v>
                </c:pt>
              </c:numCache>
            </c:numRef>
          </c:val>
          <c:extLst>
            <c:ext xmlns:c16="http://schemas.microsoft.com/office/drawing/2014/chart" uri="{C3380CC4-5D6E-409C-BE32-E72D297353CC}">
              <c16:uniqueId val="{00000001-C6A6-4FC4-888D-9B8E35909C47}"/>
            </c:ext>
          </c:extLst>
        </c:ser>
        <c:ser>
          <c:idx val="2"/>
          <c:order val="2"/>
          <c:tx>
            <c:strRef>
              <c:f>CostStrategy!$D$65</c:f>
              <c:strCache>
                <c:ptCount val="1"/>
                <c:pt idx="0">
                  <c:v>Aggressive (15%)</c:v>
                </c:pt>
              </c:strCache>
            </c:strRef>
          </c:tx>
          <c:spPr>
            <a:solidFill>
              <a:srgbClr val="FF0000"/>
            </a:solidFill>
            <a:ln>
              <a:noFill/>
            </a:ln>
            <a:effectLst/>
          </c:spPr>
          <c:invertIfNegative val="0"/>
          <c:cat>
            <c:strRef>
              <c:f>CostStrategy!$A$66:$A$73</c:f>
              <c:strCache>
                <c:ptCount val="8"/>
                <c:pt idx="0">
                  <c:v>1. Fuel Optimization</c:v>
                </c:pt>
                <c:pt idx="1">
                  <c:v>2. Route Optimization</c:v>
                </c:pt>
                <c:pt idx="2">
                  <c:v>3. Preventive Maintenance</c:v>
                </c:pt>
                <c:pt idx="3">
                  <c:v>4. Deadhead Reduction</c:v>
                </c:pt>
                <c:pt idx="5">
                  <c:v>TOTAL POTENTIAL SAVINGS</c:v>
                </c:pt>
                <c:pt idx="6">
                  <c:v>Total Operating Cost (Base)</c:v>
                </c:pt>
                <c:pt idx="7">
                  <c:v>% Savings of Operating Cost</c:v>
                </c:pt>
              </c:strCache>
            </c:strRef>
          </c:cat>
          <c:val>
            <c:numRef>
              <c:f>CostStrategy!$D$66:$D$73</c:f>
              <c:numCache>
                <c:formatCode>"$"#,##0</c:formatCode>
                <c:ptCount val="8"/>
                <c:pt idx="0">
                  <c:v>38781.481499999987</c:v>
                </c:pt>
                <c:pt idx="1">
                  <c:v>39037.283999999992</c:v>
                </c:pt>
                <c:pt idx="2">
                  <c:v>3074.5394472361813</c:v>
                </c:pt>
                <c:pt idx="3">
                  <c:v>11237.031000000003</c:v>
                </c:pt>
                <c:pt idx="5">
                  <c:v>92130.335947236163</c:v>
                </c:pt>
                <c:pt idx="7" formatCode="0.0%">
                  <c:v>0.17804530266728416</c:v>
                </c:pt>
              </c:numCache>
            </c:numRef>
          </c:val>
          <c:extLst>
            <c:ext xmlns:c16="http://schemas.microsoft.com/office/drawing/2014/chart" uri="{C3380CC4-5D6E-409C-BE32-E72D297353CC}">
              <c16:uniqueId val="{00000002-C6A6-4FC4-888D-9B8E35909C47}"/>
            </c:ext>
          </c:extLst>
        </c:ser>
        <c:dLbls>
          <c:showLegendKey val="0"/>
          <c:showVal val="0"/>
          <c:showCatName val="0"/>
          <c:showSerName val="0"/>
          <c:showPercent val="0"/>
          <c:showBubbleSize val="0"/>
        </c:dLbls>
        <c:gapWidth val="150"/>
        <c:overlap val="100"/>
        <c:axId val="1508869951"/>
        <c:axId val="1508864191"/>
      </c:barChart>
      <c:catAx>
        <c:axId val="150886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64191"/>
        <c:crosses val="autoZero"/>
        <c:auto val="1"/>
        <c:lblAlgn val="ctr"/>
        <c:lblOffset val="100"/>
        <c:noMultiLvlLbl val="0"/>
      </c:catAx>
      <c:valAx>
        <c:axId val="1508864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6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DELAY REASONS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'Key Insights DASHBOARD'!$H$24</c:f>
              <c:strCache>
                <c:ptCount val="1"/>
                <c:pt idx="0">
                  <c:v>Detention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3E2F39CF-FFB3-4A82-93FB-0D834D4DB239}"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E15-4CBA-82F0-EA14E910C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DASHBOARD'!$I$24:$J$24</c:f>
              <c:numCache>
                <c:formatCode>General</c:formatCode>
                <c:ptCount val="2"/>
                <c:pt idx="0">
                  <c:v>63</c:v>
                </c:pt>
                <c:pt idx="1">
                  <c:v>0</c:v>
                </c:pt>
              </c:numCache>
            </c:numRef>
          </c:val>
          <c:extLst>
            <c:ext xmlns:c16="http://schemas.microsoft.com/office/drawing/2014/chart" uri="{C3380CC4-5D6E-409C-BE32-E72D297353CC}">
              <c16:uniqueId val="{00000001-6E15-4CBA-82F0-EA14E910C93F}"/>
            </c:ext>
          </c:extLst>
        </c:ser>
        <c:ser>
          <c:idx val="1"/>
          <c:order val="1"/>
          <c:tx>
            <c:strRef>
              <c:f>'Key Insights DASHBOARD'!$H$25</c:f>
              <c:strCache>
                <c:ptCount val="1"/>
                <c:pt idx="0">
                  <c:v>Traffic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33E0D1FD-F178-4A25-85C6-947A1D5429C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E15-4CBA-82F0-EA14E910C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DASHBOARD'!$I$25:$J$25</c:f>
              <c:numCache>
                <c:formatCode>General</c:formatCode>
                <c:ptCount val="2"/>
                <c:pt idx="0">
                  <c:v>41</c:v>
                </c:pt>
                <c:pt idx="1">
                  <c:v>0</c:v>
                </c:pt>
              </c:numCache>
            </c:numRef>
          </c:val>
          <c:extLst>
            <c:ext xmlns:c16="http://schemas.microsoft.com/office/drawing/2014/chart" uri="{C3380CC4-5D6E-409C-BE32-E72D297353CC}">
              <c16:uniqueId val="{00000003-6E15-4CBA-82F0-EA14E910C93F}"/>
            </c:ext>
          </c:extLst>
        </c:ser>
        <c:ser>
          <c:idx val="2"/>
          <c:order val="2"/>
          <c:tx>
            <c:strRef>
              <c:f>'Key Insights DASHBOARD'!$H$26</c:f>
              <c:strCache>
                <c:ptCount val="1"/>
                <c:pt idx="0">
                  <c:v>Weather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82160DDF-801D-4FE9-8B98-F3816FBA3EC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E15-4CBA-82F0-EA14E910C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DASHBOARD'!$I$26:$J$26</c:f>
              <c:numCache>
                <c:formatCode>General</c:formatCode>
                <c:ptCount val="2"/>
                <c:pt idx="0">
                  <c:v>20</c:v>
                </c:pt>
                <c:pt idx="1">
                  <c:v>0</c:v>
                </c:pt>
              </c:numCache>
            </c:numRef>
          </c:val>
          <c:extLst>
            <c:ext xmlns:c16="http://schemas.microsoft.com/office/drawing/2014/chart" uri="{C3380CC4-5D6E-409C-BE32-E72D297353CC}">
              <c16:uniqueId val="{00000005-6E15-4CBA-82F0-EA14E910C93F}"/>
            </c:ext>
          </c:extLst>
        </c:ser>
        <c:ser>
          <c:idx val="3"/>
          <c:order val="3"/>
          <c:tx>
            <c:strRef>
              <c:f>'Key Insights DASHBOARD'!$H$27</c:f>
              <c:strCache>
                <c:ptCount val="1"/>
                <c:pt idx="0">
                  <c:v>Mechanical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CBDC2789-D286-4469-AECD-16BE1162F2E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E15-4CBA-82F0-EA14E910C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DASHBOARD'!$I$27:$J$27</c:f>
              <c:numCache>
                <c:formatCode>General</c:formatCode>
                <c:ptCount val="2"/>
                <c:pt idx="0">
                  <c:v>5</c:v>
                </c:pt>
                <c:pt idx="1">
                  <c:v>0</c:v>
                </c:pt>
              </c:numCache>
            </c:numRef>
          </c:val>
          <c:extLst>
            <c:ext xmlns:c16="http://schemas.microsoft.com/office/drawing/2014/chart" uri="{C3380CC4-5D6E-409C-BE32-E72D297353CC}">
              <c16:uniqueId val="{00000007-6E15-4CBA-82F0-EA14E910C93F}"/>
            </c:ext>
          </c:extLst>
        </c:ser>
        <c:dLbls>
          <c:showLegendKey val="0"/>
          <c:showVal val="0"/>
          <c:showCatName val="0"/>
          <c:showSerName val="0"/>
          <c:showPercent val="0"/>
          <c:showBubbleSize val="0"/>
        </c:dLbls>
        <c:gapWidth val="100"/>
        <c:overlap val="-24"/>
        <c:axId val="2028987759"/>
        <c:axId val="2028992559"/>
      </c:barChart>
      <c:catAx>
        <c:axId val="2028987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992559"/>
        <c:crosses val="autoZero"/>
        <c:auto val="1"/>
        <c:lblAlgn val="ctr"/>
        <c:lblOffset val="100"/>
        <c:noMultiLvlLbl val="0"/>
      </c:catAx>
      <c:valAx>
        <c:axId val="2028992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98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A1A1A"/>
    </a:solidFill>
    <a:ln>
      <a:solidFill>
        <a:schemeClr val="bg1"/>
      </a:solid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PERFORMANCE</a:t>
            </a:r>
          </a:p>
        </c:rich>
      </c:tx>
      <c:layout>
        <c:manualLayout>
          <c:xMode val="edge"/>
          <c:yMode val="edge"/>
          <c:x val="0.2134185839477391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'Key Insights DASHBOARD'!$I$16</c:f>
              <c:strCache>
                <c:ptCount val="1"/>
                <c:pt idx="0">
                  <c:v>Shipments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78FEFBBA-A98C-41ED-92DF-363542B7862D}" type="CATEGORYNAME">
                      <a:rPr lang="en-US" b="1"/>
                      <a:pPr/>
                      <a:t>[CATEGORY NAME]</a:t>
                    </a:fld>
                    <a:r>
                      <a:rPr lang="en-US" baseline="0"/>
                      <a:t>, </a:t>
                    </a:r>
                    <a:fld id="{E51320E8-4F35-4197-841A-25D0FDA7264D}"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5CC-45A5-9FC1-8B4714A722DC}"/>
                </c:ext>
              </c:extLst>
            </c:dLbl>
            <c:dLbl>
              <c:idx val="1"/>
              <c:tx>
                <c:rich>
                  <a:bodyPr/>
                  <a:lstStyle/>
                  <a:p>
                    <a:fld id="{4C2E16FC-89E4-4E8B-AD48-14A5D90755AF}" type="CATEGORYNAME">
                      <a:rPr lang="en-US" b="1"/>
                      <a:pPr/>
                      <a:t>[CATEGORY NAME]</a:t>
                    </a:fld>
                    <a:r>
                      <a:rPr lang="en-US" baseline="0"/>
                      <a:t>, </a:t>
                    </a:r>
                    <a:fld id="{9E51BCC3-2423-45C1-B65F-B0AA1CF75896}"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5CC-45A5-9FC1-8B4714A722DC}"/>
                </c:ext>
              </c:extLst>
            </c:dLbl>
            <c:dLbl>
              <c:idx val="2"/>
              <c:tx>
                <c:rich>
                  <a:bodyPr/>
                  <a:lstStyle/>
                  <a:p>
                    <a:fld id="{4CB7C5D0-7885-405B-9DE1-D71B2D3BB8E9}" type="CATEGORYNAME">
                      <a:rPr lang="en-US" b="1"/>
                      <a:pPr/>
                      <a:t>[CATEGORY NAME]</a:t>
                    </a:fld>
                    <a:r>
                      <a:rPr lang="en-US" baseline="0"/>
                      <a:t>, </a:t>
                    </a:r>
                    <a:fld id="{DC45F6BD-BF81-404B-B8DD-CFE9308433CA}"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5CC-45A5-9FC1-8B4714A722DC}"/>
                </c:ext>
              </c:extLst>
            </c:dLbl>
            <c:dLbl>
              <c:idx val="3"/>
              <c:tx>
                <c:rich>
                  <a:bodyPr/>
                  <a:lstStyle/>
                  <a:p>
                    <a:fld id="{DF140177-306B-4D80-BD8A-779904005C94}" type="CATEGORYNAME">
                      <a:rPr lang="en-US" b="1"/>
                      <a:pPr/>
                      <a:t>[CATEGORY NAME]</a:t>
                    </a:fld>
                    <a:r>
                      <a:rPr lang="en-US" b="1" baseline="0"/>
                      <a:t>,</a:t>
                    </a:r>
                    <a:r>
                      <a:rPr lang="en-US" baseline="0"/>
                      <a:t> </a:t>
                    </a:r>
                    <a:fld id="{7FD1F01C-171E-4C1F-BAF1-B3F5453D7FA2}"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5CC-45A5-9FC1-8B4714A722D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'Key Insights DASHBOARD'!$H$17:$H$20</c:f>
              <c:strCache>
                <c:ptCount val="4"/>
                <c:pt idx="0">
                  <c:v>Northeast</c:v>
                </c:pt>
                <c:pt idx="1">
                  <c:v>West</c:v>
                </c:pt>
                <c:pt idx="2">
                  <c:v>South</c:v>
                </c:pt>
                <c:pt idx="3">
                  <c:v>Midwest</c:v>
                </c:pt>
              </c:strCache>
            </c:strRef>
          </c:cat>
          <c:val>
            <c:numRef>
              <c:f>'Key Insights DASHBOARD'!$I$17:$I$20</c:f>
              <c:numCache>
                <c:formatCode>General</c:formatCode>
                <c:ptCount val="4"/>
                <c:pt idx="0">
                  <c:v>201</c:v>
                </c:pt>
                <c:pt idx="1">
                  <c:v>243</c:v>
                </c:pt>
                <c:pt idx="2">
                  <c:v>309</c:v>
                </c:pt>
                <c:pt idx="3">
                  <c:v>247</c:v>
                </c:pt>
              </c:numCache>
            </c:numRef>
          </c:val>
          <c:extLst>
            <c:ext xmlns:c16="http://schemas.microsoft.com/office/drawing/2014/chart" uri="{C3380CC4-5D6E-409C-BE32-E72D297353CC}">
              <c16:uniqueId val="{00000004-85CC-45A5-9FC1-8B4714A722DC}"/>
            </c:ext>
          </c:extLst>
        </c:ser>
        <c:ser>
          <c:idx val="1"/>
          <c:order val="1"/>
          <c:tx>
            <c:strRef>
              <c:f>'Key Insights DASHBOARD'!$J$16</c:f>
              <c:strCache>
                <c:ptCount val="1"/>
                <c:pt idx="0">
                  <c:v>On-Time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DASHBOARD'!$J$17:$J$20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85CC-45A5-9FC1-8B4714A722DC}"/>
            </c:ext>
          </c:extLst>
        </c:ser>
        <c:ser>
          <c:idx val="2"/>
          <c:order val="2"/>
          <c:tx>
            <c:strRef>
              <c:f>'Key Insights DASHBOARD'!$K$16</c:f>
              <c:strCache>
                <c:ptCount val="1"/>
                <c:pt idx="0">
                  <c:v>Avg Delay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DASHBOARD'!$K$17:$K$20</c:f>
              <c:numCache>
                <c:formatCode>General</c:formatCode>
                <c:ptCount val="4"/>
                <c:pt idx="0">
                  <c:v>14.5</c:v>
                </c:pt>
                <c:pt idx="1">
                  <c:v>8.6</c:v>
                </c:pt>
                <c:pt idx="2">
                  <c:v>6</c:v>
                </c:pt>
                <c:pt idx="3">
                  <c:v>-1.7</c:v>
                </c:pt>
              </c:numCache>
            </c:numRef>
          </c:val>
          <c:extLst>
            <c:ext xmlns:c16="http://schemas.microsoft.com/office/drawing/2014/chart" uri="{C3380CC4-5D6E-409C-BE32-E72D297353CC}">
              <c16:uniqueId val="{00000006-85CC-45A5-9FC1-8B4714A722DC}"/>
            </c:ext>
          </c:extLst>
        </c:ser>
        <c:ser>
          <c:idx val="3"/>
          <c:order val="3"/>
          <c:tx>
            <c:strRef>
              <c:f>'Key Insights DASHBOARD'!$L$16</c:f>
              <c:strCache>
                <c:ptCount val="1"/>
                <c:pt idx="0">
                  <c:v>Status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DASHBOARD'!$L$17:$L$20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7-85CC-45A5-9FC1-8B4714A722DC}"/>
            </c:ext>
          </c:extLst>
        </c:ser>
        <c:dLbls>
          <c:showLegendKey val="0"/>
          <c:showVal val="0"/>
          <c:showCatName val="0"/>
          <c:showSerName val="0"/>
          <c:showPercent val="0"/>
          <c:showBubbleSize val="0"/>
        </c:dLbls>
        <c:gapWidth val="150"/>
        <c:overlap val="100"/>
        <c:axId val="1843243535"/>
        <c:axId val="1843244015"/>
      </c:barChart>
      <c:catAx>
        <c:axId val="1843243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244015"/>
        <c:crosses val="autoZero"/>
        <c:auto val="1"/>
        <c:lblAlgn val="ctr"/>
        <c:lblOffset val="100"/>
        <c:noMultiLvlLbl val="0"/>
      </c:catAx>
      <c:valAx>
        <c:axId val="184324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24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A1A1A"/>
    </a:solidFill>
    <a:ln>
      <a:solidFill>
        <a:schemeClr val="bg1"/>
      </a:solid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pattFill prst="pct5">
                  <a:fgClr>
                    <a:schemeClr val="dk1"/>
                  </a:fgClr>
                  <a:bgClr>
                    <a:schemeClr val="bg1"/>
                  </a:bgClr>
                </a:pattFill>
                <a:effectLst>
                  <a:outerShdw blurRad="50800" dist="38100" dir="5400000" algn="t" rotWithShape="0">
                    <a:prstClr val="black">
                      <a:alpha val="40000"/>
                    </a:prstClr>
                  </a:outerShdw>
                </a:effectLst>
                <a:latin typeface="+mn-lt"/>
                <a:ea typeface="+mn-ea"/>
                <a:cs typeface="+mn-cs"/>
              </a:defRPr>
            </a:pPr>
            <a:r>
              <a:rPr lang="en-US"/>
              <a:t>AVG</a:t>
            </a:r>
            <a:r>
              <a:rPr lang="en-US" baseline="0"/>
              <a:t> DELAY MINUTES X TRUCK</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pattFill prst="pct5">
                <a:fgClr>
                  <a:schemeClr val="dk1"/>
                </a:fgClr>
                <a:bgClr>
                  <a:schemeClr val="bg1"/>
                </a:bgClr>
              </a:patt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1058164826939834E-2"/>
          <c:y val="5.8408838673619019E-2"/>
          <c:w val="0.90297462817147855"/>
          <c:h val="0.55551181102362202"/>
        </c:manualLayout>
      </c:layout>
      <c:barChart>
        <c:barDir val="col"/>
        <c:grouping val="clustered"/>
        <c:varyColors val="0"/>
        <c:ser>
          <c:idx val="0"/>
          <c:order val="0"/>
          <c:tx>
            <c:strRef>
              <c:f>'Key Insights DASHBOARD'!$F$29</c:f>
              <c:strCache>
                <c:ptCount val="1"/>
                <c:pt idx="0">
                  <c:v>Avg Delay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19-4BA9-B6D6-E45E0A68800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19-4BA9-B6D6-E45E0A68800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19-4BA9-B6D6-E45E0A68800A}"/>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19-4BA9-B6D6-E45E0A68800A}"/>
                </c:ext>
              </c:extLst>
            </c:dLbl>
            <c:spPr>
              <a:noFill/>
              <a:ln>
                <a:noFill/>
              </a:ln>
              <a:effectLst/>
            </c:spPr>
            <c:txPr>
              <a:bodyPr rot="0" spcFirstLastPara="1" vertOverflow="ellipsis" vert="horz" wrap="square" anchor="ctr" anchorCtr="1"/>
              <a:lstStyle/>
              <a:p>
                <a:pPr>
                  <a:defRPr sz="900" b="0" i="0" u="none" strike="noStrike" kern="1200" baseline="0">
                    <a:ln>
                      <a:solidFill>
                        <a:schemeClr val="bg1"/>
                      </a:solidFill>
                    </a:ln>
                    <a:pattFill prst="pct5">
                      <a:fgClr>
                        <a:schemeClr val="dk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'Key Insights DASHBOARD'!$B$30:$E$34</c:f>
              <c:multiLvlStrCache>
                <c:ptCount val="5"/>
                <c:lvl>
                  <c:pt idx="0">
                    <c:v>$2.18 </c:v>
                  </c:pt>
                  <c:pt idx="1">
                    <c:v>$2.09 </c:v>
                  </c:pt>
                  <c:pt idx="2">
                    <c:v>$2.31 </c:v>
                  </c:pt>
                  <c:pt idx="3">
                    <c:v>$2.38 </c:v>
                  </c:pt>
                  <c:pt idx="4">
                    <c:v>$2.57 </c:v>
                  </c:pt>
                </c:lvl>
                <c:lvl>
                  <c:pt idx="0">
                    <c:v>80.30%</c:v>
                  </c:pt>
                  <c:pt idx="1">
                    <c:v>86.00%</c:v>
                  </c:pt>
                  <c:pt idx="2">
                    <c:v>86.60%</c:v>
                  </c:pt>
                  <c:pt idx="3">
                    <c:v>84.30%</c:v>
                  </c:pt>
                  <c:pt idx="4">
                    <c:v>86.00%</c:v>
                  </c:pt>
                </c:lvl>
                <c:lvl>
                  <c:pt idx="0">
                    <c:v>488</c:v>
                  </c:pt>
                  <c:pt idx="1">
                    <c:v>100</c:v>
                  </c:pt>
                  <c:pt idx="2">
                    <c:v>127</c:v>
                  </c:pt>
                  <c:pt idx="3">
                    <c:v>235</c:v>
                  </c:pt>
                  <c:pt idx="4">
                    <c:v>50</c:v>
                  </c:pt>
                </c:lvl>
                <c:lvl>
                  <c:pt idx="0">
                    <c:v>Dry Van</c:v>
                  </c:pt>
                  <c:pt idx="1">
                    <c:v>Intermodal</c:v>
                  </c:pt>
                  <c:pt idx="2">
                    <c:v>Flatbed</c:v>
                  </c:pt>
                  <c:pt idx="3">
                    <c:v>Reefer</c:v>
                  </c:pt>
                  <c:pt idx="4">
                    <c:v>Tanker</c:v>
                  </c:pt>
                </c:lvl>
              </c:multiLvlStrCache>
            </c:multiLvlStrRef>
          </c:cat>
          <c:val>
            <c:numRef>
              <c:f>'Key Insights DASHBOARD'!$F$30:$F$34</c:f>
              <c:numCache>
                <c:formatCode>General</c:formatCode>
                <c:ptCount val="5"/>
                <c:pt idx="0">
                  <c:v>11.2</c:v>
                </c:pt>
                <c:pt idx="1">
                  <c:v>6.4</c:v>
                </c:pt>
                <c:pt idx="2">
                  <c:v>2.7</c:v>
                </c:pt>
                <c:pt idx="3">
                  <c:v>0.2</c:v>
                </c:pt>
                <c:pt idx="4">
                  <c:v>-0.1</c:v>
                </c:pt>
              </c:numCache>
            </c:numRef>
          </c:val>
          <c:extLst>
            <c:ext xmlns:c16="http://schemas.microsoft.com/office/drawing/2014/chart" uri="{C3380CC4-5D6E-409C-BE32-E72D297353CC}">
              <c16:uniqueId val="{00000004-8619-4BA9-B6D6-E45E0A68800A}"/>
            </c:ext>
          </c:extLst>
        </c:ser>
        <c:dLbls>
          <c:showLegendKey val="0"/>
          <c:showVal val="0"/>
          <c:showCatName val="0"/>
          <c:showSerName val="0"/>
          <c:showPercent val="0"/>
          <c:showBubbleSize val="0"/>
        </c:dLbls>
        <c:gapWidth val="100"/>
        <c:overlap val="-24"/>
        <c:axId val="1999273183"/>
        <c:axId val="1999273663"/>
      </c:barChart>
      <c:catAx>
        <c:axId val="199927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pattFill prst="pct5">
                  <a:fgClr>
                    <a:schemeClr val="dk1"/>
                  </a:fgClr>
                  <a:bgClr>
                    <a:schemeClr val="bg1"/>
                  </a:bgClr>
                </a:pattFill>
                <a:latin typeface="+mn-lt"/>
                <a:ea typeface="+mn-ea"/>
                <a:cs typeface="+mn-cs"/>
              </a:defRPr>
            </a:pPr>
            <a:endParaRPr lang="en-US"/>
          </a:p>
        </c:txPr>
        <c:crossAx val="1999273663"/>
        <c:crosses val="autoZero"/>
        <c:auto val="1"/>
        <c:lblAlgn val="ctr"/>
        <c:lblOffset val="100"/>
        <c:noMultiLvlLbl val="0"/>
      </c:catAx>
      <c:valAx>
        <c:axId val="1999273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dk1"/>
                  </a:fgClr>
                  <a:bgClr>
                    <a:schemeClr val="bg1"/>
                  </a:bgClr>
                </a:pattFill>
                <a:latin typeface="+mn-lt"/>
                <a:ea typeface="+mn-ea"/>
                <a:cs typeface="+mn-cs"/>
              </a:defRPr>
            </a:pPr>
            <a:endParaRPr lang="en-US"/>
          </a:p>
        </c:txPr>
        <c:crossAx val="19992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A1A"/>
    </a:solidFill>
    <a:ln>
      <a:solidFill>
        <a:schemeClr val="bg1"/>
      </a:solidFill>
    </a:ln>
    <a:effectLst/>
  </c:spPr>
  <c:txPr>
    <a:bodyPr/>
    <a:lstStyle/>
    <a:p>
      <a:pPr>
        <a:defRPr>
          <a:pattFill prst="pct5">
            <a:fgClr>
              <a:schemeClr val="dk1"/>
            </a:fgClr>
            <a:bgClr>
              <a:schemeClr val="bg1"/>
            </a:bgClr>
          </a:patt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PERFORMANCE</a:t>
            </a:r>
          </a:p>
        </c:rich>
      </c:tx>
      <c:layout>
        <c:manualLayout>
          <c:xMode val="edge"/>
          <c:yMode val="edge"/>
          <c:x val="0.2134185839477391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'Key Insights DASHBOARD'!$I$16</c:f>
              <c:strCache>
                <c:ptCount val="1"/>
                <c:pt idx="0">
                  <c:v>Shipments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78FEFBBA-A98C-41ED-92DF-363542B7862D}" type="CATEGORYNAME">
                      <a:rPr lang="en-US" b="1"/>
                      <a:pPr/>
                      <a:t>[CATEGORY NAME]</a:t>
                    </a:fld>
                    <a:r>
                      <a:rPr lang="en-US" baseline="0"/>
                      <a:t>, </a:t>
                    </a:r>
                    <a:fld id="{E51320E8-4F35-4197-841A-25D0FDA7264D}"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1AC-4807-9F8B-5FA2BACF1408}"/>
                </c:ext>
              </c:extLst>
            </c:dLbl>
            <c:dLbl>
              <c:idx val="1"/>
              <c:tx>
                <c:rich>
                  <a:bodyPr/>
                  <a:lstStyle/>
                  <a:p>
                    <a:fld id="{4C2E16FC-89E4-4E8B-AD48-14A5D90755AF}" type="CATEGORYNAME">
                      <a:rPr lang="en-US" b="1"/>
                      <a:pPr/>
                      <a:t>[CATEGORY NAME]</a:t>
                    </a:fld>
                    <a:r>
                      <a:rPr lang="en-US" baseline="0"/>
                      <a:t>, </a:t>
                    </a:r>
                    <a:fld id="{9E51BCC3-2423-45C1-B65F-B0AA1CF75896}"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1AC-4807-9F8B-5FA2BACF1408}"/>
                </c:ext>
              </c:extLst>
            </c:dLbl>
            <c:dLbl>
              <c:idx val="2"/>
              <c:tx>
                <c:rich>
                  <a:bodyPr/>
                  <a:lstStyle/>
                  <a:p>
                    <a:fld id="{4CB7C5D0-7885-405B-9DE1-D71B2D3BB8E9}" type="CATEGORYNAME">
                      <a:rPr lang="en-US" b="1"/>
                      <a:pPr/>
                      <a:t>[CATEGORY NAME]</a:t>
                    </a:fld>
                    <a:r>
                      <a:rPr lang="en-US" baseline="0"/>
                      <a:t>, </a:t>
                    </a:r>
                    <a:fld id="{DC45F6BD-BF81-404B-B8DD-CFE9308433CA}"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1AC-4807-9F8B-5FA2BACF1408}"/>
                </c:ext>
              </c:extLst>
            </c:dLbl>
            <c:dLbl>
              <c:idx val="3"/>
              <c:tx>
                <c:rich>
                  <a:bodyPr/>
                  <a:lstStyle/>
                  <a:p>
                    <a:fld id="{DF140177-306B-4D80-BD8A-779904005C94}" type="CATEGORYNAME">
                      <a:rPr lang="en-US" b="1"/>
                      <a:pPr/>
                      <a:t>[CATEGORY NAME]</a:t>
                    </a:fld>
                    <a:r>
                      <a:rPr lang="en-US" b="1" baseline="0"/>
                      <a:t>,</a:t>
                    </a:r>
                    <a:r>
                      <a:rPr lang="en-US" baseline="0"/>
                      <a:t> </a:t>
                    </a:r>
                    <a:fld id="{7FD1F01C-171E-4C1F-BAF1-B3F5453D7FA2}"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1AC-4807-9F8B-5FA2BACF140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'Key Insights DASHBOARD'!$H$17:$H$20</c:f>
              <c:strCache>
                <c:ptCount val="4"/>
                <c:pt idx="0">
                  <c:v>Northeast</c:v>
                </c:pt>
                <c:pt idx="1">
                  <c:v>West</c:v>
                </c:pt>
                <c:pt idx="2">
                  <c:v>South</c:v>
                </c:pt>
                <c:pt idx="3">
                  <c:v>Midwest</c:v>
                </c:pt>
              </c:strCache>
            </c:strRef>
          </c:cat>
          <c:val>
            <c:numRef>
              <c:f>'Key Insights DASHBOARD'!$I$17:$I$20</c:f>
              <c:numCache>
                <c:formatCode>General</c:formatCode>
                <c:ptCount val="4"/>
                <c:pt idx="0">
                  <c:v>201</c:v>
                </c:pt>
                <c:pt idx="1">
                  <c:v>243</c:v>
                </c:pt>
                <c:pt idx="2">
                  <c:v>309</c:v>
                </c:pt>
                <c:pt idx="3">
                  <c:v>247</c:v>
                </c:pt>
              </c:numCache>
            </c:numRef>
          </c:val>
          <c:extLst>
            <c:ext xmlns:c16="http://schemas.microsoft.com/office/drawing/2014/chart" uri="{C3380CC4-5D6E-409C-BE32-E72D297353CC}">
              <c16:uniqueId val="{00000000-B1AC-4807-9F8B-5FA2BACF1408}"/>
            </c:ext>
          </c:extLst>
        </c:ser>
        <c:ser>
          <c:idx val="1"/>
          <c:order val="1"/>
          <c:tx>
            <c:strRef>
              <c:f>'Key Insights DASHBOARD'!$J$16</c:f>
              <c:strCache>
                <c:ptCount val="1"/>
                <c:pt idx="0">
                  <c:v>On-Time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DASHBOARD'!$J$17:$J$20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B1AC-4807-9F8B-5FA2BACF1408}"/>
            </c:ext>
          </c:extLst>
        </c:ser>
        <c:ser>
          <c:idx val="2"/>
          <c:order val="2"/>
          <c:tx>
            <c:strRef>
              <c:f>'Key Insights DASHBOARD'!$K$16</c:f>
              <c:strCache>
                <c:ptCount val="1"/>
                <c:pt idx="0">
                  <c:v>Avg Delay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DASHBOARD'!$K$17:$K$20</c:f>
              <c:numCache>
                <c:formatCode>General</c:formatCode>
                <c:ptCount val="4"/>
                <c:pt idx="0">
                  <c:v>14.5</c:v>
                </c:pt>
                <c:pt idx="1">
                  <c:v>8.6</c:v>
                </c:pt>
                <c:pt idx="2">
                  <c:v>6</c:v>
                </c:pt>
                <c:pt idx="3">
                  <c:v>-1.7</c:v>
                </c:pt>
              </c:numCache>
            </c:numRef>
          </c:val>
          <c:extLst>
            <c:ext xmlns:c16="http://schemas.microsoft.com/office/drawing/2014/chart" uri="{C3380CC4-5D6E-409C-BE32-E72D297353CC}">
              <c16:uniqueId val="{00000002-B1AC-4807-9F8B-5FA2BACF1408}"/>
            </c:ext>
          </c:extLst>
        </c:ser>
        <c:ser>
          <c:idx val="3"/>
          <c:order val="3"/>
          <c:tx>
            <c:strRef>
              <c:f>'Key Insights DASHBOARD'!$L$16</c:f>
              <c:strCache>
                <c:ptCount val="1"/>
                <c:pt idx="0">
                  <c:v>Status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'Key Insights DASHBOARD'!$H$17:$H$20</c:f>
              <c:strCache>
                <c:ptCount val="4"/>
                <c:pt idx="0">
                  <c:v>Northeast</c:v>
                </c:pt>
                <c:pt idx="1">
                  <c:v>West</c:v>
                </c:pt>
                <c:pt idx="2">
                  <c:v>South</c:v>
                </c:pt>
                <c:pt idx="3">
                  <c:v>Midwest</c:v>
                </c:pt>
              </c:strCache>
            </c:strRef>
          </c:cat>
          <c:val>
            <c:numRef>
              <c:f>'Key Insights DASHBOARD'!$L$17:$L$20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B1AC-4807-9F8B-5FA2BACF1408}"/>
            </c:ext>
          </c:extLst>
        </c:ser>
        <c:dLbls>
          <c:showLegendKey val="0"/>
          <c:showVal val="0"/>
          <c:showCatName val="0"/>
          <c:showSerName val="0"/>
          <c:showPercent val="0"/>
          <c:showBubbleSize val="0"/>
        </c:dLbls>
        <c:gapWidth val="150"/>
        <c:overlap val="100"/>
        <c:axId val="1843243535"/>
        <c:axId val="1843244015"/>
      </c:barChart>
      <c:catAx>
        <c:axId val="1843243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244015"/>
        <c:crosses val="autoZero"/>
        <c:auto val="1"/>
        <c:lblAlgn val="ctr"/>
        <c:lblOffset val="100"/>
        <c:noMultiLvlLbl val="0"/>
      </c:catAx>
      <c:valAx>
        <c:axId val="184324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324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DELAY REASONS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'Key Insights DASHBOARD'!$H$24</c:f>
              <c:strCache>
                <c:ptCount val="1"/>
                <c:pt idx="0">
                  <c:v>Detention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3E2F39CF-FFB3-4A82-93FB-0D834D4DB239}"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5EE-4704-BD56-4757D6766B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DASHBOARD'!$I$24:$J$24</c:f>
              <c:numCache>
                <c:formatCode>General</c:formatCode>
                <c:ptCount val="2"/>
                <c:pt idx="0">
                  <c:v>63</c:v>
                </c:pt>
                <c:pt idx="1">
                  <c:v>0</c:v>
                </c:pt>
              </c:numCache>
            </c:numRef>
          </c:val>
          <c:extLst>
            <c:ext xmlns:c16="http://schemas.microsoft.com/office/drawing/2014/chart" uri="{C3380CC4-5D6E-409C-BE32-E72D297353CC}">
              <c16:uniqueId val="{00000000-55EE-4704-BD56-4757D6766B43}"/>
            </c:ext>
          </c:extLst>
        </c:ser>
        <c:ser>
          <c:idx val="1"/>
          <c:order val="1"/>
          <c:tx>
            <c:strRef>
              <c:f>'Key Insights DASHBOARD'!$H$25</c:f>
              <c:strCache>
                <c:ptCount val="1"/>
                <c:pt idx="0">
                  <c:v>Traffic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33E0D1FD-F178-4A25-85C6-947A1D5429C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5EE-4704-BD56-4757D6766B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DASHBOARD'!$I$25:$J$25</c:f>
              <c:numCache>
                <c:formatCode>General</c:formatCode>
                <c:ptCount val="2"/>
                <c:pt idx="0">
                  <c:v>41</c:v>
                </c:pt>
                <c:pt idx="1">
                  <c:v>0</c:v>
                </c:pt>
              </c:numCache>
            </c:numRef>
          </c:val>
          <c:extLst>
            <c:ext xmlns:c16="http://schemas.microsoft.com/office/drawing/2014/chart" uri="{C3380CC4-5D6E-409C-BE32-E72D297353CC}">
              <c16:uniqueId val="{00000001-55EE-4704-BD56-4757D6766B43}"/>
            </c:ext>
          </c:extLst>
        </c:ser>
        <c:ser>
          <c:idx val="2"/>
          <c:order val="2"/>
          <c:tx>
            <c:strRef>
              <c:f>'Key Insights DASHBOARD'!$H$26</c:f>
              <c:strCache>
                <c:ptCount val="1"/>
                <c:pt idx="0">
                  <c:v>Weather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82160DDF-801D-4FE9-8B98-F3816FBA3EC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5EE-4704-BD56-4757D6766B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DASHBOARD'!$I$26:$J$26</c:f>
              <c:numCache>
                <c:formatCode>General</c:formatCode>
                <c:ptCount val="2"/>
                <c:pt idx="0">
                  <c:v>20</c:v>
                </c:pt>
                <c:pt idx="1">
                  <c:v>0</c:v>
                </c:pt>
              </c:numCache>
            </c:numRef>
          </c:val>
          <c:extLst>
            <c:ext xmlns:c16="http://schemas.microsoft.com/office/drawing/2014/chart" uri="{C3380CC4-5D6E-409C-BE32-E72D297353CC}">
              <c16:uniqueId val="{00000002-55EE-4704-BD56-4757D6766B43}"/>
            </c:ext>
          </c:extLst>
        </c:ser>
        <c:ser>
          <c:idx val="3"/>
          <c:order val="3"/>
          <c:tx>
            <c:strRef>
              <c:f>'Key Insights DASHBOARD'!$H$27</c:f>
              <c:strCache>
                <c:ptCount val="1"/>
                <c:pt idx="0">
                  <c:v>Mechanical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CBDC2789-D286-4469-AECD-16BE1162F2E1}"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5EE-4704-BD56-4757D6766B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'Key Insights DASHBOARD'!$I$23:$J$23</c:f>
              <c:strCache>
                <c:ptCount val="2"/>
                <c:pt idx="0">
                  <c:v>Count</c:v>
                </c:pt>
                <c:pt idx="1">
                  <c:v>% of Delays</c:v>
                </c:pt>
              </c:strCache>
            </c:strRef>
          </c:cat>
          <c:val>
            <c:numRef>
              <c:f>'Key Insights DASHBOARD'!$I$27:$J$27</c:f>
              <c:numCache>
                <c:formatCode>General</c:formatCode>
                <c:ptCount val="2"/>
                <c:pt idx="0">
                  <c:v>5</c:v>
                </c:pt>
                <c:pt idx="1">
                  <c:v>0</c:v>
                </c:pt>
              </c:numCache>
            </c:numRef>
          </c:val>
          <c:extLst>
            <c:ext xmlns:c16="http://schemas.microsoft.com/office/drawing/2014/chart" uri="{C3380CC4-5D6E-409C-BE32-E72D297353CC}">
              <c16:uniqueId val="{00000003-55EE-4704-BD56-4757D6766B43}"/>
            </c:ext>
          </c:extLst>
        </c:ser>
        <c:dLbls>
          <c:showLegendKey val="0"/>
          <c:showVal val="0"/>
          <c:showCatName val="0"/>
          <c:showSerName val="0"/>
          <c:showPercent val="0"/>
          <c:showBubbleSize val="0"/>
        </c:dLbls>
        <c:gapWidth val="100"/>
        <c:overlap val="-24"/>
        <c:axId val="2028987759"/>
        <c:axId val="2028992559"/>
      </c:barChart>
      <c:catAx>
        <c:axId val="2028987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992559"/>
        <c:crosses val="autoZero"/>
        <c:auto val="1"/>
        <c:lblAlgn val="ctr"/>
        <c:lblOffset val="100"/>
        <c:noMultiLvlLbl val="0"/>
      </c:catAx>
      <c:valAx>
        <c:axId val="2028992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98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pattFill prst="pct5">
                  <a:fgClr>
                    <a:schemeClr val="dk1"/>
                  </a:fgClr>
                  <a:bgClr>
                    <a:schemeClr val="bg1"/>
                  </a:bgClr>
                </a:pattFill>
                <a:effectLst>
                  <a:outerShdw blurRad="50800" dist="38100" dir="5400000" algn="t" rotWithShape="0">
                    <a:prstClr val="black">
                      <a:alpha val="40000"/>
                    </a:prstClr>
                  </a:outerShdw>
                </a:effectLst>
                <a:latin typeface="+mn-lt"/>
                <a:ea typeface="+mn-ea"/>
                <a:cs typeface="+mn-cs"/>
              </a:defRPr>
            </a:pPr>
            <a:r>
              <a:rPr lang="en-US"/>
              <a:t>AVG</a:t>
            </a:r>
            <a:r>
              <a:rPr lang="en-US" baseline="0"/>
              <a:t> DELAY MINUTES X TRUCK</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pattFill prst="pct5">
                <a:fgClr>
                  <a:schemeClr val="dk1"/>
                </a:fgClr>
                <a:bgClr>
                  <a:schemeClr val="bg1"/>
                </a:bgClr>
              </a:patt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1058164826939834E-2"/>
          <c:y val="5.8408838673619019E-2"/>
          <c:w val="0.90297462817147855"/>
          <c:h val="0.55551181102362202"/>
        </c:manualLayout>
      </c:layout>
      <c:barChart>
        <c:barDir val="col"/>
        <c:grouping val="clustered"/>
        <c:varyColors val="0"/>
        <c:ser>
          <c:idx val="0"/>
          <c:order val="0"/>
          <c:tx>
            <c:strRef>
              <c:f>'Key Insights DASHBOARD'!$F$29</c:f>
              <c:strCache>
                <c:ptCount val="1"/>
                <c:pt idx="0">
                  <c:v>Avg Delay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E5-4BBE-969E-231AE88BE6F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E5-4BBE-969E-231AE88BE6F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E5-4BBE-969E-231AE88BE6F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E5-4BBE-969E-231AE88BE6FC}"/>
                </c:ext>
              </c:extLst>
            </c:dLbl>
            <c:spPr>
              <a:noFill/>
              <a:ln>
                <a:noFill/>
              </a:ln>
              <a:effectLst/>
            </c:spPr>
            <c:txPr>
              <a:bodyPr rot="0" spcFirstLastPara="1" vertOverflow="ellipsis" vert="horz" wrap="square" anchor="ctr" anchorCtr="1"/>
              <a:lstStyle/>
              <a:p>
                <a:pPr>
                  <a:defRPr sz="900" b="0" i="0" u="none" strike="noStrike" kern="1200" baseline="0">
                    <a:ln>
                      <a:solidFill>
                        <a:schemeClr val="bg1"/>
                      </a:solidFill>
                    </a:ln>
                    <a:pattFill prst="pct5">
                      <a:fgClr>
                        <a:schemeClr val="dk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'Key Insights DASHBOARD'!$B$30:$E$34</c:f>
              <c:multiLvlStrCache>
                <c:ptCount val="5"/>
                <c:lvl>
                  <c:pt idx="0">
                    <c:v>$2.18 </c:v>
                  </c:pt>
                  <c:pt idx="1">
                    <c:v>$2.09 </c:v>
                  </c:pt>
                  <c:pt idx="2">
                    <c:v>$2.31 </c:v>
                  </c:pt>
                  <c:pt idx="3">
                    <c:v>$2.38 </c:v>
                  </c:pt>
                  <c:pt idx="4">
                    <c:v>$2.57 </c:v>
                  </c:pt>
                </c:lvl>
                <c:lvl>
                  <c:pt idx="0">
                    <c:v>80.30%</c:v>
                  </c:pt>
                  <c:pt idx="1">
                    <c:v>86.00%</c:v>
                  </c:pt>
                  <c:pt idx="2">
                    <c:v>86.60%</c:v>
                  </c:pt>
                  <c:pt idx="3">
                    <c:v>84.30%</c:v>
                  </c:pt>
                  <c:pt idx="4">
                    <c:v>86.00%</c:v>
                  </c:pt>
                </c:lvl>
                <c:lvl>
                  <c:pt idx="0">
                    <c:v>488</c:v>
                  </c:pt>
                  <c:pt idx="1">
                    <c:v>100</c:v>
                  </c:pt>
                  <c:pt idx="2">
                    <c:v>127</c:v>
                  </c:pt>
                  <c:pt idx="3">
                    <c:v>235</c:v>
                  </c:pt>
                  <c:pt idx="4">
                    <c:v>50</c:v>
                  </c:pt>
                </c:lvl>
                <c:lvl>
                  <c:pt idx="0">
                    <c:v>Dry Van</c:v>
                  </c:pt>
                  <c:pt idx="1">
                    <c:v>Intermodal</c:v>
                  </c:pt>
                  <c:pt idx="2">
                    <c:v>Flatbed</c:v>
                  </c:pt>
                  <c:pt idx="3">
                    <c:v>Reefer</c:v>
                  </c:pt>
                  <c:pt idx="4">
                    <c:v>Tanker</c:v>
                  </c:pt>
                </c:lvl>
              </c:multiLvlStrCache>
            </c:multiLvlStrRef>
          </c:cat>
          <c:val>
            <c:numRef>
              <c:f>'Key Insights DASHBOARD'!$F$30:$F$34</c:f>
              <c:numCache>
                <c:formatCode>General</c:formatCode>
                <c:ptCount val="5"/>
                <c:pt idx="0">
                  <c:v>11.2</c:v>
                </c:pt>
                <c:pt idx="1">
                  <c:v>6.4</c:v>
                </c:pt>
                <c:pt idx="2">
                  <c:v>2.7</c:v>
                </c:pt>
                <c:pt idx="3">
                  <c:v>0.2</c:v>
                </c:pt>
                <c:pt idx="4">
                  <c:v>-0.1</c:v>
                </c:pt>
              </c:numCache>
            </c:numRef>
          </c:val>
          <c:extLst>
            <c:ext xmlns:c16="http://schemas.microsoft.com/office/drawing/2014/chart" uri="{C3380CC4-5D6E-409C-BE32-E72D297353CC}">
              <c16:uniqueId val="{00000000-3CE5-4BBE-969E-231AE88BE6FC}"/>
            </c:ext>
          </c:extLst>
        </c:ser>
        <c:dLbls>
          <c:showLegendKey val="0"/>
          <c:showVal val="0"/>
          <c:showCatName val="0"/>
          <c:showSerName val="0"/>
          <c:showPercent val="0"/>
          <c:showBubbleSize val="0"/>
        </c:dLbls>
        <c:gapWidth val="100"/>
        <c:overlap val="-24"/>
        <c:axId val="1999273183"/>
        <c:axId val="1999273663"/>
      </c:barChart>
      <c:catAx>
        <c:axId val="199927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pattFill prst="pct5">
                  <a:fgClr>
                    <a:schemeClr val="dk1"/>
                  </a:fgClr>
                  <a:bgClr>
                    <a:schemeClr val="bg1"/>
                  </a:bgClr>
                </a:pattFill>
                <a:latin typeface="+mn-lt"/>
                <a:ea typeface="+mn-ea"/>
                <a:cs typeface="+mn-cs"/>
              </a:defRPr>
            </a:pPr>
            <a:endParaRPr lang="en-US"/>
          </a:p>
        </c:txPr>
        <c:crossAx val="1999273663"/>
        <c:crosses val="autoZero"/>
        <c:auto val="1"/>
        <c:lblAlgn val="ctr"/>
        <c:lblOffset val="100"/>
        <c:noMultiLvlLbl val="0"/>
      </c:catAx>
      <c:valAx>
        <c:axId val="1999273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pattFill prst="pct5">
                  <a:fgClr>
                    <a:schemeClr val="dk1"/>
                  </a:fgClr>
                  <a:bgClr>
                    <a:schemeClr val="bg1"/>
                  </a:bgClr>
                </a:pattFill>
                <a:latin typeface="+mn-lt"/>
                <a:ea typeface="+mn-ea"/>
                <a:cs typeface="+mn-cs"/>
              </a:defRPr>
            </a:pPr>
            <a:endParaRPr lang="en-US"/>
          </a:p>
        </c:txPr>
        <c:crossAx val="19992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attFill prst="pct5">
            <a:fgClr>
              <a:schemeClr val="dk1"/>
            </a:fgClr>
            <a:bgClr>
              <a:schemeClr val="bg1"/>
            </a:bgClr>
          </a:patt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data id="2">
      <cx:strDim type="cat">
        <cx:f>_xlchart.v2.0</cx:f>
      </cx:strDim>
      <cx:numDim type="val">
        <cx:f>_xlchart.v2.6</cx:f>
      </cx:numDim>
    </cx:data>
    <cx:data id="3">
      <cx:strDim type="cat">
        <cx:f>_xlchart.v2.0</cx:f>
      </cx:strDim>
      <cx:numDim type="val">
        <cx:f>_xlchart.v2.8</cx:f>
      </cx:numDim>
    </cx:data>
  </cx:chartData>
  <cx:chart>
    <cx:title pos="t" align="ctr" overlay="0">
      <cx:tx>
        <cx:txData>
          <cx:v>CARRIER PERFORMANCE (SHIPMENTS)</cx:v>
        </cx:txData>
      </cx:tx>
      <cx:spPr>
        <a:ln>
          <a:solidFill>
            <a:schemeClr val="tx1"/>
          </a:solidFill>
        </a:ln>
      </cx:spPr>
      <cx:txPr>
        <a:bodyPr spcFirstLastPara="1" vertOverflow="ellipsis" horzOverflow="overflow" wrap="square" lIns="0" tIns="0" rIns="0" bIns="0" anchor="ctr" anchorCtr="1"/>
        <a:lstStyle/>
        <a:p>
          <a:pPr algn="ctr" rtl="0">
            <a:defRPr>
              <a:solidFill>
                <a:srgbClr val="FFFFFF"/>
              </a:solidFill>
            </a:defRPr>
          </a:pPr>
          <a:r>
            <a:rPr lang="en-US" sz="1600" b="1" i="0" u="none" strike="noStrike" baseline="0">
              <a:solidFill>
                <a:srgbClr val="FFFFFF"/>
              </a:solidFill>
              <a:latin typeface="Aptos Narrow" panose="02110004020202020204"/>
            </a:rPr>
            <a:t>CARRIER PERFORMANCE (SHIPMENTS)</a:t>
          </a:r>
        </a:p>
      </cx:txPr>
    </cx:title>
    <cx:plotArea>
      <cx:plotAreaRegion>
        <cx:plotSurface>
          <cx:spPr>
            <a:solidFill>
              <a:srgbClr val="1A1A1A"/>
            </a:solidFill>
          </cx:spPr>
        </cx:plotSurface>
        <cx:series layoutId="funnel" uniqueId="{BCD7CF8B-E817-4271-ACF8-9F2F0A8D7046}" formatIdx="0">
          <cx:tx>
            <cx:txData>
              <cx:f>_xlchart.v2.1</cx:f>
              <cx:v>Shipments</cx:v>
            </cx:txData>
          </cx:tx>
          <cx:dataPt idx="0">
            <cx:spPr>
              <a:solidFill>
                <a:srgbClr val="00B050"/>
              </a:solidFill>
            </cx:spPr>
          </cx:dataPt>
          <cx:dataPt idx="1">
            <cx:spPr>
              <a:solidFill>
                <a:srgbClr val="00B050"/>
              </a:solidFill>
            </cx:spPr>
          </cx:dataPt>
          <cx:dataPt idx="2">
            <cx:spPr>
              <a:solidFill>
                <a:srgbClr val="00B050"/>
              </a:solidFill>
            </cx:spPr>
          </cx:dataPt>
          <cx:dataPt idx="3">
            <cx:spPr>
              <a:solidFill>
                <a:srgbClr val="0070C0"/>
              </a:solidFill>
            </cx:spPr>
          </cx:dataPt>
          <cx:dataPt idx="4">
            <cx:spPr>
              <a:solidFill>
                <a:srgbClr val="0070C0"/>
              </a:solidFill>
            </cx:spPr>
          </cx:dataPt>
          <cx:dataPt idx="5">
            <cx:spPr>
              <a:solidFill>
                <a:srgbClr val="0070C0"/>
              </a:solidFill>
            </cx:spPr>
          </cx:dataPt>
          <cx:dataPt idx="6">
            <cx:spPr>
              <a:solidFill>
                <a:srgbClr val="0070C0"/>
              </a:solidFill>
            </cx:spPr>
          </cx:dataPt>
          <cx:dataPt idx="7">
            <cx:spPr>
              <a:solidFill>
                <a:srgbClr val="FF0000"/>
              </a:solidFill>
            </cx:spPr>
          </cx:dataPt>
          <cx:dataPt idx="8">
            <cx:spPr>
              <a:solidFill>
                <a:srgbClr val="FF0000"/>
              </a:solidFill>
            </cx:spPr>
          </cx:dataPt>
          <cx:dataPt idx="9">
            <cx:spPr>
              <a:solidFill>
                <a:srgbClr val="FF0000"/>
              </a:solidFill>
            </cx:spPr>
          </cx:dataPt>
          <cx:dataLabels>
            <cx:txPr>
              <a:bodyPr vertOverflow="overflow" horzOverflow="overflow" wrap="square" lIns="0" tIns="0" rIns="0" bIns="0"/>
              <a:lstStyle/>
              <a:p>
                <a:pPr algn="ctr" rtl="0">
                  <a:defRPr sz="9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rgbClr val="FFFFFF"/>
                  </a:solidFill>
                </a:endParaRPr>
              </a:p>
            </cx:txPr>
            <cx:visibility seriesName="0" categoryName="0" value="1"/>
          </cx:dataLabels>
          <cx:dataId val="0"/>
        </cx:series>
        <cx:series layoutId="funnel" hidden="1" uniqueId="{A4B02F16-62B6-4311-A8C4-7D2A92D4EDC5}" formatIdx="1">
          <cx:tx>
            <cx:txData>
              <cx:f>_xlchart.v2.3</cx:f>
              <cx:v>On-Time %</cx:v>
            </cx:txData>
          </cx:tx>
          <cx:dataLabels>
            <cx:txPr>
              <a:bodyPr vertOverflow="overflow" horzOverflow="overflow" wrap="square" lIns="0" tIns="0" rIns="0" bIns="0"/>
              <a:lstStyle/>
              <a:p>
                <a:pPr algn="ctr" rtl="0">
                  <a:defRPr sz="9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rgbClr val="FFFFFF"/>
                  </a:solidFill>
                </a:endParaRPr>
              </a:p>
            </cx:txPr>
            <cx:visibility seriesName="0" categoryName="0" value="1"/>
          </cx:dataLabels>
          <cx:dataId val="1"/>
        </cx:series>
        <cx:series layoutId="funnel" hidden="1" uniqueId="{B454CE0C-1093-48C9-96B4-9D039254E93A}" formatIdx="2">
          <cx:tx>
            <cx:txData>
              <cx:f>_xlchart.v2.5</cx:f>
              <cx:v>Avg Delay</cx:v>
            </cx:txData>
          </cx:tx>
          <cx:dataLabels>
            <cx:txPr>
              <a:bodyPr vertOverflow="overflow" horzOverflow="overflow" wrap="square" lIns="0" tIns="0" rIns="0" bIns="0"/>
              <a:lstStyle/>
              <a:p>
                <a:pPr algn="ctr" rtl="0">
                  <a:defRPr sz="9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rgbClr val="FFFFFF"/>
                  </a:solidFill>
                </a:endParaRPr>
              </a:p>
            </cx:txPr>
            <cx:visibility seriesName="0" categoryName="0" value="1"/>
          </cx:dataLabels>
          <cx:dataId val="2"/>
        </cx:series>
        <cx:series layoutId="funnel" hidden="1" uniqueId="{FCD79BFF-73EC-4A29-80AD-7402E4C151C4}" formatIdx="3">
          <cx:tx>
            <cx:txData>
              <cx:f>_xlchart.v2.7</cx:f>
              <cx:v>Status</cx:v>
            </cx:txData>
          </cx:tx>
          <cx:dataLabels>
            <cx:txPr>
              <a:bodyPr vertOverflow="overflow" horzOverflow="overflow" wrap="square" lIns="0" tIns="0" rIns="0" bIns="0"/>
              <a:lstStyle/>
              <a:p>
                <a:pPr algn="ctr" rtl="0">
                  <a:defRPr sz="900" b="0"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rgbClr val="FFFFFF"/>
                  </a:solidFill>
                </a:endParaRPr>
              </a:p>
            </cx:txPr>
            <cx:visibility seriesName="0" categoryName="0" value="1"/>
          </cx:dataLabels>
          <cx:dataId val="3"/>
        </cx:series>
      </cx:plotAreaRegion>
      <cx:axis id="0">
        <cx:catScaling gapWidth="0.150000006"/>
        <cx:tickLabels/>
        <cx:txPr>
          <a:bodyPr spcFirstLastPara="1" vertOverflow="ellipsis" horzOverflow="overflow" wrap="square" lIns="0" tIns="0" rIns="0" bIns="0" anchor="ctr" anchorCtr="1"/>
          <a:lstStyle/>
          <a:p>
            <a:pPr algn="ctr" rtl="0">
              <a:defRPr b="1" i="0" baseline="0">
                <a:solidFill>
                  <a:schemeClr val="bg1"/>
                </a:solidFill>
              </a:defRPr>
            </a:pPr>
            <a:endParaRPr lang="en-US" sz="900" b="1" i="0" u="none" strike="noStrike" baseline="0">
              <a:solidFill>
                <a:schemeClr val="bg1"/>
              </a:solidFill>
              <a:latin typeface="Aptos Narrow" panose="02110004020202020204"/>
            </a:endParaRPr>
          </a:p>
        </cx:txPr>
      </cx:axis>
    </cx:plotArea>
  </cx:chart>
  <cx:spPr>
    <a:solidFill>
      <a:srgbClr val="1A1A1A"/>
    </a:solidFill>
    <a:ln>
      <a:solidFill>
        <a:schemeClr val="bg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_xlchart.v2.20</cx:f>
      </cx:numDim>
    </cx:data>
    <cx:data id="1">
      <cx:strDim type="cat">
        <cx:f>_xlchart.v2.18</cx:f>
      </cx:strDim>
      <cx:numDim type="val">
        <cx:f>_xlchart.v2.22</cx:f>
      </cx:numDim>
    </cx:data>
    <cx:data id="2">
      <cx:strDim type="cat">
        <cx:f>_xlchart.v2.18</cx:f>
      </cx:strDim>
      <cx:numDim type="val">
        <cx:f>_xlchart.v2.24</cx:f>
      </cx:numDim>
    </cx:data>
    <cx:data id="3">
      <cx:strDim type="cat">
        <cx:f>_xlchart.v2.18</cx:f>
      </cx:strDim>
      <cx:numDim type="val">
        <cx:f>_xlchart.v2.26</cx:f>
      </cx:numDim>
    </cx:data>
  </cx:chartData>
  <cx:chart>
    <cx:title pos="t" align="ctr" overlay="0">
      <cx:tx>
        <cx:txData>
          <cx:v>CARRIER PERFORMANCE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bg1"/>
              </a:solidFill>
              <a:latin typeface="Aptos Narrow" panose="02110004020202020204"/>
            </a:rPr>
            <a:t>CARRIER PERFORMANCE</a:t>
          </a:r>
        </a:p>
      </cx:txPr>
    </cx:title>
    <cx:plotArea>
      <cx:plotAreaRegion>
        <cx:series layoutId="funnel" uniqueId="{BCD7CF8B-E817-4271-ACF8-9F2F0A8D7046}" formatIdx="0">
          <cx:tx>
            <cx:txData>
              <cx:f>_xlchart.v2.19</cx:f>
              <cx:v>Shipments</cx:v>
            </cx:txData>
          </cx:tx>
          <cx:dataPt idx="0">
            <cx:spPr>
              <a:solidFill>
                <a:srgbClr val="00B050"/>
              </a:solidFill>
            </cx:spPr>
          </cx:dataPt>
          <cx:dataPt idx="1">
            <cx:spPr>
              <a:solidFill>
                <a:srgbClr val="00B050"/>
              </a:solidFill>
            </cx:spPr>
          </cx:dataPt>
          <cx:dataPt idx="2">
            <cx:spPr>
              <a:solidFill>
                <a:srgbClr val="00B050"/>
              </a:solidFill>
            </cx:spPr>
          </cx:dataPt>
          <cx:dataPt idx="3">
            <cx:spPr>
              <a:solidFill>
                <a:srgbClr val="0070C0"/>
              </a:solidFill>
            </cx:spPr>
          </cx:dataPt>
          <cx:dataPt idx="4">
            <cx:spPr>
              <a:solidFill>
                <a:srgbClr val="0070C0"/>
              </a:solidFill>
            </cx:spPr>
          </cx:dataPt>
          <cx:dataPt idx="5">
            <cx:spPr>
              <a:solidFill>
                <a:srgbClr val="0070C0"/>
              </a:solidFill>
            </cx:spPr>
          </cx:dataPt>
          <cx:dataPt idx="6">
            <cx:spPr>
              <a:solidFill>
                <a:srgbClr val="0070C0"/>
              </a:solidFill>
            </cx:spPr>
          </cx:dataPt>
          <cx:dataPt idx="7">
            <cx:spPr>
              <a:solidFill>
                <a:srgbClr val="FF0000"/>
              </a:solidFill>
            </cx:spPr>
          </cx:dataPt>
          <cx:dataPt idx="8">
            <cx:spPr>
              <a:solidFill>
                <a:srgbClr val="FF0000"/>
              </a:solidFill>
            </cx:spPr>
          </cx:dataPt>
          <cx:dataPt idx="9">
            <cx:spPr>
              <a:solidFill>
                <a:srgbClr val="FF0000"/>
              </a:solidFill>
            </cx:spPr>
          </cx:dataPt>
          <cx:dataLabels>
            <cx:visibility seriesName="0" categoryName="0" value="1"/>
          </cx:dataLabels>
          <cx:dataId val="0"/>
        </cx:series>
        <cx:series layoutId="funnel" hidden="1" uniqueId="{A4B02F16-62B6-4311-A8C4-7D2A92D4EDC5}" formatIdx="1">
          <cx:tx>
            <cx:txData>
              <cx:f>_xlchart.v2.21</cx:f>
              <cx:v>On-Time %</cx:v>
            </cx:txData>
          </cx:tx>
          <cx:dataLabels>
            <cx:visibility seriesName="0" categoryName="0" value="1"/>
          </cx:dataLabels>
          <cx:dataId val="1"/>
        </cx:series>
        <cx:series layoutId="funnel" hidden="1" uniqueId="{B454CE0C-1093-48C9-96B4-9D039254E93A}" formatIdx="2">
          <cx:tx>
            <cx:txData>
              <cx:f>_xlchart.v2.23</cx:f>
              <cx:v>Avg Delay</cx:v>
            </cx:txData>
          </cx:tx>
          <cx:dataLabels>
            <cx:visibility seriesName="0" categoryName="0" value="1"/>
          </cx:dataLabels>
          <cx:dataId val="2"/>
        </cx:series>
        <cx:series layoutId="funnel" hidden="1" uniqueId="{FCD79BFF-73EC-4A29-80AD-7402E4C151C4}" formatIdx="3">
          <cx:tx>
            <cx:txData>
              <cx:f>_xlchart.v2.25</cx:f>
              <cx:v>Status</cx:v>
            </cx:txData>
          </cx:tx>
          <cx:dataLabels>
            <cx:visibility seriesName="0" categoryName="0" value="1"/>
          </cx:dataLabels>
          <cx:dataId val="3"/>
        </cx:series>
      </cx:plotAreaRegion>
      <cx:axis id="1">
        <cx:catScaling gapWidth="0.5"/>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microsoft.com/office/2014/relationships/chartEx" Target="../charts/chartEx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microsoft.com/office/2014/relationships/chartEx" Target="../charts/chartEx2.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5</xdr:col>
      <xdr:colOff>1483995</xdr:colOff>
      <xdr:row>7</xdr:row>
      <xdr:rowOff>171450</xdr:rowOff>
    </xdr:from>
    <xdr:ext cx="3590925" cy="666515"/>
    <xdr:sp macro="" textlink="">
      <xdr:nvSpPr>
        <xdr:cNvPr id="2" name="TextBox 1">
          <a:extLst>
            <a:ext uri="{FF2B5EF4-FFF2-40B4-BE49-F238E27FC236}">
              <a16:creationId xmlns:a16="http://schemas.microsoft.com/office/drawing/2014/main" id="{C8FEA283-9304-EA10-F319-1647411A71A0}"/>
            </a:ext>
          </a:extLst>
        </xdr:cNvPr>
        <xdr:cNvSpPr txBox="1"/>
      </xdr:nvSpPr>
      <xdr:spPr>
        <a:xfrm>
          <a:off x="9675495" y="1438275"/>
          <a:ext cx="3590925" cy="666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Cascade</a:t>
          </a:r>
          <a:r>
            <a:rPr lang="en-US" sz="1100" baseline="0"/>
            <a:t> Cargo ships </a:t>
          </a:r>
          <a:r>
            <a:rPr lang="en-US" sz="1100" baseline="0">
              <a:solidFill>
                <a:srgbClr val="FF0000"/>
              </a:solidFill>
            </a:rPr>
            <a:t>20% of its cargo Late</a:t>
          </a:r>
          <a:endParaRPr lang="en-US" sz="1100">
            <a:solidFill>
              <a:srgbClr val="FF0000"/>
            </a:solidFill>
          </a:endParaRPr>
        </a:p>
      </xdr:txBody>
    </xdr:sp>
    <xdr:clientData/>
  </xdr:oneCellAnchor>
  <xdr:twoCellAnchor>
    <xdr:from>
      <xdr:col>2</xdr:col>
      <xdr:colOff>1325880</xdr:colOff>
      <xdr:row>14</xdr:row>
      <xdr:rowOff>15240</xdr:rowOff>
    </xdr:from>
    <xdr:to>
      <xdr:col>8</xdr:col>
      <xdr:colOff>929640</xdr:colOff>
      <xdr:row>34</xdr:row>
      <xdr:rowOff>114300</xdr:rowOff>
    </xdr:to>
    <xdr:graphicFrame macro="">
      <xdr:nvGraphicFramePr>
        <xdr:cNvPr id="3" name="Chart 2">
          <a:extLst>
            <a:ext uri="{FF2B5EF4-FFF2-40B4-BE49-F238E27FC236}">
              <a16:creationId xmlns:a16="http://schemas.microsoft.com/office/drawing/2014/main" id="{95EB086A-8439-B680-F473-CC38DA43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121920</xdr:colOff>
      <xdr:row>0</xdr:row>
      <xdr:rowOff>144780</xdr:rowOff>
    </xdr:from>
    <xdr:to>
      <xdr:col>15</xdr:col>
      <xdr:colOff>121920</xdr:colOff>
      <xdr:row>14</xdr:row>
      <xdr:rowOff>165735</xdr:rowOff>
    </xdr:to>
    <mc:AlternateContent xmlns:mc="http://schemas.openxmlformats.org/markup-compatibility/2006" xmlns:a14="http://schemas.microsoft.com/office/drawing/2010/main">
      <mc:Choice Requires="a14">
        <xdr:graphicFrame macro="">
          <xdr:nvGraphicFramePr>
            <xdr:cNvPr id="5" name="cost_per_mile">
              <a:extLst>
                <a:ext uri="{FF2B5EF4-FFF2-40B4-BE49-F238E27FC236}">
                  <a16:creationId xmlns:a16="http://schemas.microsoft.com/office/drawing/2014/main" id="{CBB5BB59-D19D-8D3E-0460-39E148118FA5}"/>
                </a:ext>
              </a:extLst>
            </xdr:cNvPr>
            <xdr:cNvGraphicFramePr/>
          </xdr:nvGraphicFramePr>
          <xdr:xfrm>
            <a:off x="0" y="0"/>
            <a:ext cx="0" cy="0"/>
          </xdr:xfrm>
          <a:graphic>
            <a:graphicData uri="http://schemas.microsoft.com/office/drawing/2010/slicer">
              <sle:slicer xmlns:sle="http://schemas.microsoft.com/office/drawing/2010/slicer" name="cost_per_mile"/>
            </a:graphicData>
          </a:graphic>
        </xdr:graphicFrame>
      </mc:Choice>
      <mc:Fallback xmlns="">
        <xdr:sp macro="" textlink="">
          <xdr:nvSpPr>
            <xdr:cNvPr id="0" name=""/>
            <xdr:cNvSpPr>
              <a:spLocks noTextEdit="1"/>
            </xdr:cNvSpPr>
          </xdr:nvSpPr>
          <xdr:spPr>
            <a:xfrm>
              <a:off x="11856720" y="144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99060</xdr:colOff>
      <xdr:row>15</xdr:row>
      <xdr:rowOff>76200</xdr:rowOff>
    </xdr:from>
    <xdr:to>
      <xdr:col>15</xdr:col>
      <xdr:colOff>99060</xdr:colOff>
      <xdr:row>29</xdr:row>
      <xdr:rowOff>97155</xdr:rowOff>
    </xdr:to>
    <mc:AlternateContent xmlns:mc="http://schemas.openxmlformats.org/markup-compatibility/2006" xmlns:a14="http://schemas.microsoft.com/office/drawing/2010/main">
      <mc:Choice Requires="a14">
        <xdr:graphicFrame macro="">
          <xdr:nvGraphicFramePr>
            <xdr:cNvPr id="6" name="variable_cost_per_mile">
              <a:extLst>
                <a:ext uri="{FF2B5EF4-FFF2-40B4-BE49-F238E27FC236}">
                  <a16:creationId xmlns:a16="http://schemas.microsoft.com/office/drawing/2014/main" id="{CC1EF73E-239A-AA8B-15D9-DAED8883AF3C}"/>
                </a:ext>
              </a:extLst>
            </xdr:cNvPr>
            <xdr:cNvGraphicFramePr/>
          </xdr:nvGraphicFramePr>
          <xdr:xfrm>
            <a:off x="0" y="0"/>
            <a:ext cx="0" cy="0"/>
          </xdr:xfrm>
          <a:graphic>
            <a:graphicData uri="http://schemas.microsoft.com/office/drawing/2010/slicer">
              <sle:slicer xmlns:sle="http://schemas.microsoft.com/office/drawing/2010/slicer" name="variable_cost_per_mile"/>
            </a:graphicData>
          </a:graphic>
        </xdr:graphicFrame>
      </mc:Choice>
      <mc:Fallback xmlns="">
        <xdr:sp macro="" textlink="">
          <xdr:nvSpPr>
            <xdr:cNvPr id="0" name=""/>
            <xdr:cNvSpPr>
              <a:spLocks noTextEdit="1"/>
            </xdr:cNvSpPr>
          </xdr:nvSpPr>
          <xdr:spPr>
            <a:xfrm>
              <a:off x="11833860" y="2819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1996439</xdr:colOff>
      <xdr:row>11</xdr:row>
      <xdr:rowOff>20955</xdr:rowOff>
    </xdr:from>
    <xdr:to>
      <xdr:col>6</xdr:col>
      <xdr:colOff>190499</xdr:colOff>
      <xdr:row>40</xdr:row>
      <xdr:rowOff>19050</xdr:rowOff>
    </xdr:to>
    <xdr:graphicFrame macro="">
      <xdr:nvGraphicFramePr>
        <xdr:cNvPr id="2" name="Chart 1" descr="Chart type: Clustered Bar. 'variable_cost_per_mile' by 'truck_types' and 'shipment_value_bucket'&#10;&#10;Description automatically generated">
          <a:extLst>
            <a:ext uri="{FF2B5EF4-FFF2-40B4-BE49-F238E27FC236}">
              <a16:creationId xmlns:a16="http://schemas.microsoft.com/office/drawing/2014/main" id="{E8D0373E-69CF-641E-1714-5395EF549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1472564</xdr:colOff>
      <xdr:row>10</xdr:row>
      <xdr:rowOff>158115</xdr:rowOff>
    </xdr:from>
    <xdr:to>
      <xdr:col>13</xdr:col>
      <xdr:colOff>605789</xdr:colOff>
      <xdr:row>25</xdr:row>
      <xdr:rowOff>177165</xdr:rowOff>
    </xdr:to>
    <xdr:graphicFrame macro="">
      <xdr:nvGraphicFramePr>
        <xdr:cNvPr id="2" name="Chart 1">
          <a:extLst>
            <a:ext uri="{FF2B5EF4-FFF2-40B4-BE49-F238E27FC236}">
              <a16:creationId xmlns:a16="http://schemas.microsoft.com/office/drawing/2014/main" id="{B0305F4B-52B6-A976-1A90-A01EE4BA7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137520</xdr:colOff>
      <xdr:row>19</xdr:row>
      <xdr:rowOff>162512</xdr:rowOff>
    </xdr:from>
    <xdr:to>
      <xdr:col>8</xdr:col>
      <xdr:colOff>146182</xdr:colOff>
      <xdr:row>33</xdr:row>
      <xdr:rowOff>183468</xdr:rowOff>
    </xdr:to>
    <mc:AlternateContent xmlns:mc="http://schemas.openxmlformats.org/markup-compatibility/2006" xmlns:a14="http://schemas.microsoft.com/office/drawing/2010/main">
      <mc:Choice Requires="a14">
        <xdr:graphicFrame macro="">
          <xdr:nvGraphicFramePr>
            <xdr:cNvPr id="3" name="carrier_name">
              <a:extLst>
                <a:ext uri="{FF2B5EF4-FFF2-40B4-BE49-F238E27FC236}">
                  <a16:creationId xmlns:a16="http://schemas.microsoft.com/office/drawing/2014/main" id="{77014908-7A50-5B9D-27D2-45F3D7406061}"/>
                </a:ext>
              </a:extLst>
            </xdr:cNvPr>
            <xdr:cNvGraphicFramePr/>
          </xdr:nvGraphicFramePr>
          <xdr:xfrm>
            <a:off x="0" y="0"/>
            <a:ext cx="0" cy="0"/>
          </xdr:xfrm>
          <a:graphic>
            <a:graphicData uri="http://schemas.microsoft.com/office/drawing/2010/slicer">
              <sle:slicer xmlns:sle="http://schemas.microsoft.com/office/drawing/2010/slicer" name="carrier_name"/>
            </a:graphicData>
          </a:graphic>
        </xdr:graphicFrame>
      </mc:Choice>
      <mc:Fallback xmlns="">
        <xdr:sp macro="" textlink="">
          <xdr:nvSpPr>
            <xdr:cNvPr id="0" name=""/>
            <xdr:cNvSpPr>
              <a:spLocks noTextEdit="1"/>
            </xdr:cNvSpPr>
          </xdr:nvSpPr>
          <xdr:spPr>
            <a:xfrm>
              <a:off x="3872157" y="3662688"/>
              <a:ext cx="1842487" cy="2600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415341</xdr:colOff>
      <xdr:row>1</xdr:row>
      <xdr:rowOff>163361</xdr:rowOff>
    </xdr:from>
    <xdr:to>
      <xdr:col>22</xdr:col>
      <xdr:colOff>419828</xdr:colOff>
      <xdr:row>16</xdr:row>
      <xdr:rowOff>3842</xdr:rowOff>
    </xdr:to>
    <mc:AlternateContent xmlns:mc="http://schemas.openxmlformats.org/markup-compatibility/2006" xmlns:a14="http://schemas.microsoft.com/office/drawing/2010/main">
      <mc:Choice Requires="a14">
        <xdr:graphicFrame macro="">
          <xdr:nvGraphicFramePr>
            <xdr:cNvPr id="4" name="customer_name">
              <a:extLst>
                <a:ext uri="{FF2B5EF4-FFF2-40B4-BE49-F238E27FC236}">
                  <a16:creationId xmlns:a16="http://schemas.microsoft.com/office/drawing/2014/main" id="{A6B2BF60-4B16-3472-01EF-F880E4C1734C}"/>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707825" y="347581"/>
              <a:ext cx="1838311" cy="2603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227556</xdr:colOff>
      <xdr:row>1</xdr:row>
      <xdr:rowOff>115135</xdr:rowOff>
    </xdr:from>
    <xdr:to>
      <xdr:col>19</xdr:col>
      <xdr:colOff>227556</xdr:colOff>
      <xdr:row>15</xdr:row>
      <xdr:rowOff>136090</xdr:rowOff>
    </xdr:to>
    <mc:AlternateContent xmlns:mc="http://schemas.openxmlformats.org/markup-compatibility/2006" xmlns:a14="http://schemas.microsoft.com/office/drawing/2010/main">
      <mc:Choice Requires="a14">
        <xdr:graphicFrame macro="">
          <xdr:nvGraphicFramePr>
            <xdr:cNvPr id="6" name="empty_miles">
              <a:extLst>
                <a:ext uri="{FF2B5EF4-FFF2-40B4-BE49-F238E27FC236}">
                  <a16:creationId xmlns:a16="http://schemas.microsoft.com/office/drawing/2014/main" id="{EB23B93D-D098-FF43-46CB-45889353DCA9}"/>
                </a:ext>
              </a:extLst>
            </xdr:cNvPr>
            <xdr:cNvGraphicFramePr/>
          </xdr:nvGraphicFramePr>
          <xdr:xfrm>
            <a:off x="0" y="0"/>
            <a:ext cx="0" cy="0"/>
          </xdr:xfrm>
          <a:graphic>
            <a:graphicData uri="http://schemas.microsoft.com/office/drawing/2010/slicer">
              <sle:slicer xmlns:sle="http://schemas.microsoft.com/office/drawing/2010/slicer" name="empty_miles"/>
            </a:graphicData>
          </a:graphic>
        </xdr:graphicFrame>
      </mc:Choice>
      <mc:Fallback xmlns="">
        <xdr:sp macro="" textlink="">
          <xdr:nvSpPr>
            <xdr:cNvPr id="0" name=""/>
            <xdr:cNvSpPr>
              <a:spLocks noTextEdit="1"/>
            </xdr:cNvSpPr>
          </xdr:nvSpPr>
          <xdr:spPr>
            <a:xfrm>
              <a:off x="10686215" y="299355"/>
              <a:ext cx="1833825" cy="2600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150209</xdr:colOff>
      <xdr:row>9</xdr:row>
      <xdr:rowOff>77870</xdr:rowOff>
    </xdr:from>
    <xdr:to>
      <xdr:col>3</xdr:col>
      <xdr:colOff>1212741</xdr:colOff>
      <xdr:row>23</xdr:row>
      <xdr:rowOff>98825</xdr:rowOff>
    </xdr:to>
    <mc:AlternateContent xmlns:mc="http://schemas.openxmlformats.org/markup-compatibility/2006" xmlns:a14="http://schemas.microsoft.com/office/drawing/2010/main">
      <mc:Choice Requires="a14">
        <xdr:graphicFrame macro="">
          <xdr:nvGraphicFramePr>
            <xdr:cNvPr id="7" name="deadhead_miles">
              <a:extLst>
                <a:ext uri="{FF2B5EF4-FFF2-40B4-BE49-F238E27FC236}">
                  <a16:creationId xmlns:a16="http://schemas.microsoft.com/office/drawing/2014/main" id="{D8204999-6D18-F929-89FC-108510440146}"/>
                </a:ext>
              </a:extLst>
            </xdr:cNvPr>
            <xdr:cNvGraphicFramePr/>
          </xdr:nvGraphicFramePr>
          <xdr:xfrm>
            <a:off x="0" y="0"/>
            <a:ext cx="0" cy="0"/>
          </xdr:xfrm>
          <a:graphic>
            <a:graphicData uri="http://schemas.microsoft.com/office/drawing/2010/slicer">
              <sle:slicer xmlns:sle="http://schemas.microsoft.com/office/drawing/2010/slicer" name="deadhead_miles"/>
            </a:graphicData>
          </a:graphic>
        </xdr:graphicFrame>
      </mc:Choice>
      <mc:Fallback xmlns="">
        <xdr:sp macro="" textlink="">
          <xdr:nvSpPr>
            <xdr:cNvPr id="0" name=""/>
            <xdr:cNvSpPr>
              <a:spLocks noTextEdit="1"/>
            </xdr:cNvSpPr>
          </xdr:nvSpPr>
          <xdr:spPr>
            <a:xfrm>
              <a:off x="1012693" y="1735848"/>
              <a:ext cx="1816158" cy="2600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114614</xdr:colOff>
      <xdr:row>23</xdr:row>
      <xdr:rowOff>129541</xdr:rowOff>
    </xdr:from>
    <xdr:to>
      <xdr:col>3</xdr:col>
      <xdr:colOff>1177146</xdr:colOff>
      <xdr:row>37</xdr:row>
      <xdr:rowOff>150496</xdr:rowOff>
    </xdr:to>
    <mc:AlternateContent xmlns:mc="http://schemas.openxmlformats.org/markup-compatibility/2006" xmlns:a14="http://schemas.microsoft.com/office/drawing/2010/main">
      <mc:Choice Requires="a14">
        <xdr:graphicFrame macro="">
          <xdr:nvGraphicFramePr>
            <xdr:cNvPr id="8" name="truck_types">
              <a:extLst>
                <a:ext uri="{FF2B5EF4-FFF2-40B4-BE49-F238E27FC236}">
                  <a16:creationId xmlns:a16="http://schemas.microsoft.com/office/drawing/2014/main" id="{00501128-620C-9604-C451-AA49BE8487BF}"/>
                </a:ext>
              </a:extLst>
            </xdr:cNvPr>
            <xdr:cNvGraphicFramePr/>
          </xdr:nvGraphicFramePr>
          <xdr:xfrm>
            <a:off x="0" y="0"/>
            <a:ext cx="0" cy="0"/>
          </xdr:xfrm>
          <a:graphic>
            <a:graphicData uri="http://schemas.microsoft.com/office/drawing/2010/slicer">
              <sle:slicer xmlns:sle="http://schemas.microsoft.com/office/drawing/2010/slicer" name="truck_types"/>
            </a:graphicData>
          </a:graphic>
        </xdr:graphicFrame>
      </mc:Choice>
      <mc:Fallback xmlns="">
        <xdr:sp macro="" textlink="">
          <xdr:nvSpPr>
            <xdr:cNvPr id="0" name=""/>
            <xdr:cNvSpPr>
              <a:spLocks noTextEdit="1"/>
            </xdr:cNvSpPr>
          </xdr:nvSpPr>
          <xdr:spPr>
            <a:xfrm>
              <a:off x="977098" y="4366596"/>
              <a:ext cx="1816158" cy="2600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17775</xdr:colOff>
      <xdr:row>20</xdr:row>
      <xdr:rowOff>122661</xdr:rowOff>
    </xdr:from>
    <xdr:to>
      <xdr:col>14</xdr:col>
      <xdr:colOff>17776</xdr:colOff>
      <xdr:row>34</xdr:row>
      <xdr:rowOff>143615</xdr:rowOff>
    </xdr:to>
    <mc:AlternateContent xmlns:mc="http://schemas.openxmlformats.org/markup-compatibility/2006" xmlns:a14="http://schemas.microsoft.com/office/drawing/2010/main">
      <mc:Choice Requires="a14">
        <xdr:graphicFrame macro="">
          <xdr:nvGraphicFramePr>
            <xdr:cNvPr id="12" name="driver_pay_total">
              <a:extLst>
                <a:ext uri="{FF2B5EF4-FFF2-40B4-BE49-F238E27FC236}">
                  <a16:creationId xmlns:a16="http://schemas.microsoft.com/office/drawing/2014/main" id="{4700CC38-363C-A4AF-2089-DBE1D231A544}"/>
                </a:ext>
              </a:extLst>
            </xdr:cNvPr>
            <xdr:cNvGraphicFramePr/>
          </xdr:nvGraphicFramePr>
          <xdr:xfrm>
            <a:off x="0" y="0"/>
            <a:ext cx="0" cy="0"/>
          </xdr:xfrm>
          <a:graphic>
            <a:graphicData uri="http://schemas.microsoft.com/office/drawing/2010/slicer">
              <sle:slicer xmlns:sle="http://schemas.microsoft.com/office/drawing/2010/slicer" name="driver_pay_total"/>
            </a:graphicData>
          </a:graphic>
        </xdr:graphicFrame>
      </mc:Choice>
      <mc:Fallback xmlns="">
        <xdr:sp macro="" textlink="">
          <xdr:nvSpPr>
            <xdr:cNvPr id="0" name=""/>
            <xdr:cNvSpPr>
              <a:spLocks noTextEdit="1"/>
            </xdr:cNvSpPr>
          </xdr:nvSpPr>
          <xdr:spPr>
            <a:xfrm>
              <a:off x="7420061" y="3807057"/>
              <a:ext cx="1833825" cy="2600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107828</xdr:colOff>
      <xdr:row>0</xdr:row>
      <xdr:rowOff>152401</xdr:rowOff>
    </xdr:from>
    <xdr:to>
      <xdr:col>16</xdr:col>
      <xdr:colOff>107827</xdr:colOff>
      <xdr:row>14</xdr:row>
      <xdr:rowOff>173355</xdr:rowOff>
    </xdr:to>
    <mc:AlternateContent xmlns:mc="http://schemas.openxmlformats.org/markup-compatibility/2006" xmlns:a14="http://schemas.microsoft.com/office/drawing/2010/main">
      <mc:Choice Requires="a14">
        <xdr:graphicFrame macro="">
          <xdr:nvGraphicFramePr>
            <xdr:cNvPr id="13" name="Years (scheduled_delivery_datetime)">
              <a:extLst>
                <a:ext uri="{FF2B5EF4-FFF2-40B4-BE49-F238E27FC236}">
                  <a16:creationId xmlns:a16="http://schemas.microsoft.com/office/drawing/2014/main" id="{63FA5F22-9E3E-BF5E-997C-9BB60E3AB3E7}"/>
                </a:ext>
              </a:extLst>
            </xdr:cNvPr>
            <xdr:cNvGraphicFramePr/>
          </xdr:nvGraphicFramePr>
          <xdr:xfrm>
            <a:off x="0" y="0"/>
            <a:ext cx="0" cy="0"/>
          </xdr:xfrm>
          <a:graphic>
            <a:graphicData uri="http://schemas.microsoft.com/office/drawing/2010/slicer">
              <sle:slicer xmlns:sle="http://schemas.microsoft.com/office/drawing/2010/slicer" name="Years (scheduled_delivery_datetime)"/>
            </a:graphicData>
          </a:graphic>
        </xdr:graphicFrame>
      </mc:Choice>
      <mc:Fallback xmlns="">
        <xdr:sp macro="" textlink="">
          <xdr:nvSpPr>
            <xdr:cNvPr id="0" name=""/>
            <xdr:cNvSpPr>
              <a:spLocks noTextEdit="1"/>
            </xdr:cNvSpPr>
          </xdr:nvSpPr>
          <xdr:spPr>
            <a:xfrm>
              <a:off x="8732663" y="152401"/>
              <a:ext cx="1833823" cy="2600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Clustered Bar. Percentage of 'deadhead_miles' by 'region'&#10;&#10;Description automatically generated">
          <a:extLst>
            <a:ext uri="{FF2B5EF4-FFF2-40B4-BE49-F238E27FC236}">
              <a16:creationId xmlns:a16="http://schemas.microsoft.com/office/drawing/2014/main" id="{508CA2F2-4E79-6674-1A6B-70F1E1523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27771</xdr:colOff>
      <xdr:row>1</xdr:row>
      <xdr:rowOff>33424</xdr:rowOff>
    </xdr:from>
    <xdr:to>
      <xdr:col>11</xdr:col>
      <xdr:colOff>353652</xdr:colOff>
      <xdr:row>18</xdr:row>
      <xdr:rowOff>70906</xdr:rowOff>
    </xdr:to>
    <xdr:graphicFrame macro="">
      <xdr:nvGraphicFramePr>
        <xdr:cNvPr id="3" name="Chart 13">
          <a:extLst>
            <a:ext uri="{FF2B5EF4-FFF2-40B4-BE49-F238E27FC236}">
              <a16:creationId xmlns:a16="http://schemas.microsoft.com/office/drawing/2014/main" id="{E2C3AF7F-43BB-430F-4F2D-BD562523F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480060</xdr:colOff>
      <xdr:row>75</xdr:row>
      <xdr:rowOff>34290</xdr:rowOff>
    </xdr:from>
    <xdr:to>
      <xdr:col>5</xdr:col>
      <xdr:colOff>1546860</xdr:colOff>
      <xdr:row>90</xdr:row>
      <xdr:rowOff>175260</xdr:rowOff>
    </xdr:to>
    <xdr:graphicFrame macro="">
      <xdr:nvGraphicFramePr>
        <xdr:cNvPr id="3" name="Chart 2">
          <a:extLst>
            <a:ext uri="{FF2B5EF4-FFF2-40B4-BE49-F238E27FC236}">
              <a16:creationId xmlns:a16="http://schemas.microsoft.com/office/drawing/2014/main" id="{7A2037F5-520C-16FC-4692-2808335C6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171061</xdr:colOff>
      <xdr:row>25</xdr:row>
      <xdr:rowOff>190499</xdr:rowOff>
    </xdr:from>
    <xdr:to>
      <xdr:col>7</xdr:col>
      <xdr:colOff>529865</xdr:colOff>
      <xdr:row>36</xdr:row>
      <xdr:rowOff>117236</xdr:rowOff>
    </xdr:to>
    <xdr:graphicFrame macro="">
      <xdr:nvGraphicFramePr>
        <xdr:cNvPr id="15" name="Chart 14">
          <a:extLst>
            <a:ext uri="{FF2B5EF4-FFF2-40B4-BE49-F238E27FC236}">
              <a16:creationId xmlns:a16="http://schemas.microsoft.com/office/drawing/2014/main" id="{3A992BCA-ED68-440D-9B82-D707BCE03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225800</xdr:colOff>
      <xdr:row>14</xdr:row>
      <xdr:rowOff>132080</xdr:rowOff>
    </xdr:from>
    <xdr:to>
      <xdr:col>15</xdr:col>
      <xdr:colOff>684245</xdr:colOff>
      <xdr:row>25</xdr:row>
      <xdr:rowOff>171061</xdr:rowOff>
    </xdr:to>
    <xdr:graphicFrame macro="">
      <xdr:nvGraphicFramePr>
        <xdr:cNvPr id="17" name="Chart 16">
          <a:extLst>
            <a:ext uri="{FF2B5EF4-FFF2-40B4-BE49-F238E27FC236}">
              <a16:creationId xmlns:a16="http://schemas.microsoft.com/office/drawing/2014/main" id="{BEDF81F6-F696-4906-BD25-5A4B6CA1E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212912</xdr:colOff>
      <xdr:row>25</xdr:row>
      <xdr:rowOff>186612</xdr:rowOff>
    </xdr:from>
    <xdr:to>
      <xdr:col>15</xdr:col>
      <xdr:colOff>683559</xdr:colOff>
      <xdr:row>36</xdr:row>
      <xdr:rowOff>108857</xdr:rowOff>
    </xdr:to>
    <xdr:graphicFrame macro="">
      <xdr:nvGraphicFramePr>
        <xdr:cNvPr id="23" name="Chart 22">
          <a:extLst>
            <a:ext uri="{FF2B5EF4-FFF2-40B4-BE49-F238E27FC236}">
              <a16:creationId xmlns:a16="http://schemas.microsoft.com/office/drawing/2014/main" id="{3C6F3412-E8A6-4B1E-B868-AADBBEFE6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186611</xdr:colOff>
      <xdr:row>14</xdr:row>
      <xdr:rowOff>101028</xdr:rowOff>
    </xdr:from>
    <xdr:to>
      <xdr:col>7</xdr:col>
      <xdr:colOff>544284</xdr:colOff>
      <xdr:row>25</xdr:row>
      <xdr:rowOff>168562</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2502C52F-C146-4370-B308-2F780FE5FD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611" y="3642718"/>
              <a:ext cx="5434096" cy="25467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160547</xdr:colOff>
      <xdr:row>36</xdr:row>
      <xdr:rowOff>21989</xdr:rowOff>
    </xdr:from>
    <xdr:to>
      <xdr:col>7</xdr:col>
      <xdr:colOff>596348</xdr:colOff>
      <xdr:row>55</xdr:row>
      <xdr:rowOff>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D93501F-7D7F-1A90-B772-DF2A0EA9A8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4674" y="3147154"/>
              <a:ext cx="4660560" cy="16274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78787</xdr:colOff>
      <xdr:row>38</xdr:row>
      <xdr:rowOff>91799</xdr:rowOff>
    </xdr:from>
    <xdr:to>
      <xdr:col>26</xdr:col>
      <xdr:colOff>236482</xdr:colOff>
      <xdr:row>69</xdr:row>
      <xdr:rowOff>52551</xdr:rowOff>
    </xdr:to>
    <xdr:graphicFrame macro="">
      <xdr:nvGraphicFramePr>
        <xdr:cNvPr id="16" name="Chart 15">
          <a:extLst>
            <a:ext uri="{FF2B5EF4-FFF2-40B4-BE49-F238E27FC236}">
              <a16:creationId xmlns:a16="http://schemas.microsoft.com/office/drawing/2014/main" id="{ACC70E8E-5301-D18C-DC81-D131B66D0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508888</xdr:colOff>
      <xdr:row>4</xdr:row>
      <xdr:rowOff>86374</xdr:rowOff>
    </xdr:from>
    <xdr:to>
      <xdr:col>27</xdr:col>
      <xdr:colOff>538655</xdr:colOff>
      <xdr:row>33</xdr:row>
      <xdr:rowOff>26276</xdr:rowOff>
    </xdr:to>
    <xdr:graphicFrame macro="">
      <xdr:nvGraphicFramePr>
        <xdr:cNvPr id="18" name="Chart 17">
          <a:extLst>
            <a:ext uri="{FF2B5EF4-FFF2-40B4-BE49-F238E27FC236}">
              <a16:creationId xmlns:a16="http://schemas.microsoft.com/office/drawing/2014/main" id="{B034D377-1B0B-99EC-9C12-218F8663D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21166</xdr:colOff>
      <xdr:row>49</xdr:row>
      <xdr:rowOff>89323</xdr:rowOff>
    </xdr:from>
    <xdr:to>
      <xdr:col>35</xdr:col>
      <xdr:colOff>275896</xdr:colOff>
      <xdr:row>79</xdr:row>
      <xdr:rowOff>118241</xdr:rowOff>
    </xdr:to>
    <xdr:graphicFrame macro="">
      <xdr:nvGraphicFramePr>
        <xdr:cNvPr id="19" name="Chart 18">
          <a:extLst>
            <a:ext uri="{FF2B5EF4-FFF2-40B4-BE49-F238E27FC236}">
              <a16:creationId xmlns:a16="http://schemas.microsoft.com/office/drawing/2014/main" id="{231B3B9F-9025-297C-C891-AFB241DFD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698925</xdr:colOff>
      <xdr:row>37</xdr:row>
      <xdr:rowOff>146705</xdr:rowOff>
    </xdr:from>
    <xdr:to>
      <xdr:col>7</xdr:col>
      <xdr:colOff>153573</xdr:colOff>
      <xdr:row>38</xdr:row>
      <xdr:rowOff>164926</xdr:rowOff>
    </xdr:to>
    <xdr:sp macro="" textlink="">
      <xdr:nvSpPr>
        <xdr:cNvPr id="22" name="TextBox 21">
          <a:extLst>
            <a:ext uri="{FF2B5EF4-FFF2-40B4-BE49-F238E27FC236}">
              <a16:creationId xmlns:a16="http://schemas.microsoft.com/office/drawing/2014/main" id="{E7E5C25B-A508-F3D5-9752-E6ED30BE4257}"/>
            </a:ext>
          </a:extLst>
        </xdr:cNvPr>
        <xdr:cNvSpPr txBox="1"/>
      </xdr:nvSpPr>
      <xdr:spPr>
        <a:xfrm>
          <a:off x="1046166" y="8538351"/>
          <a:ext cx="4431761" cy="249714"/>
        </a:xfrm>
        <a:prstGeom prst="rect">
          <a:avLst/>
        </a:prstGeom>
        <a:solidFill>
          <a:srgbClr val="2D2D2D"/>
        </a:solidFill>
        <a:ln w="12700">
          <a:solidFill>
            <a:srgbClr val="4472C4"/>
          </a:solidFill>
        </a:ln>
      </xdr:spPr>
      <xdr:txBody>
        <a:bodyPr vertOverflow="overflow" vert="horz" wrap="square" rtlCol="0" anchor="t">
          <a:spAutoFit/>
        </a:bodyPr>
        <a:lstStyle/>
        <a:p>
          <a:pPr algn="l"/>
          <a:r>
            <a:rPr kumimoji="0" lang="en-US" sz="900" b="0" i="0" u="none" strike="noStrike" kern="0" cap="none" spc="0" normalizeH="0" baseline="0" noProof="0">
              <a:ln>
                <a:noFill/>
              </a:ln>
              <a:solidFill>
                <a:srgbClr val="FFFFFF"/>
              </a:solidFill>
              <a:effectLst/>
              <a:uLnTx/>
              <a:uFillTx/>
              <a:latin typeface="Segoe UI"/>
              <a:cs typeface="Segoe UI"/>
            </a:rPr>
            <a:t>🟢 &gt;84% = Top Performer 🔵 81-84% = Average 🟠 &lt;81% = Needs Review</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evin" refreshedDate="46105.121991203705" createdVersion="8" refreshedVersion="8" minRefreshableVersion="3" recordCount="1000" xr:uid="{E0E66ECB-020F-4AF6-8B77-A44E9DBE214E}">
  <cacheSource type="worksheet">
    <worksheetSource name="fact_orders_1000"/>
  </cacheSource>
  <cacheFields count="66">
    <cacheField name="order_id" numFmtId="0">
      <sharedItems containsSemiMixedTypes="0" containsString="0" containsNumber="1" containsInteger="1" minValue="101679695" maxValue="999126903"/>
    </cacheField>
    <cacheField name="truck_id" numFmtId="0">
      <sharedItems containsSemiMixedTypes="0" containsString="0" containsNumber="1" containsInteger="1" minValue="100599" maxValue="996865"/>
    </cacheField>
    <cacheField name="driver_id" numFmtId="0">
      <sharedItems containsSemiMixedTypes="0" containsString="0" containsNumber="1" containsInteger="1" minValue="1006810" maxValue="9997381"/>
    </cacheField>
    <cacheField name="carrier_id" numFmtId="0">
      <sharedItems containsSemiMixedTypes="0" containsString="0" containsNumber="1" containsInteger="1" minValue="1064" maxValue="9996"/>
    </cacheField>
    <cacheField name="carrier_name" numFmtId="0">
      <sharedItems count="10">
        <s v="Sunbelt Haulage"/>
        <s v="Blue Ridge Logistics"/>
        <s v="Cascade Cargo"/>
        <s v="Great Lakes Carriers"/>
        <s v="Pacific Linehaul"/>
        <s v="Keystone Freight"/>
        <s v="Midwest Express Trucking"/>
        <s v="Lone Star Transport"/>
        <s v="Desert Road Haulers"/>
        <s v="Atlantic Freightways"/>
      </sharedItems>
    </cacheField>
    <cacheField name="customer_id" numFmtId="0">
      <sharedItems containsSemiMixedTypes="0" containsString="0" containsNumber="1" containsInteger="1" minValue="50007" maxValue="59996"/>
    </cacheField>
    <cacheField name="customer_name" numFmtId="0">
      <sharedItems count="15">
        <s v="Coca-Cola Bottling"/>
        <s v="Target DC"/>
        <s v="Costco Distribution"/>
        <s v="UPS Supply Chain"/>
        <s v="Tyson Foods"/>
        <s v="IKEA Distribution"/>
        <s v="Amazon Fulfillment"/>
        <s v="Walmart DC"/>
        <s v="Kroger Logistics"/>
        <s v="Best Buy DC"/>
        <s v="Home Depot RDC"/>
        <s v="FedEx Ground Hub"/>
        <s v="PepsiCo Plant"/>
        <s v="Procter &amp; Gamble"/>
        <s v="General Mills"/>
      </sharedItems>
    </cacheField>
    <cacheField name="shipping_dat" numFmtId="14">
      <sharedItems containsSemiMixedTypes="0" containsNonDate="0" containsDate="1" containsString="0" minDate="2025-01-01T00:00:00" maxDate="2026-01-01T00:00:00" count="337">
        <d v="2025-06-10T00:00:00"/>
        <d v="2025-04-19T00:00:00"/>
        <d v="2025-06-16T00:00:00"/>
        <d v="2025-01-26T00:00:00"/>
        <d v="2025-10-19T00:00:00"/>
        <d v="2025-03-30T00:00:00"/>
        <d v="2025-09-22T00:00:00"/>
        <d v="2025-01-25T00:00:00"/>
        <d v="2025-12-15T00:00:00"/>
        <d v="2025-03-12T00:00:00"/>
        <d v="2025-11-19T00:00:00"/>
        <d v="2025-10-23T00:00:00"/>
        <d v="2025-12-20T00:00:00"/>
        <d v="2025-06-24T00:00:00"/>
        <d v="2025-09-23T00:00:00"/>
        <d v="2025-05-16T00:00:00"/>
        <d v="2025-03-09T00:00:00"/>
        <d v="2025-06-11T00:00:00"/>
        <d v="2025-03-02T00:00:00"/>
        <d v="2025-12-25T00:00:00"/>
        <d v="2025-02-05T00:00:00"/>
        <d v="2025-08-04T00:00:00"/>
        <d v="2025-08-17T00:00:00"/>
        <d v="2025-07-16T00:00:00"/>
        <d v="2025-08-30T00:00:00"/>
        <d v="2025-02-12T00:00:00"/>
        <d v="2025-07-22T00:00:00"/>
        <d v="2025-04-15T00:00:00"/>
        <d v="2025-12-10T00:00:00"/>
        <d v="2025-10-06T00:00:00"/>
        <d v="2025-12-21T00:00:00"/>
        <d v="2025-01-14T00:00:00"/>
        <d v="2025-03-13T00:00:00"/>
        <d v="2025-01-05T00:00:00"/>
        <d v="2025-09-05T00:00:00"/>
        <d v="2025-03-26T00:00:00"/>
        <d v="2025-07-05T00:00:00"/>
        <d v="2025-11-21T00:00:00"/>
        <d v="2025-09-11T00:00:00"/>
        <d v="2025-05-25T00:00:00"/>
        <d v="2025-03-06T00:00:00"/>
        <d v="2025-08-20T00:00:00"/>
        <d v="2025-05-13T00:00:00"/>
        <d v="2025-11-08T00:00:00"/>
        <d v="2025-10-04T00:00:00"/>
        <d v="2025-08-11T00:00:00"/>
        <d v="2025-03-18T00:00:00"/>
        <d v="2025-10-11T00:00:00"/>
        <d v="2025-06-27T00:00:00"/>
        <d v="2025-03-24T00:00:00"/>
        <d v="2025-03-25T00:00:00"/>
        <d v="2025-07-12T00:00:00"/>
        <d v="2025-06-14T00:00:00"/>
        <d v="2025-07-31T00:00:00"/>
        <d v="2025-11-17T00:00:00"/>
        <d v="2025-11-13T00:00:00"/>
        <d v="2025-01-06T00:00:00"/>
        <d v="2025-06-05T00:00:00"/>
        <d v="2025-08-10T00:00:00"/>
        <d v="2025-07-23T00:00:00"/>
        <d v="2025-08-26T00:00:00"/>
        <d v="2025-02-26T00:00:00"/>
        <d v="2025-08-24T00:00:00"/>
        <d v="2025-03-08T00:00:00"/>
        <d v="2025-10-01T00:00:00"/>
        <d v="2025-05-04T00:00:00"/>
        <d v="2025-09-17T00:00:00"/>
        <d v="2025-01-18T00:00:00"/>
        <d v="2025-05-29T00:00:00"/>
        <d v="2025-09-15T00:00:00"/>
        <d v="2025-10-18T00:00:00"/>
        <d v="2025-08-19T00:00:00"/>
        <d v="2025-08-03T00:00:00"/>
        <d v="2025-05-10T00:00:00"/>
        <d v="2025-06-26T00:00:00"/>
        <d v="2025-08-07T00:00:00"/>
        <d v="2025-06-22T00:00:00"/>
        <d v="2025-09-12T00:00:00"/>
        <d v="2025-06-08T00:00:00"/>
        <d v="2025-03-15T00:00:00"/>
        <d v="2025-03-20T00:00:00"/>
        <d v="2025-01-03T00:00:00"/>
        <d v="2025-04-20T00:00:00"/>
        <d v="2025-10-17T00:00:00"/>
        <d v="2025-12-17T00:00:00"/>
        <d v="2025-07-03T00:00:00"/>
        <d v="2025-12-01T00:00:00"/>
        <d v="2025-09-21T00:00:00"/>
        <d v="2025-02-01T00:00:00"/>
        <d v="2025-03-22T00:00:00"/>
        <d v="2025-01-04T00:00:00"/>
        <d v="2025-09-19T00:00:00"/>
        <d v="2025-05-06T00:00:00"/>
        <d v="2025-10-15T00:00:00"/>
        <d v="2025-10-27T00:00:00"/>
        <d v="2025-02-17T00:00:00"/>
        <d v="2025-03-05T00:00:00"/>
        <d v="2025-05-05T00:00:00"/>
        <d v="2025-05-30T00:00:00"/>
        <d v="2025-05-08T00:00:00"/>
        <d v="2025-05-09T00:00:00"/>
        <d v="2025-11-02T00:00:00"/>
        <d v="2025-12-27T00:00:00"/>
        <d v="2025-02-02T00:00:00"/>
        <d v="2025-04-17T00:00:00"/>
        <d v="2025-05-17T00:00:00"/>
        <d v="2025-05-18T00:00:00"/>
        <d v="2025-02-13T00:00:00"/>
        <d v="2025-11-01T00:00:00"/>
        <d v="2025-07-30T00:00:00"/>
        <d v="2025-09-13T00:00:00"/>
        <d v="2025-06-06T00:00:00"/>
        <d v="2025-06-30T00:00:00"/>
        <d v="2025-01-21T00:00:00"/>
        <d v="2025-02-16T00:00:00"/>
        <d v="2025-07-04T00:00:00"/>
        <d v="2025-01-10T00:00:00"/>
        <d v="2025-12-04T00:00:00"/>
        <d v="2025-11-07T00:00:00"/>
        <d v="2025-07-11T00:00:00"/>
        <d v="2025-02-14T00:00:00"/>
        <d v="2025-04-04T00:00:00"/>
        <d v="2025-12-19T00:00:00"/>
        <d v="2025-07-29T00:00:00"/>
        <d v="2025-06-23T00:00:00"/>
        <d v="2025-11-14T00:00:00"/>
        <d v="2025-11-09T00:00:00"/>
        <d v="2025-12-09T00:00:00"/>
        <d v="2025-01-20T00:00:00"/>
        <d v="2025-07-02T00:00:00"/>
        <d v="2025-04-13T00:00:00"/>
        <d v="2025-09-16T00:00:00"/>
        <d v="2025-02-19T00:00:00"/>
        <d v="2025-10-25T00:00:00"/>
        <d v="2025-12-13T00:00:00"/>
        <d v="2025-02-09T00:00:00"/>
        <d v="2025-01-15T00:00:00"/>
        <d v="2025-10-03T00:00:00"/>
        <d v="2025-05-15T00:00:00"/>
        <d v="2025-08-16T00:00:00"/>
        <d v="2025-08-02T00:00:00"/>
        <d v="2025-11-29T00:00:00"/>
        <d v="2025-04-22T00:00:00"/>
        <d v="2025-07-18T00:00:00"/>
        <d v="2025-02-06T00:00:00"/>
        <d v="2025-12-07T00:00:00"/>
        <d v="2025-01-30T00:00:00"/>
        <d v="2025-05-22T00:00:00"/>
        <d v="2025-08-08T00:00:00"/>
        <d v="2025-07-07T00:00:00"/>
        <d v="2025-04-14T00:00:00"/>
        <d v="2025-02-03T00:00:00"/>
        <d v="2025-05-12T00:00:00"/>
        <d v="2025-08-12T00:00:00"/>
        <d v="2025-02-25T00:00:00"/>
        <d v="2025-04-25T00:00:00"/>
        <d v="2025-10-16T00:00:00"/>
        <d v="2025-08-28T00:00:00"/>
        <d v="2025-05-31T00:00:00"/>
        <d v="2025-06-01T00:00:00"/>
        <d v="2025-11-04T00:00:00"/>
        <d v="2025-11-10T00:00:00"/>
        <d v="2025-01-29T00:00:00"/>
        <d v="2025-02-08T00:00:00"/>
        <d v="2025-04-11T00:00:00"/>
        <d v="2025-08-06T00:00:00"/>
        <d v="2025-04-29T00:00:00"/>
        <d v="2025-06-03T00:00:00"/>
        <d v="2025-11-15T00:00:00"/>
        <d v="2025-11-12T00:00:00"/>
        <d v="2025-10-10T00:00:00"/>
        <d v="2025-11-27T00:00:00"/>
        <d v="2025-03-14T00:00:00"/>
        <d v="2025-01-08T00:00:00"/>
        <d v="2025-04-24T00:00:00"/>
        <d v="2025-04-27T00:00:00"/>
        <d v="2025-09-06T00:00:00"/>
        <d v="2025-01-22T00:00:00"/>
        <d v="2025-12-06T00:00:00"/>
        <d v="2025-03-23T00:00:00"/>
        <d v="2025-12-31T00:00:00"/>
        <d v="2025-03-04T00:00:00"/>
        <d v="2025-10-09T00:00:00"/>
        <d v="2025-11-16T00:00:00"/>
        <d v="2025-05-28T00:00:00"/>
        <d v="2025-09-14T00:00:00"/>
        <d v="2025-11-22T00:00:00"/>
        <d v="2025-02-24T00:00:00"/>
        <d v="2025-05-23T00:00:00"/>
        <d v="2025-12-12T00:00:00"/>
        <d v="2025-04-01T00:00:00"/>
        <d v="2025-09-01T00:00:00"/>
        <d v="2025-09-28T00:00:00"/>
        <d v="2025-06-13T00:00:00"/>
        <d v="2025-09-26T00:00:00"/>
        <d v="2025-06-17T00:00:00"/>
        <d v="2025-07-27T00:00:00"/>
        <d v="2025-09-10T00:00:00"/>
        <d v="2025-08-05T00:00:00"/>
        <d v="2025-05-11T00:00:00"/>
        <d v="2025-01-16T00:00:00"/>
        <d v="2025-08-13T00:00:00"/>
        <d v="2025-11-06T00:00:00"/>
        <d v="2025-06-25T00:00:00"/>
        <d v="2025-12-05T00:00:00"/>
        <d v="2025-07-25T00:00:00"/>
        <d v="2025-07-14T00:00:00"/>
        <d v="2025-02-20T00:00:00"/>
        <d v="2025-08-23T00:00:00"/>
        <d v="2025-09-04T00:00:00"/>
        <d v="2025-04-03T00:00:00"/>
        <d v="2025-09-02T00:00:00"/>
        <d v="2025-05-26T00:00:00"/>
        <d v="2025-12-14T00:00:00"/>
        <d v="2025-11-28T00:00:00"/>
        <d v="2025-06-18T00:00:00"/>
        <d v="2025-07-26T00:00:00"/>
        <d v="2025-06-21T00:00:00"/>
        <d v="2025-10-31T00:00:00"/>
        <d v="2025-04-10T00:00:00"/>
        <d v="2025-01-01T00:00:00"/>
        <d v="2025-12-11T00:00:00"/>
        <d v="2025-09-18T00:00:00"/>
        <d v="2025-01-09T00:00:00"/>
        <d v="2025-02-18T00:00:00"/>
        <d v="2025-08-27T00:00:00"/>
        <d v="2025-10-20T00:00:00"/>
        <d v="2025-05-07T00:00:00"/>
        <d v="2025-11-11T00:00:00"/>
        <d v="2025-10-24T00:00:00"/>
        <d v="2025-01-13T00:00:00"/>
        <d v="2025-05-03T00:00:00"/>
        <d v="2025-04-08T00:00:00"/>
        <d v="2025-01-17T00:00:00"/>
        <d v="2025-07-13T00:00:00"/>
        <d v="2025-10-26T00:00:00"/>
        <d v="2025-12-30T00:00:00"/>
        <d v="2025-05-01T00:00:00"/>
        <d v="2025-05-20T00:00:00"/>
        <d v="2025-08-14T00:00:00"/>
        <d v="2025-09-20T00:00:00"/>
        <d v="2025-05-24T00:00:00"/>
        <d v="2025-07-24T00:00:00"/>
        <d v="2025-08-25T00:00:00"/>
        <d v="2025-05-02T00:00:00"/>
        <d v="2025-10-29T00:00:00"/>
        <d v="2025-09-24T00:00:00"/>
        <d v="2025-12-28T00:00:00"/>
        <d v="2025-10-07T00:00:00"/>
        <d v="2025-09-25T00:00:00"/>
        <d v="2025-02-07T00:00:00"/>
        <d v="2025-01-12T00:00:00"/>
        <d v="2025-09-30T00:00:00"/>
        <d v="2025-03-16T00:00:00"/>
        <d v="2025-01-07T00:00:00"/>
        <d v="2025-04-16T00:00:00"/>
        <d v="2025-03-01T00:00:00"/>
        <d v="2025-11-25T00:00:00"/>
        <d v="2025-09-09T00:00:00"/>
        <d v="2025-12-26T00:00:00"/>
        <d v="2025-03-07T00:00:00"/>
        <d v="2025-09-03T00:00:00"/>
        <d v="2025-01-23T00:00:00"/>
        <d v="2025-12-23T00:00:00"/>
        <d v="2025-08-22T00:00:00"/>
        <d v="2025-03-17T00:00:00"/>
        <d v="2025-08-15T00:00:00"/>
        <d v="2025-04-07T00:00:00"/>
        <d v="2025-04-30T00:00:00"/>
        <d v="2025-06-28T00:00:00"/>
        <d v="2025-11-26T00:00:00"/>
        <d v="2025-05-21T00:00:00"/>
        <d v="2025-02-21T00:00:00"/>
        <d v="2025-06-07T00:00:00"/>
        <d v="2025-01-24T00:00:00"/>
        <d v="2025-05-27T00:00:00"/>
        <d v="2025-06-04T00:00:00"/>
        <d v="2025-02-10T00:00:00"/>
        <d v="2025-08-18T00:00:00"/>
        <d v="2025-03-10T00:00:00"/>
        <d v="2025-07-06T00:00:00"/>
        <d v="2025-04-12T00:00:00"/>
        <d v="2025-11-24T00:00:00"/>
        <d v="2025-11-23T00:00:00"/>
        <d v="2025-04-21T00:00:00"/>
        <d v="2025-06-09T00:00:00"/>
        <d v="2025-02-11T00:00:00"/>
        <d v="2025-08-09T00:00:00"/>
        <d v="2025-10-05T00:00:00"/>
        <d v="2025-04-06T00:00:00"/>
        <d v="2025-03-31T00:00:00"/>
        <d v="2025-11-18T00:00:00"/>
        <d v="2025-08-31T00:00:00"/>
        <d v="2025-07-20T00:00:00"/>
        <d v="2025-01-19T00:00:00"/>
        <d v="2025-06-19T00:00:00"/>
        <d v="2025-10-12T00:00:00"/>
        <d v="2025-01-11T00:00:00"/>
        <d v="2025-11-20T00:00:00"/>
        <d v="2025-02-22T00:00:00"/>
        <d v="2025-01-02T00:00:00"/>
        <d v="2025-12-03T00:00:00"/>
        <d v="2025-10-02T00:00:00"/>
        <d v="2025-10-08T00:00:00"/>
        <d v="2025-09-29T00:00:00"/>
        <d v="2025-06-20T00:00:00"/>
        <d v="2025-03-03T00:00:00"/>
        <d v="2025-04-28T00:00:00"/>
        <d v="2025-07-19T00:00:00"/>
        <d v="2025-02-23T00:00:00"/>
        <d v="2025-06-15T00:00:00"/>
        <d v="2025-11-03T00:00:00"/>
        <d v="2025-08-01T00:00:00"/>
        <d v="2025-06-02T00:00:00"/>
        <d v="2025-01-27T00:00:00"/>
        <d v="2025-04-05T00:00:00"/>
        <d v="2025-05-14T00:00:00"/>
        <d v="2025-12-24T00:00:00"/>
        <d v="2025-10-14T00:00:00"/>
        <d v="2025-06-12T00:00:00"/>
        <d v="2025-04-23T00:00:00"/>
        <d v="2025-03-28T00:00:00"/>
        <d v="2025-09-08T00:00:00"/>
        <d v="2025-03-19T00:00:00"/>
        <d v="2025-10-30T00:00:00"/>
        <d v="2025-04-18T00:00:00"/>
        <d v="2025-04-09T00:00:00"/>
        <d v="2025-02-28T00:00:00"/>
        <d v="2025-07-28T00:00:00"/>
        <d v="2025-01-31T00:00:00"/>
        <d v="2025-10-13T00:00:00"/>
        <d v="2025-04-02T00:00:00"/>
        <d v="2025-10-22T00:00:00"/>
        <d v="2025-03-29T00:00:00"/>
        <d v="2025-07-21T00:00:00"/>
        <d v="2025-03-27T00:00:00"/>
        <d v="2025-03-21T00:00:00"/>
      </sharedItems>
      <fieldGroup par="54"/>
    </cacheField>
    <cacheField name="ship_date_clean" numFmtId="14">
      <sharedItems containsSemiMixedTypes="0" containsNonDate="0" containsDate="1" containsString="0" minDate="2025-01-01T00:00:00" maxDate="2026-01-01T00:00:00" count="337">
        <d v="2025-06-10T00:00:00"/>
        <d v="2025-04-19T00:00:00"/>
        <d v="2025-06-16T00:00:00"/>
        <d v="2025-01-26T00:00:00"/>
        <d v="2025-10-19T00:00:00"/>
        <d v="2025-03-30T00:00:00"/>
        <d v="2025-09-22T00:00:00"/>
        <d v="2025-01-25T00:00:00"/>
        <d v="2025-12-15T00:00:00"/>
        <d v="2025-03-12T00:00:00"/>
        <d v="2025-11-19T00:00:00"/>
        <d v="2025-10-23T00:00:00"/>
        <d v="2025-12-20T00:00:00"/>
        <d v="2025-06-24T00:00:00"/>
        <d v="2025-09-23T00:00:00"/>
        <d v="2025-05-16T00:00:00"/>
        <d v="2025-03-09T00:00:00"/>
        <d v="2025-06-11T00:00:00"/>
        <d v="2025-03-02T00:00:00"/>
        <d v="2025-12-25T00:00:00"/>
        <d v="2025-02-05T00:00:00"/>
        <d v="2025-08-04T00:00:00"/>
        <d v="2025-08-17T00:00:00"/>
        <d v="2025-07-16T00:00:00"/>
        <d v="2025-08-30T00:00:00"/>
        <d v="2025-02-12T00:00:00"/>
        <d v="2025-07-22T00:00:00"/>
        <d v="2025-04-15T00:00:00"/>
        <d v="2025-12-10T00:00:00"/>
        <d v="2025-10-06T00:00:00"/>
        <d v="2025-12-21T00:00:00"/>
        <d v="2025-01-14T00:00:00"/>
        <d v="2025-03-13T00:00:00"/>
        <d v="2025-01-05T00:00:00"/>
        <d v="2025-09-05T00:00:00"/>
        <d v="2025-03-26T00:00:00"/>
        <d v="2025-07-05T00:00:00"/>
        <d v="2025-11-21T00:00:00"/>
        <d v="2025-09-11T00:00:00"/>
        <d v="2025-05-25T00:00:00"/>
        <d v="2025-03-06T00:00:00"/>
        <d v="2025-08-20T00:00:00"/>
        <d v="2025-05-13T00:00:00"/>
        <d v="2025-11-08T00:00:00"/>
        <d v="2025-10-04T00:00:00"/>
        <d v="2025-08-11T00:00:00"/>
        <d v="2025-03-18T00:00:00"/>
        <d v="2025-10-11T00:00:00"/>
        <d v="2025-06-27T00:00:00"/>
        <d v="2025-03-24T00:00:00"/>
        <d v="2025-03-25T00:00:00"/>
        <d v="2025-07-12T00:00:00"/>
        <d v="2025-06-14T00:00:00"/>
        <d v="2025-07-31T00:00:00"/>
        <d v="2025-11-17T00:00:00"/>
        <d v="2025-11-13T00:00:00"/>
        <d v="2025-01-06T00:00:00"/>
        <d v="2025-06-05T00:00:00"/>
        <d v="2025-08-10T00:00:00"/>
        <d v="2025-07-23T00:00:00"/>
        <d v="2025-08-26T00:00:00"/>
        <d v="2025-02-26T00:00:00"/>
        <d v="2025-08-24T00:00:00"/>
        <d v="2025-03-08T00:00:00"/>
        <d v="2025-10-01T00:00:00"/>
        <d v="2025-05-04T00:00:00"/>
        <d v="2025-09-17T00:00:00"/>
        <d v="2025-01-18T00:00:00"/>
        <d v="2025-05-29T00:00:00"/>
        <d v="2025-09-15T00:00:00"/>
        <d v="2025-10-18T00:00:00"/>
        <d v="2025-08-19T00:00:00"/>
        <d v="2025-08-03T00:00:00"/>
        <d v="2025-05-10T00:00:00"/>
        <d v="2025-06-26T00:00:00"/>
        <d v="2025-08-07T00:00:00"/>
        <d v="2025-06-22T00:00:00"/>
        <d v="2025-09-12T00:00:00"/>
        <d v="2025-06-08T00:00:00"/>
        <d v="2025-03-15T00:00:00"/>
        <d v="2025-03-20T00:00:00"/>
        <d v="2025-01-03T00:00:00"/>
        <d v="2025-04-20T00:00:00"/>
        <d v="2025-10-17T00:00:00"/>
        <d v="2025-12-17T00:00:00"/>
        <d v="2025-07-03T00:00:00"/>
        <d v="2025-12-01T00:00:00"/>
        <d v="2025-09-21T00:00:00"/>
        <d v="2025-02-01T00:00:00"/>
        <d v="2025-03-22T00:00:00"/>
        <d v="2025-01-04T00:00:00"/>
        <d v="2025-09-19T00:00:00"/>
        <d v="2025-05-06T00:00:00"/>
        <d v="2025-10-15T00:00:00"/>
        <d v="2025-10-27T00:00:00"/>
        <d v="2025-02-17T00:00:00"/>
        <d v="2025-03-05T00:00:00"/>
        <d v="2025-05-05T00:00:00"/>
        <d v="2025-05-30T00:00:00"/>
        <d v="2025-05-08T00:00:00"/>
        <d v="2025-05-09T00:00:00"/>
        <d v="2025-11-02T00:00:00"/>
        <d v="2025-12-27T00:00:00"/>
        <d v="2025-02-02T00:00:00"/>
        <d v="2025-04-17T00:00:00"/>
        <d v="2025-08-06T00:00:00"/>
        <d v="2025-02-13T00:00:00"/>
        <d v="2025-11-01T00:00:00"/>
        <d v="2025-07-30T00:00:00"/>
        <d v="2025-09-13T00:00:00"/>
        <d v="2025-06-06T00:00:00"/>
        <d v="2025-06-30T00:00:00"/>
        <d v="2025-01-21T00:00:00"/>
        <d v="2025-02-16T00:00:00"/>
        <d v="2025-07-04T00:00:00"/>
        <d v="2025-01-10T00:00:00"/>
        <d v="2025-12-04T00:00:00"/>
        <d v="2025-11-07T00:00:00"/>
        <d v="2025-07-11T00:00:00"/>
        <d v="2025-02-14T00:00:00"/>
        <d v="2025-04-04T00:00:00"/>
        <d v="2025-12-19T00:00:00"/>
        <d v="2025-07-29T00:00:00"/>
        <d v="2025-06-23T00:00:00"/>
        <d v="2025-11-14T00:00:00"/>
        <d v="2025-11-09T00:00:00"/>
        <d v="2025-12-09T00:00:00"/>
        <d v="2025-01-20T00:00:00"/>
        <d v="2025-07-02T00:00:00"/>
        <d v="2025-05-17T00:00:00"/>
        <d v="2025-04-13T00:00:00"/>
        <d v="2025-09-16T00:00:00"/>
        <d v="2025-02-19T00:00:00"/>
        <d v="2025-10-25T00:00:00"/>
        <d v="2025-12-13T00:00:00"/>
        <d v="2025-02-09T00:00:00"/>
        <d v="2025-01-15T00:00:00"/>
        <d v="2025-10-03T00:00:00"/>
        <d v="2025-05-15T00:00:00"/>
        <d v="2025-08-16T00:00:00"/>
        <d v="2025-08-02T00:00:00"/>
        <d v="2025-11-29T00:00:00"/>
        <d v="2025-04-22T00:00:00"/>
        <d v="2025-07-18T00:00:00"/>
        <d v="2025-02-06T00:00:00"/>
        <d v="2025-12-07T00:00:00"/>
        <d v="2025-01-30T00:00:00"/>
        <d v="2025-05-22T00:00:00"/>
        <d v="2025-08-08T00:00:00"/>
        <d v="2025-07-07T00:00:00"/>
        <d v="2025-04-14T00:00:00"/>
        <d v="2025-02-03T00:00:00"/>
        <d v="2025-05-12T00:00:00"/>
        <d v="2025-08-12T00:00:00"/>
        <d v="2025-02-25T00:00:00"/>
        <d v="2025-04-25T00:00:00"/>
        <d v="2025-10-16T00:00:00"/>
        <d v="2025-08-28T00:00:00"/>
        <d v="2025-05-31T00:00:00"/>
        <d v="2025-06-01T00:00:00"/>
        <d v="2025-11-04T00:00:00"/>
        <d v="2025-11-10T00:00:00"/>
        <d v="2025-01-29T00:00:00"/>
        <d v="2025-02-08T00:00:00"/>
        <d v="2025-04-11T00:00:00"/>
        <d v="2025-04-29T00:00:00"/>
        <d v="2025-06-03T00:00:00"/>
        <d v="2025-11-15T00:00:00"/>
        <d v="2025-11-12T00:00:00"/>
        <d v="2025-10-10T00:00:00"/>
        <d v="2025-11-27T00:00:00"/>
        <d v="2025-03-14T00:00:00"/>
        <d v="2025-01-08T00:00:00"/>
        <d v="2025-04-24T00:00:00"/>
        <d v="2025-04-27T00:00:00"/>
        <d v="2025-09-06T00:00:00"/>
        <d v="2025-01-22T00:00:00"/>
        <d v="2025-12-06T00:00:00"/>
        <d v="2025-03-23T00:00:00"/>
        <d v="2025-12-31T00:00:00"/>
        <d v="2025-03-04T00:00:00"/>
        <d v="2025-10-09T00:00:00"/>
        <d v="2025-11-16T00:00:00"/>
        <d v="2025-05-28T00:00:00"/>
        <d v="2025-09-14T00:00:00"/>
        <d v="2025-11-22T00:00:00"/>
        <d v="2025-02-24T00:00:00"/>
        <d v="2025-05-23T00:00:00"/>
        <d v="2025-12-12T00:00:00"/>
        <d v="2025-04-01T00:00:00"/>
        <d v="2025-09-01T00:00:00"/>
        <d v="2025-09-28T00:00:00"/>
        <d v="2025-06-13T00:00:00"/>
        <d v="2025-09-26T00:00:00"/>
        <d v="2025-06-17T00:00:00"/>
        <d v="2025-07-27T00:00:00"/>
        <d v="2025-09-10T00:00:00"/>
        <d v="2025-08-05T00:00:00"/>
        <d v="2025-05-11T00:00:00"/>
        <d v="2025-01-16T00:00:00"/>
        <d v="2025-08-13T00:00:00"/>
        <d v="2025-11-06T00:00:00"/>
        <d v="2025-06-25T00:00:00"/>
        <d v="2025-12-05T00:00:00"/>
        <d v="2025-07-25T00:00:00"/>
        <d v="2025-07-14T00:00:00"/>
        <d v="2025-02-20T00:00:00"/>
        <d v="2025-08-23T00:00:00"/>
        <d v="2025-09-04T00:00:00"/>
        <d v="2025-04-03T00:00:00"/>
        <d v="2025-09-02T00:00:00"/>
        <d v="2025-05-26T00:00:00"/>
        <d v="2025-12-14T00:00:00"/>
        <d v="2025-11-28T00:00:00"/>
        <d v="2025-06-18T00:00:00"/>
        <d v="2025-07-26T00:00:00"/>
        <d v="2025-06-21T00:00:00"/>
        <d v="2025-10-31T00:00:00"/>
        <d v="2025-04-10T00:00:00"/>
        <d v="2025-01-01T00:00:00"/>
        <d v="2025-12-11T00:00:00"/>
        <d v="2025-09-18T00:00:00"/>
        <d v="2025-01-09T00:00:00"/>
        <d v="2025-02-18T00:00:00"/>
        <d v="2025-08-27T00:00:00"/>
        <d v="2025-10-20T00:00:00"/>
        <d v="2025-05-07T00:00:00"/>
        <d v="2025-11-11T00:00:00"/>
        <d v="2025-10-24T00:00:00"/>
        <d v="2025-01-13T00:00:00"/>
        <d v="2025-05-03T00:00:00"/>
        <d v="2025-04-08T00:00:00"/>
        <d v="2025-01-17T00:00:00"/>
        <d v="2025-07-13T00:00:00"/>
        <d v="2025-10-26T00:00:00"/>
        <d v="2025-12-30T00:00:00"/>
        <d v="2025-05-01T00:00:00"/>
        <d v="2025-05-20T00:00:00"/>
        <d v="2025-08-14T00:00:00"/>
        <d v="2025-09-20T00:00:00"/>
        <d v="2025-05-24T00:00:00"/>
        <d v="2025-07-24T00:00:00"/>
        <d v="2025-08-25T00:00:00"/>
        <d v="2025-05-02T00:00:00"/>
        <d v="2025-10-29T00:00:00"/>
        <d v="2025-09-24T00:00:00"/>
        <d v="2025-12-28T00:00:00"/>
        <d v="2025-10-07T00:00:00"/>
        <d v="2025-09-25T00:00:00"/>
        <d v="2025-02-07T00:00:00"/>
        <d v="2025-01-12T00:00:00"/>
        <d v="2025-09-30T00:00:00"/>
        <d v="2025-03-16T00:00:00"/>
        <d v="2025-01-07T00:00:00"/>
        <d v="2025-04-16T00:00:00"/>
        <d v="2025-03-01T00:00:00"/>
        <d v="2025-11-25T00:00:00"/>
        <d v="2025-09-09T00:00:00"/>
        <d v="2025-12-26T00:00:00"/>
        <d v="2025-03-07T00:00:00"/>
        <d v="2025-09-03T00:00:00"/>
        <d v="2025-01-23T00:00:00"/>
        <d v="2025-12-23T00:00:00"/>
        <d v="2025-08-22T00:00:00"/>
        <d v="2025-03-17T00:00:00"/>
        <d v="2025-08-15T00:00:00"/>
        <d v="2025-04-07T00:00:00"/>
        <d v="2025-04-30T00:00:00"/>
        <d v="2025-06-28T00:00:00"/>
        <d v="2025-11-26T00:00:00"/>
        <d v="2025-05-21T00:00:00"/>
        <d v="2025-02-21T00:00:00"/>
        <d v="2025-06-07T00:00:00"/>
        <d v="2025-01-24T00:00:00"/>
        <d v="2025-05-27T00:00:00"/>
        <d v="2025-06-04T00:00:00"/>
        <d v="2025-02-10T00:00:00"/>
        <d v="2025-08-18T00:00:00"/>
        <d v="2025-03-10T00:00:00"/>
        <d v="2025-07-06T00:00:00"/>
        <d v="2025-04-12T00:00:00"/>
        <d v="2025-11-24T00:00:00"/>
        <d v="2025-05-18T00:00:00"/>
        <d v="2025-11-23T00:00:00"/>
        <d v="2025-04-21T00:00:00"/>
        <d v="2025-06-09T00:00:00"/>
        <d v="2025-02-11T00:00:00"/>
        <d v="2025-08-09T00:00:00"/>
        <d v="2025-10-05T00:00:00"/>
        <d v="2025-04-06T00:00:00"/>
        <d v="2025-03-31T00:00:00"/>
        <d v="2025-11-18T00:00:00"/>
        <d v="2025-08-31T00:00:00"/>
        <d v="2025-07-20T00:00:00"/>
        <d v="2025-01-19T00:00:00"/>
        <d v="2025-06-19T00:00:00"/>
        <d v="2025-10-12T00:00:00"/>
        <d v="2025-01-11T00:00:00"/>
        <d v="2025-11-20T00:00:00"/>
        <d v="2025-02-22T00:00:00"/>
        <d v="2025-01-02T00:00:00"/>
        <d v="2025-12-03T00:00:00"/>
        <d v="2025-10-02T00:00:00"/>
        <d v="2025-10-08T00:00:00"/>
        <d v="2025-09-29T00:00:00"/>
        <d v="2025-06-20T00:00:00"/>
        <d v="2025-03-03T00:00:00"/>
        <d v="2025-04-28T00:00:00"/>
        <d v="2025-07-19T00:00:00"/>
        <d v="2025-02-23T00:00:00"/>
        <d v="2025-06-15T00:00:00"/>
        <d v="2025-11-03T00:00:00"/>
        <d v="2025-08-01T00:00:00"/>
        <d v="2025-06-02T00:00:00"/>
        <d v="2025-01-27T00:00:00"/>
        <d v="2025-04-05T00:00:00"/>
        <d v="2025-05-14T00:00:00"/>
        <d v="2025-12-24T00:00:00"/>
        <d v="2025-10-14T00:00:00"/>
        <d v="2025-06-12T00:00:00"/>
        <d v="2025-04-23T00:00:00"/>
        <d v="2025-03-28T00:00:00"/>
        <d v="2025-09-08T00:00:00"/>
        <d v="2025-03-19T00:00:00"/>
        <d v="2025-10-30T00:00:00"/>
        <d v="2025-04-18T00:00:00"/>
        <d v="2025-04-09T00:00:00"/>
        <d v="2025-02-28T00:00:00"/>
        <d v="2025-07-28T00:00:00"/>
        <d v="2025-01-31T00:00:00"/>
        <d v="2025-10-13T00:00:00"/>
        <d v="2025-04-02T00:00:00"/>
        <d v="2025-10-22T00:00:00"/>
        <d v="2025-03-29T00:00:00"/>
        <d v="2025-07-21T00:00:00"/>
        <d v="2025-03-27T00:00:00"/>
        <d v="2025-03-21T00:00:00"/>
      </sharedItems>
      <fieldGroup par="56"/>
    </cacheField>
    <cacheField name="pickup_datetime" numFmtId="22">
      <sharedItems containsSemiMixedTypes="0" containsNonDate="0" containsDate="1" containsString="0" minDate="2025-01-01T09:00:00" maxDate="2025-12-31T16:50:00" count="990">
        <d v="2025-06-10T18:15:00"/>
        <d v="2025-04-19T11:30:00"/>
        <d v="2025-06-16T02:10:00"/>
        <d v="2025-01-26T15:55:00"/>
        <d v="2025-10-19T07:50:00"/>
        <d v="2025-03-30T14:05:00"/>
        <d v="2025-09-22T09:50:00"/>
        <d v="2025-01-25T12:15:00"/>
        <d v="2025-12-15T17:55:00"/>
        <d v="2025-03-12T21:10:00"/>
        <d v="2025-11-19T08:50:00"/>
        <d v="2025-10-23T09:55:00"/>
        <d v="2025-12-20T13:00:00"/>
        <d v="2025-06-24T19:05:00"/>
        <d v="2025-09-23T20:05:00"/>
        <d v="2025-05-16T08:45:00"/>
        <d v="2025-03-09T08:30:00"/>
        <d v="2025-06-11T12:40:00"/>
        <d v="2025-03-02T07:55:00"/>
        <d v="2025-12-25T11:00:00"/>
        <d v="2025-02-05T08:10:00"/>
        <d v="2025-08-04T14:00:00"/>
        <d v="2025-08-17T21:55:00"/>
        <d v="2025-07-16T21:50:00"/>
        <d v="2025-08-30T10:50:00"/>
        <d v="2025-02-12T10:15:00"/>
        <d v="2025-07-22T17:50:00"/>
        <d v="2025-04-15T06:10:00"/>
        <d v="2025-12-10T14:10:00"/>
        <d v="2025-10-06T11:05:00"/>
        <d v="2025-12-21T06:55:00"/>
        <d v="2025-01-14T11:45:00"/>
        <d v="2025-04-15T02:45:00"/>
        <d v="2025-03-13T16:40:00"/>
        <d v="2025-01-05T09:40:00"/>
        <d v="2025-03-30T07:50:00"/>
        <d v="2025-09-05T08:05:00"/>
        <d v="2025-03-26T21:10:00"/>
        <d v="2025-07-05T11:45:00"/>
        <d v="2025-11-21T10:10:00"/>
        <d v="2025-09-11T10:45:00"/>
        <d v="2025-05-25T12:30:00"/>
        <d v="2025-05-16T07:00:00"/>
        <d v="2025-06-16T15:00:00"/>
        <d v="2025-03-06T06:55:00"/>
        <d v="2025-08-20T07:45:00"/>
        <d v="2025-05-13T17:40:00"/>
        <d v="2025-11-08T07:15:00"/>
        <d v="2025-10-04T06:50:00"/>
        <d v="2025-08-11T12:00:00"/>
        <d v="2025-05-13T13:10:00"/>
        <d v="2025-03-18T16:20:00"/>
        <d v="2025-10-11T14:15:00"/>
        <d v="2025-06-27T14:20:00"/>
        <d v="2025-03-24T17:55:00"/>
        <d v="2025-03-13T06:45:00"/>
        <d v="2025-03-02T07:45:00"/>
        <d v="2025-10-11T10:15:00"/>
        <d v="2025-03-25T08:20:00"/>
        <d v="2025-07-12T22:20:00"/>
        <d v="2025-06-14T14:15:00"/>
        <d v="2025-07-31T09:10:00"/>
        <d v="2025-11-17T03:15:00"/>
        <d v="2025-11-13T00:40:00"/>
        <d v="2025-06-14T06:05:00"/>
        <d v="2025-01-06T08:40:00"/>
        <d v="2025-06-05T10:10:00"/>
        <d v="2025-08-10T14:30:00"/>
        <d v="2025-07-23T15:30:00"/>
        <d v="2025-08-26T08:05:00"/>
        <d v="2025-02-26T11:30:00"/>
        <d v="2025-08-24T11:20:00"/>
        <d v="2025-03-08T15:40:00"/>
        <d v="2025-10-01T16:20:00"/>
        <d v="2025-05-04T19:30:00"/>
        <d v="2025-09-17T12:20:00"/>
        <d v="2025-01-18T17:40:00"/>
        <d v="2025-05-29T09:20:00"/>
        <d v="2025-09-15T10:00:00"/>
        <d v="2025-03-24T08:00:00"/>
        <d v="2025-10-18T12:10:00"/>
        <d v="2025-08-19T15:05:00"/>
        <d v="2025-08-03T07:00:00"/>
        <d v="2025-05-10T05:20:00"/>
        <d v="2025-06-26T05:20:00"/>
        <d v="2025-08-07T00:10:00"/>
        <d v="2025-06-22T05:00:00"/>
        <d v="2025-09-12T06:40:00"/>
        <d v="2025-06-08T09:10:00"/>
        <d v="2025-03-15T07:50:00"/>
        <d v="2025-03-20T18:45:00"/>
        <d v="2025-01-03T06:20:00"/>
        <d v="2025-04-20T07:45:00"/>
        <d v="2025-10-01T11:40:00"/>
        <d v="2025-10-17T16:45:00"/>
        <d v="2025-03-15T14:30:00"/>
        <d v="2025-12-17T08:30:00"/>
        <d v="2025-07-03T12:30:00"/>
        <d v="2025-12-01T14:45:00"/>
        <d v="2025-09-15T14:05:00"/>
        <d v="2025-09-21T16:15:00"/>
        <d v="2025-02-01T18:20:00"/>
        <d v="2025-03-22T20:15:00"/>
        <d v="2025-01-04T12:20:00"/>
        <d v="2025-09-19T11:15:00"/>
        <d v="2025-05-06T14:30:00"/>
        <d v="2025-10-15T16:55:00"/>
        <d v="2025-05-04T05:40:00"/>
        <d v="2025-10-27T18:15:00"/>
        <d v="2025-02-17T09:50:00"/>
        <d v="2025-03-05T12:55:00"/>
        <d v="2025-05-05T23:05:00"/>
        <d v="2025-05-30T09:30:00"/>
        <d v="2025-05-08T13:55:00"/>
        <d v="2025-10-06T08:10:00"/>
        <d v="2025-02-05T11:15:00"/>
        <d v="2025-05-09T08:10:00"/>
        <d v="2025-11-02T11:05:00"/>
        <d v="2025-01-25T12:10:00"/>
        <d v="2025-12-10T22:55:00"/>
        <d v="2025-12-27T18:10:00"/>
        <d v="2025-02-02T06:15:00"/>
        <d v="2025-04-17T16:10:00"/>
        <d v="2025-05-16T00:20:00"/>
        <d v="2025-10-11T00:40:00"/>
        <d v="2025-08-06T06:05:00"/>
        <d v="2025-08-24T21:00:00"/>
        <d v="2025-10-04T20:40:00"/>
        <d v="2025-02-13T09:00:00"/>
        <d v="2025-11-01T08:30:00"/>
        <d v="2025-09-15T08:30:00"/>
        <d v="2025-07-30T12:40:00"/>
        <d v="2025-11-21T12:00:00"/>
        <d v="2025-09-13T08:05:00"/>
        <d v="2025-03-15T15:45:00"/>
        <d v="2025-06-06T06:20:00"/>
        <d v="2025-06-30T19:10:00"/>
        <d v="2025-01-21T16:45:00"/>
        <d v="2025-12-15T13:15:00"/>
        <d v="2025-02-16T17:20:00"/>
        <d v="2025-09-12T14:20:00"/>
        <d v="2025-07-04T08:40:00"/>
        <d v="2025-01-10T08:50:00"/>
        <d v="2025-12-04T18:00:00"/>
        <d v="2025-11-07T06:55:00"/>
        <d v="2025-07-11T03:20:00"/>
        <d v="2025-03-25T10:15:00"/>
        <d v="2025-02-14T17:00:00"/>
        <d v="2025-05-13T16:05:00"/>
        <d v="2025-04-04T19:15:00"/>
        <d v="2025-07-04T13:05:00"/>
        <d v="2025-12-19T07:50:00"/>
        <d v="2025-07-29T12:50:00"/>
        <d v="2025-11-21T15:00:00"/>
        <d v="2025-08-26T07:55:00"/>
        <d v="2025-06-23T06:05:00"/>
        <d v="2025-11-08T05:10:00"/>
        <d v="2025-06-22T10:00:00"/>
        <d v="2025-11-14T19:05:00"/>
        <d v="2025-04-17T16:30:00"/>
        <d v="2025-02-17T21:05:00"/>
        <d v="2025-11-09T03:05:00"/>
        <d v="2025-08-03T18:10:00"/>
        <d v="2025-11-21T16:15:00"/>
        <d v="2025-12-09T07:20:00"/>
        <d v="2025-01-20T22:40:00"/>
        <d v="2025-07-02T07:55:00"/>
        <d v="2025-05-17T18:40:00"/>
        <d v="2025-08-17T22:50:00"/>
        <d v="2025-10-17T17:55:00"/>
        <d v="2025-04-13T10:55:00"/>
        <d v="2025-07-23T09:45:00"/>
        <d v="2025-09-16T11:15:00"/>
        <d v="2025-02-19T10:50:00"/>
        <d v="2025-10-25T15:55:00"/>
        <d v="2025-08-10T14:55:00"/>
        <d v="2025-12-13T20:10:00"/>
        <d v="2025-05-04T02:30:00"/>
        <d v="2025-02-09T15:30:00"/>
        <d v="2025-07-04T22:20:00"/>
        <d v="2025-02-01T15:40:00"/>
        <d v="2025-12-20T09:15:00"/>
        <d v="2025-01-15T07:10:00"/>
        <d v="2025-10-03T03:15:00"/>
        <d v="2025-07-11T17:00:00"/>
        <d v="2025-05-15T14:40:00"/>
        <d v="2025-01-25T21:05:00"/>
        <d v="2025-08-16T12:30:00"/>
        <d v="2025-08-02T09:20:00"/>
        <d v="2025-04-13T15:55:00"/>
        <d v="2025-11-29T17:30:00"/>
        <d v="2025-04-22T21:50:00"/>
        <d v="2025-06-14T16:50:00"/>
        <d v="2025-07-18T10:30:00"/>
        <d v="2025-02-06T17:50:00"/>
        <d v="2025-12-07T16:20:00"/>
        <d v="2025-05-17T11:45:00"/>
        <d v="2025-01-30T08:15:00"/>
        <d v="2025-05-22T07:30:00"/>
        <d v="2025-08-08T04:00:00"/>
        <d v="2025-07-07T16:40:00"/>
        <d v="2025-09-11T07:45:00"/>
        <d v="2025-01-21T06:55:00"/>
        <d v="2025-04-14T08:15:00"/>
        <d v="2025-10-27T11:50:00"/>
        <d v="2025-01-30T12:20:00"/>
        <d v="2025-11-09T17:20:00"/>
        <d v="2025-02-03T01:15:00"/>
        <d v="2025-11-01T07:05:00"/>
        <d v="2025-05-12T12:40:00"/>
        <d v="2025-08-12T07:10:00"/>
        <d v="2025-02-25T07:40:00"/>
        <d v="2025-01-25T00:00:00"/>
        <d v="2025-03-20T18:30:00"/>
        <d v="2025-02-16T14:20:00"/>
        <d v="2025-04-25T06:30:00"/>
        <d v="2025-07-07T05:00:00"/>
        <d v="2025-08-03T22:50:00"/>
        <d v="2025-10-16T17:10:00"/>
        <d v="2025-08-28T10:05:00"/>
        <d v="2025-08-11T16:15:00"/>
        <d v="2025-05-31T16:30:00"/>
        <d v="2025-06-22T16:45:00"/>
        <d v="2025-06-01T11:50:00"/>
        <d v="2025-11-04T12:30:00"/>
        <d v="2025-03-25T03:05:00"/>
        <d v="2025-01-03T18:50:00"/>
        <d v="2025-08-26T12:15:00"/>
        <d v="2025-03-15T09:10:00"/>
        <d v="2025-11-21T19:30:00"/>
        <d v="2025-11-10T23:10:00"/>
        <d v="2025-01-29T18:15:00"/>
        <d v="2025-02-08T18:05:00"/>
        <d v="2025-06-30T20:45:00"/>
        <d v="2025-08-11T07:15:00"/>
        <d v="2025-04-11T17:55:00"/>
        <d v="2025-09-19T17:50:00"/>
        <d v="2025-08-06T08:05:00"/>
        <d v="2025-04-29T08:15:00"/>
        <d v="2025-01-10T21:55:00"/>
        <d v="2025-10-01T09:55:00"/>
        <d v="2025-03-20T23:55:00"/>
        <d v="2025-11-01T05:10:00"/>
        <d v="2025-06-03T02:50:00"/>
        <d v="2025-07-30T11:45:00"/>
        <d v="2025-11-15T06:20:00"/>
        <d v="2025-11-12T16:15:00"/>
        <d v="2025-05-16T11:20:00"/>
        <d v="2025-03-18T00:50:00"/>
        <d v="2025-10-10T07:10:00"/>
        <d v="2025-06-08T12:30:00"/>
        <d v="2025-03-12T08:15:00"/>
        <d v="2025-11-27T17:20:00"/>
        <d v="2025-03-14T11:55:00"/>
        <d v="2025-01-10T07:40:00"/>
        <d v="2025-01-08T11:15:00"/>
        <d v="2025-08-16T07:30:00"/>
        <d v="2025-08-30T08:05:00"/>
        <d v="2025-04-24T09:55:00"/>
        <d v="2025-04-27T15:40:00"/>
        <d v="2025-05-04T18:40:00"/>
        <d v="2025-09-06T15:20:00"/>
        <d v="2025-01-22T06:30:00"/>
        <d v="2025-12-06T08:00:00"/>
        <d v="2025-03-23T10:40:00"/>
        <d v="2025-12-31T14:10:00"/>
        <d v="2025-03-04T22:15:00"/>
        <d v="2025-10-09T07:00:00"/>
        <d v="2025-03-23T03:40:00"/>
        <d v="2025-01-30T16:15:00"/>
        <d v="2025-11-16T14:45:00"/>
        <d v="2025-11-10T17:20:00"/>
        <d v="2025-05-28T17:00:00"/>
        <d v="2025-09-14T18:05:00"/>
        <d v="2025-07-23T11:55:00"/>
        <d v="2025-11-08T23:20:00"/>
        <d v="2025-04-25T19:45:00"/>
        <d v="2025-07-11T16:10:00"/>
        <d v="2025-06-27T07:30:00"/>
        <d v="2025-05-10T07:10:00"/>
        <d v="2025-11-22T13:40:00"/>
        <d v="2025-03-02T12:15:00"/>
        <d v="2025-02-24T22:50:00"/>
        <d v="2025-07-30T07:55:00"/>
        <d v="2025-08-28T08:15:00"/>
        <d v="2025-03-13T17:50:00"/>
        <d v="2025-05-23T07:20:00"/>
        <d v="2025-12-12T07:30:00"/>
        <d v="2025-04-01T12:45:00"/>
        <d v="2025-09-01T14:20:00"/>
        <d v="2025-09-28T06:45:00"/>
        <d v="2025-06-13T18:00:00"/>
        <d v="2025-12-09T13:55:00"/>
        <d v="2025-09-26T21:05:00"/>
        <d v="2025-06-17T13:05:00"/>
        <d v="2025-07-27T07:55:00"/>
        <d v="2025-09-10T08:45:00"/>
        <d v="2025-08-05T03:40:00"/>
        <d v="2025-11-17T13:55:00"/>
        <d v="2025-05-11T08:55:00"/>
        <d v="2025-04-20T13:10:00"/>
        <d v="2025-03-20T11:30:00"/>
        <d v="2025-01-14T07:00:00"/>
        <d v="2025-01-16T08:15:00"/>
        <d v="2025-11-14T14:10:00"/>
        <d v="2025-09-05T22:45:00"/>
        <d v="2025-08-30T07:50:00"/>
        <d v="2025-08-13T06:45:00"/>
        <d v="2025-11-06T22:10:00"/>
        <d v="2025-06-25T04:15:00"/>
        <d v="2025-05-12T03:30:00"/>
        <d v="2025-12-05T22:00:00"/>
        <d v="2025-09-13T09:55:00"/>
        <d v="2025-04-04T18:30:00"/>
        <d v="2025-07-25T08:10:00"/>
        <d v="2025-07-14T16:00:00"/>
        <d v="2025-02-20T06:55:00"/>
        <d v="2025-08-04T08:45:00"/>
        <d v="2025-04-25T14:55:00"/>
        <d v="2025-01-20T10:15:00"/>
        <d v="2025-12-13T18:15:00"/>
        <d v="2025-08-23T11:45:00"/>
        <d v="2025-11-17T20:40:00"/>
        <d v="2025-09-04T12:40:00"/>
        <d v="2025-05-11T19:10:00"/>
        <d v="2025-07-07T19:50:00"/>
        <d v="2025-09-04T08:00:00"/>
        <d v="2025-12-17T23:40:00"/>
        <d v="2025-04-03T17:05:00"/>
        <d v="2025-11-16T08:05:00"/>
        <d v="2025-12-04T17:40:00"/>
        <d v="2025-09-02T03:40:00"/>
        <d v="2025-12-06T14:55:00"/>
        <d v="2025-05-26T09:05:00"/>
        <d v="2025-12-14T01:20:00"/>
        <d v="2025-09-14T12:00:00"/>
        <d v="2025-01-16T11:15:00"/>
        <d v="2025-11-28T15:40:00"/>
        <d v="2025-06-26T22:10:00"/>
        <d v="2025-06-18T13:45:00"/>
        <d v="2025-07-26T04:00:00"/>
        <d v="2025-02-24T15:40:00"/>
        <d v="2025-06-21T13:15:00"/>
        <d v="2025-10-31T11:05:00"/>
        <d v="2025-01-06T09:55:00"/>
        <d v="2025-04-10T10:40:00"/>
        <d v="2025-01-01T09:00:00"/>
        <d v="2025-06-01T17:10:00"/>
        <d v="2025-09-23T13:20:00"/>
        <d v="2025-10-19T18:30:00"/>
        <d v="2025-12-11T11:30:00"/>
        <d v="2025-08-11T07:55:00"/>
        <d v="2025-04-03T15:45:00"/>
        <d v="2025-12-04T11:15:00"/>
        <d v="2025-10-10T08:15:00"/>
        <d v="2025-07-29T14:30:00"/>
        <d v="2025-09-11T13:45:00"/>
        <d v="2025-12-04T16:10:00"/>
        <d v="2025-09-18T11:00:00"/>
        <d v="2025-05-15T14:55:00"/>
        <d v="2025-09-18T07:05:00"/>
        <d v="2025-01-15T13:55:00"/>
        <d v="2025-05-22T22:05:00"/>
        <d v="2025-05-29T15:40:00"/>
        <d v="2025-03-02T08:10:00"/>
        <d v="2025-01-09T06:45:00"/>
        <d v="2025-02-18T06:45:00"/>
        <d v="2025-08-27T15:20:00"/>
        <d v="2025-10-20T16:10:00"/>
        <d v="2025-12-27T16:20:00"/>
        <d v="2025-05-07T13:30:00"/>
        <d v="2025-08-07T15:30:00"/>
        <d v="2025-12-09T10:00:00"/>
        <d v="2025-03-02T09:55:00"/>
        <d v="2025-09-19T10:20:00"/>
        <d v="2025-10-03T22:30:00"/>
        <d v="2025-02-02T15:00:00"/>
        <d v="2025-11-11T12:30:00"/>
        <d v="2025-10-24T15:50:00"/>
        <d v="2025-01-13T23:30:00"/>
        <d v="2025-02-03T10:50:00"/>
        <d v="2025-01-18T09:15:00"/>
        <d v="2025-05-03T19:00:00"/>
        <d v="2025-07-05T20:10:00"/>
        <d v="2025-07-14T06:00:00"/>
        <d v="2025-04-08T12:00:00"/>
        <d v="2025-11-29T13:30:00"/>
        <d v="2025-05-15T08:00:00"/>
        <d v="2025-01-17T19:40:00"/>
        <d v="2025-04-20T12:15:00"/>
        <d v="2025-07-13T23:40:00"/>
        <d v="2025-05-30T07:15:00"/>
        <d v="2025-04-10T11:50:00"/>
        <d v="2025-02-17T00:50:00"/>
        <d v="2025-10-26T17:55:00"/>
        <d v="2025-12-30T11:05:00"/>
        <d v="2025-05-01T15:15:00"/>
        <d v="2025-05-20T00:10:00"/>
        <d v="2025-08-14T07:05:00"/>
        <d v="2025-09-20T00:20:00"/>
        <d v="2025-05-24T09:55:00"/>
        <d v="2025-11-27T15:05:00"/>
        <d v="2025-07-24T11:50:00"/>
        <d v="2025-06-14T13:45:00"/>
        <d v="2025-08-25T12:00:00"/>
        <d v="2025-12-14T09:45:00"/>
        <d v="2025-10-18T08:55:00"/>
        <d v="2025-01-15T09:05:00"/>
        <d v="2025-05-02T16:15:00"/>
        <d v="2025-06-21T11:20:00"/>
        <d v="2025-04-25T07:55:00"/>
        <d v="2025-09-13T07:50:00"/>
        <d v="2025-10-29T20:55:00"/>
        <d v="2025-09-24T15:45:00"/>
        <d v="2025-12-28T17:00:00"/>
        <d v="2025-04-10T10:15:00"/>
        <d v="2025-11-16T07:00:00"/>
        <d v="2025-10-07T18:10:00"/>
        <d v="2025-05-13T15:00:00"/>
        <d v="2025-09-25T07:45:00"/>
        <d v="2025-02-07T14:40:00"/>
        <d v="2025-10-16T15:00:00"/>
        <d v="2025-07-14T07:40:00"/>
        <d v="2025-04-17T13:45:00"/>
        <d v="2025-08-28T09:40:00"/>
        <d v="2025-08-23T09:05:00"/>
        <d v="2025-03-18T15:30:00"/>
        <d v="2025-01-12T09:40:00"/>
        <d v="2025-06-08T15:05:00"/>
        <d v="2025-07-27T21:50:00"/>
        <d v="2025-11-16T05:10:00"/>
        <d v="2025-12-05T12:45:00"/>
        <d v="2025-07-13T15:50:00"/>
        <d v="2025-10-03T17:30:00"/>
        <d v="2025-06-10T16:10:00"/>
        <d v="2025-09-30T12:55:00"/>
        <d v="2025-03-16T13:05:00"/>
        <d v="2025-05-16T13:50:00"/>
        <d v="2025-08-20T19:10:00"/>
        <d v="2025-01-07T08:55:00"/>
        <d v="2025-09-21T19:15:00"/>
        <d v="2025-11-01T09:30:00"/>
        <d v="2025-05-26T20:20:00"/>
        <d v="2025-06-13T14:50:00"/>
        <d v="2025-11-07T11:15:00"/>
        <d v="2025-04-16T07:45:00"/>
        <d v="2025-04-29T09:45:00"/>
        <d v="2025-09-05T08:10:00"/>
        <d v="2025-07-25T06:30:00"/>
        <d v="2025-03-01T11:05:00"/>
        <d v="2025-04-24T16:45:00"/>
        <d v="2025-11-25T12:40:00"/>
        <d v="2025-09-09T07:55:00"/>
        <d v="2025-12-26T14:45:00"/>
        <d v="2025-10-07T10:40:00"/>
        <d v="2025-12-10T19:20:00"/>
        <d v="2025-03-20T15:50:00"/>
        <d v="2025-10-09T06:45:00"/>
        <d v="2025-01-08T11:30:00"/>
        <d v="2025-09-02T14:30:00"/>
        <d v="2025-06-21T05:15:00"/>
        <d v="2025-05-07T03:05:00"/>
        <d v="2025-11-11T06:15:00"/>
        <d v="2025-11-08T06:20:00"/>
        <d v="2025-01-09T13:20:00"/>
        <d v="2025-08-11T13:00:00"/>
        <d v="2025-05-15T07:55:00"/>
        <d v="2025-10-31T11:50:00"/>
        <d v="2025-04-24T08:50:00"/>
        <d v="2025-12-11T04:05:00"/>
        <d v="2025-03-07T00:55:00"/>
        <d v="2025-09-03T07:55:00"/>
        <d v="2025-04-03T13:55:00"/>
        <d v="2025-04-29T16:30:00"/>
        <d v="2025-11-01T12:50:00"/>
        <d v="2025-10-06T08:05:00"/>
        <d v="2025-05-01T13:30:00"/>
        <d v="2025-07-14T13:40:00"/>
        <d v="2025-01-23T20:45:00"/>
        <d v="2025-03-18T15:00:00"/>
        <d v="2025-06-27T10:55:00"/>
        <d v="2025-02-01T10:45:00"/>
        <d v="2025-11-04T13:50:00"/>
        <d v="2025-09-20T19:30:00"/>
        <d v="2025-09-11T20:50:00"/>
        <d v="2025-12-10T15:45:00"/>
        <d v="2025-07-22T14:50:00"/>
        <d v="2025-08-08T03:55:00"/>
        <d v="2025-12-23T13:10:00"/>
        <d v="2025-08-23T10:10:00"/>
        <d v="2025-01-12T07:00:00"/>
        <d v="2025-09-22T09:15:00"/>
        <d v="2025-11-27T19:05:00"/>
        <d v="2025-10-18T10:20:00"/>
        <d v="2025-08-02T13:00:00"/>
        <d v="2025-09-03T00:15:00"/>
        <d v="2025-12-28T14:40:00"/>
        <d v="2025-02-03T15:45:00"/>
        <d v="2025-09-01T12:05:00"/>
        <d v="2025-04-14T12:55:00"/>
        <d v="2025-08-22T10:05:00"/>
        <d v="2025-08-10T11:15:00"/>
        <d v="2025-02-26T09:45:00"/>
        <d v="2025-03-17T22:30:00"/>
        <d v="2025-08-15T11:45:00"/>
        <d v="2025-02-16T09:40:00"/>
        <d v="2025-04-07T10:55:00"/>
        <d v="2025-11-01T17:05:00"/>
        <d v="2025-04-30T08:50:00"/>
        <d v="2025-06-28T07:00:00"/>
        <d v="2025-12-10T17:55:00"/>
        <d v="2025-03-24T08:50:00"/>
        <d v="2025-05-23T14:40:00"/>
        <d v="2025-08-10T07:30:00"/>
        <d v="2025-10-03T14:20:00"/>
        <d v="2025-11-26T00:05:00"/>
        <d v="2025-12-01T01:55:00"/>
        <d v="2025-10-11T19:30:00"/>
        <d v="2025-03-25T12:00:00"/>
        <d v="2025-01-10T12:15:00"/>
        <d v="2025-05-21T09:55:00"/>
        <d v="2025-02-21T12:20:00"/>
        <d v="2025-09-17T11:05:00"/>
        <d v="2025-08-30T23:00:00"/>
        <d v="2025-01-17T21:10:00"/>
        <d v="2025-11-02T14:55:00"/>
        <d v="2025-04-01T10:05:00"/>
        <d v="2025-06-07T13:40:00"/>
        <d v="2025-09-01T14:55:00"/>
        <d v="2025-06-06T09:15:00"/>
        <d v="2025-06-11T09:40:00"/>
        <d v="2025-01-24T00:55:00"/>
        <d v="2025-05-27T03:50:00"/>
        <d v="2025-10-07T07:00:00"/>
        <d v="2025-12-01T12:30:00"/>
        <d v="2025-05-31T17:10:00"/>
        <d v="2025-06-04T10:20:00"/>
        <d v="2025-09-14T07:15:00"/>
        <d v="2025-12-11T06:00:00"/>
        <d v="2025-04-08T10:20:00"/>
        <d v="2025-06-10T07:20:00"/>
        <d v="2025-10-18T11:50:00"/>
        <d v="2025-08-11T22:20:00"/>
        <d v="2025-02-10T07:50:00"/>
        <d v="2025-08-18T08:20:00"/>
        <d v="2025-03-10T12:20:00"/>
        <d v="2025-07-06T19:15:00"/>
        <d v="2025-07-13T16:05:00"/>
        <d v="2025-11-16T22:55:00"/>
        <d v="2025-06-18T06:05:00"/>
        <d v="2025-04-12T19:50:00"/>
        <d v="2025-03-26T07:30:00"/>
        <d v="2025-11-16T00:45:00"/>
        <d v="2025-03-04T14:20:00"/>
        <d v="2025-06-05T23:00:00"/>
        <d v="2025-03-10T06:45:00"/>
        <d v="2025-10-10T07:30:00"/>
        <d v="2025-06-23T05:50:00"/>
        <d v="2025-05-09T06:10:00"/>
        <d v="2025-05-12T07:55:00"/>
        <d v="2025-11-08T22:50:00"/>
        <d v="2025-07-22T15:45:00"/>
        <d v="2025-09-20T17:40:00"/>
        <d v="2025-11-24T14:05:00"/>
        <d v="2025-11-26T11:55:00"/>
        <d v="2025-04-30T15:20:00"/>
        <d v="2025-12-14T13:40:00"/>
        <d v="2025-01-10T09:40:00"/>
        <d v="2025-05-18T12:05:00"/>
        <d v="2025-11-23T12:30:00"/>
        <d v="2025-04-11T16:45:00"/>
        <d v="2025-04-10T21:00:00"/>
        <d v="2025-04-21T13:45:00"/>
        <d v="2025-08-12T16:10:00"/>
        <d v="2025-06-09T06:10:00"/>
        <d v="2025-09-23T16:20:00"/>
        <d v="2025-11-23T12:45:00"/>
        <d v="2025-09-04T00:05:00"/>
        <d v="2025-03-16T11:15:00"/>
        <d v="2025-12-07T10:05:00"/>
        <d v="2025-04-07T09:50:00"/>
        <d v="2025-02-24T19:45:00"/>
        <d v="2025-02-02T00:20:00"/>
        <d v="2025-07-25T18:15:00"/>
        <d v="2025-02-11T15:30:00"/>
        <d v="2025-02-20T07:10:00"/>
        <d v="2025-04-20T11:45:00"/>
        <d v="2025-04-13T16:10:00"/>
        <d v="2025-08-09T11:30:00"/>
        <d v="2025-10-26T15:10:00"/>
        <d v="2025-10-05T13:00:00"/>
        <d v="2025-04-06T13:10:00"/>
        <d v="2025-03-31T23:10:00"/>
        <d v="2025-12-19T06:40:00"/>
        <d v="2025-01-04T11:20:00"/>
        <d v="2025-11-18T07:50:00"/>
        <d v="2025-03-14T14:40:00"/>
        <d v="2025-12-12T14:15:00"/>
        <d v="2025-05-05T06:00:00"/>
        <d v="2025-06-10T09:30:00"/>
        <d v="2025-09-16T01:45:00"/>
        <d v="2025-08-03T10:10:00"/>
        <d v="2025-04-27T11:45:00"/>
        <d v="2025-07-22T18:45:00"/>
        <d v="2025-09-24T12:15:00"/>
        <d v="2025-01-16T09:05:00"/>
        <d v="2025-01-05T23:05:00"/>
        <d v="2025-06-17T11:30:00"/>
        <d v="2025-02-18T12:30:00"/>
        <d v="2025-08-31T07:15:00"/>
        <d v="2025-03-20T12:15:00"/>
        <d v="2025-06-07T22:40:00"/>
        <d v="2025-03-14T11:50:00"/>
        <d v="2025-07-20T12:05:00"/>
        <d v="2025-02-12T17:10:00"/>
        <d v="2025-01-09T18:55:00"/>
        <d v="2025-01-19T09:15:00"/>
        <d v="2025-12-15T12:10:00"/>
        <d v="2025-02-21T19:30:00"/>
        <d v="2025-09-16T09:55:00"/>
        <d v="2025-01-25T14:50:00"/>
        <d v="2025-02-09T12:15:00"/>
        <d v="2025-07-05T16:55:00"/>
        <d v="2025-06-19T13:10:00"/>
        <d v="2025-12-14T09:10:00"/>
        <d v="2025-12-11T17:50:00"/>
        <d v="2025-10-12T09:50:00"/>
        <d v="2025-08-08T13:55:00"/>
        <d v="2025-06-16T06:40:00"/>
        <d v="2025-05-11T05:20:00"/>
        <d v="2025-12-12T18:05:00"/>
        <d v="2025-08-09T12:20:00"/>
        <d v="2025-07-31T23:40:00"/>
        <d v="2025-03-26T07:55:00"/>
        <d v="2025-01-18T10:30:00"/>
        <d v="2025-12-11T07:05:00"/>
        <d v="2025-04-25T16:00:00"/>
        <d v="2025-06-11T14:55:00"/>
        <d v="2025-02-11T08:15:00"/>
        <d v="2025-11-02T22:40:00"/>
        <d v="2025-01-11T06:10:00"/>
        <d v="2025-11-01T11:10:00"/>
        <d v="2025-02-21T19:45:00"/>
        <d v="2025-11-20T22:00:00"/>
        <d v="2025-09-24T21:05:00"/>
        <d v="2025-03-02T10:30:00"/>
        <d v="2025-07-26T06:40:00"/>
        <d v="2025-04-25T06:10:00"/>
        <d v="2025-03-07T13:45:00"/>
        <d v="2025-11-10T15:15:00"/>
        <d v="2025-05-28T06:20:00"/>
        <d v="2025-05-26T15:30:00"/>
        <d v="2025-03-04T06:55:00"/>
        <d v="2025-05-20T13:40:00"/>
        <d v="2025-11-15T16:00:00"/>
        <d v="2025-05-13T11:40:00"/>
        <d v="2025-12-14T17:15:00"/>
        <d v="2025-12-12T07:55:00"/>
        <d v="2025-02-22T17:10:00"/>
        <d v="2025-03-06T02:10:00"/>
        <d v="2025-11-11T08:40:00"/>
        <d v="2025-05-24T17:45:00"/>
        <d v="2025-01-02T16:05:00"/>
        <d v="2025-04-10T09:30:00"/>
        <d v="2025-08-07T09:15:00"/>
        <d v="2025-10-19T13:05:00"/>
        <d v="2025-02-18T09:05:00"/>
        <d v="2025-02-10T15:05:00"/>
        <d v="2025-12-03T15:00:00"/>
        <d v="2025-10-02T09:05:00"/>
        <d v="2025-08-04T10:50:00"/>
        <d v="2025-10-08T17:40:00"/>
        <d v="2025-06-06T07:10:00"/>
        <d v="2025-10-04T15:40:00"/>
        <d v="2025-05-16T00:50:00"/>
        <d v="2025-03-31T13:30:00"/>
        <d v="2025-09-24T07:10:00"/>
        <d v="2025-06-03T17:55:00"/>
        <d v="2025-12-25T12:30:00"/>
        <d v="2025-05-08T06:45:00"/>
        <d v="2025-12-03T17:50:00"/>
        <d v="2025-12-07T05:00:00"/>
        <d v="2025-03-30T12:00:00"/>
        <d v="2025-10-19T12:20:00"/>
        <d v="2025-06-08T08:05:00"/>
        <d v="2025-12-01T20:50:00"/>
        <d v="2025-06-14T16:45:00"/>
        <d v="2025-09-29T04:10:00"/>
        <d v="2025-06-20T16:05:00"/>
        <d v="2025-03-25T10:00:00"/>
        <d v="2025-03-14T21:45:00"/>
        <d v="2025-06-05T06:20:00"/>
        <d v="2025-10-03T13:15:00"/>
        <d v="2025-08-09T11:40:00"/>
        <d v="2025-09-09T10:00:00"/>
        <d v="2025-06-25T09:15:00"/>
        <d v="2025-01-17T15:55:00"/>
        <d v="2025-10-26T12:40:00"/>
        <d v="2025-12-28T23:55:00"/>
        <d v="2025-05-29T09:45:00"/>
        <d v="2025-01-05T17:45:00"/>
        <d v="2025-03-03T23:50:00"/>
        <d v="2025-08-27T16:30:00"/>
        <d v="2025-08-12T22:45:00"/>
        <d v="2025-10-15T17:15:00"/>
        <d v="2025-04-03T10:55:00"/>
        <d v="2025-10-06T12:55:00"/>
        <d v="2025-09-09T06:20:00"/>
        <d v="2025-04-28T12:30:00"/>
        <d v="2025-07-19T09:15:00"/>
        <d v="2025-02-23T15:05:00"/>
        <d v="2025-06-15T13:10:00"/>
        <d v="2025-11-18T11:00:00"/>
        <d v="2025-06-03T07:45:00"/>
        <d v="2025-11-03T21:20:00"/>
        <d v="2025-08-04T01:00:00"/>
        <d v="2025-03-12T04:50:00"/>
        <d v="2025-08-01T09:15:00"/>
        <d v="2025-07-04T22:55:00"/>
        <d v="2025-05-26T20:40:00"/>
        <d v="2025-02-13T14:30:00"/>
        <d v="2025-06-02T22:15:00"/>
        <d v="2025-01-27T07:55:00"/>
        <d v="2025-02-06T19:55:00"/>
        <d v="2025-06-01T08:05:00"/>
        <d v="2025-04-22T07:40:00"/>
        <d v="2025-12-04T06:20:00"/>
        <d v="2025-05-18T13:20:00"/>
        <d v="2025-07-13T12:50:00"/>
        <d v="2025-09-14T20:00:00"/>
        <d v="2025-04-05T11:30:00"/>
        <d v="2025-12-10T07:55:00"/>
        <d v="2025-07-13T11:50:00"/>
        <d v="2025-10-31T16:55:00"/>
        <d v="2025-05-14T15:00:00"/>
        <d v="2025-02-06T13:05:00"/>
        <d v="2025-09-03T12:40:00"/>
        <d v="2025-01-03T07:20:00"/>
        <d v="2025-06-23T15:40:00"/>
        <d v="2025-03-12T19:45:00"/>
        <d v="2025-08-17T04:45:00"/>
        <d v="2025-12-24T19:50:00"/>
        <d v="2025-06-19T10:00:00"/>
        <d v="2025-10-26T07:55:00"/>
        <d v="2025-07-05T19:30:00"/>
        <d v="2025-06-30T11:00:00"/>
        <d v="2025-12-06T06:20:00"/>
        <d v="2025-11-21T08:15:00"/>
        <d v="2025-10-14T08:20:00"/>
        <d v="2025-04-19T17:00:00"/>
        <d v="2025-07-18T12:30:00"/>
        <d v="2025-03-23T19:40:00"/>
        <d v="2025-06-12T07:50:00"/>
        <d v="2025-06-26T08:45:00"/>
        <d v="2025-10-31T05:15:00"/>
        <d v="2025-11-24T11:50:00"/>
        <d v="2025-06-01T18:30:00"/>
        <d v="2025-01-07T17:45:00"/>
        <d v="2025-11-11T08:15:00"/>
        <d v="2025-03-05T19:05:00"/>
        <d v="2025-08-15T17:55:00"/>
        <d v="2025-01-10T00:20:00"/>
        <d v="2025-05-26T17:30:00"/>
        <d v="2025-12-26T09:15:00"/>
        <d v="2025-02-06T06:20:00"/>
        <d v="2025-06-04T09:50:00"/>
        <d v="2025-04-23T13:50:00"/>
        <d v="2025-11-27T10:10:00"/>
        <d v="2025-11-14T07:10:00"/>
        <d v="2025-03-28T06:55:00"/>
        <d v="2025-01-30T14:30:00"/>
        <d v="2025-08-17T21:45:00"/>
        <d v="2025-05-03T15:05:00"/>
        <d v="2025-09-03T08:20:00"/>
        <d v="2025-01-12T06:00:00"/>
        <d v="2025-02-18T08:40:00"/>
        <d v="2025-09-08T07:30:00"/>
        <d v="2025-03-19T13:45:00"/>
        <d v="2025-11-10T13:05:00"/>
        <d v="2025-01-22T15:05:00"/>
        <d v="2025-03-20T16:30:00"/>
        <d v="2025-12-31T06:05:00"/>
        <d v="2025-06-08T07:05:00"/>
        <d v="2025-09-14T15:00:00"/>
        <d v="2025-03-08T12:55:00"/>
        <d v="2025-08-11T08:00:00"/>
        <d v="2025-09-23T12:20:00"/>
        <d v="2025-04-25T06:05:00"/>
        <d v="2025-10-30T06:50:00"/>
        <d v="2025-08-09T17:55:00"/>
        <d v="2025-05-23T15:20:00"/>
        <d v="2025-07-30T05:20:00"/>
        <d v="2025-03-02T17:40:00"/>
        <d v="2025-05-27T06:00:00"/>
        <d v="2025-05-06T13:05:00"/>
        <d v="2025-05-27T01:10:00"/>
        <d v="2025-10-05T09:00:00"/>
        <d v="2025-06-26T16:05:00"/>
        <d v="2025-12-10T14:00:00"/>
        <d v="2025-04-18T09:15:00"/>
        <d v="2025-06-01T08:00:00"/>
        <d v="2025-10-15T07:10:00"/>
        <d v="2025-07-19T02:30:00"/>
        <d v="2025-07-19T19:45:00"/>
        <d v="2025-01-20T15:05:00"/>
        <d v="2025-05-26T11:40:00"/>
        <d v="2025-04-09T14:00:00"/>
        <d v="2025-12-31T16:50:00"/>
        <d v="2025-04-23T14:00:00"/>
        <d v="2025-11-19T04:00:00"/>
        <d v="2025-09-04T07:50:00"/>
        <d v="2025-05-05T17:50:00"/>
        <d v="2025-07-18T11:40:00"/>
        <d v="2025-11-03T21:05:00"/>
        <d v="2025-11-19T17:15:00"/>
        <d v="2025-02-28T23:05:00"/>
        <d v="2025-05-04T07:05:00"/>
        <d v="2025-05-03T20:20:00"/>
        <d v="2025-01-16T06:30:00"/>
        <d v="2025-08-07T21:50:00"/>
        <d v="2025-11-09T07:20:00"/>
        <d v="2025-05-20T13:30:00"/>
        <d v="2025-09-28T15:45:00"/>
        <d v="2025-08-18T13:10:00"/>
        <d v="2025-05-18T11:10:00"/>
        <d v="2025-02-21T23:50:00"/>
        <d v="2025-09-16T13:30:00"/>
        <d v="2025-11-08T11:15:00"/>
        <d v="2025-09-08T01:10:00"/>
        <d v="2025-01-07T14:05:00"/>
        <d v="2025-03-20T16:15:00"/>
        <d v="2025-01-26T10:15:00"/>
        <d v="2025-07-28T04:20:00"/>
        <d v="2025-10-04T13:45:00"/>
        <d v="2025-02-10T01:10:00"/>
        <d v="2025-11-02T05:40:00"/>
        <d v="2025-07-22T13:00:00"/>
        <d v="2025-09-09T08:50:00"/>
        <d v="2025-12-21T06:00:00"/>
        <d v="2025-01-31T14:55:00"/>
        <d v="2025-11-25T02:50:00"/>
        <d v="2025-02-16T09:10:00"/>
        <d v="2025-05-24T09:50:00"/>
        <d v="2025-11-07T12:10:00"/>
        <d v="2025-11-27T16:00:00"/>
        <d v="2025-07-04T15:40:00"/>
        <d v="2025-08-05T08:40:00"/>
        <d v="2025-09-16T09:20:00"/>
        <d v="2025-10-31T01:45:00"/>
        <d v="2025-02-14T10:10:00"/>
        <d v="2025-10-23T18:40:00"/>
        <d v="2025-06-25T06:40:00"/>
        <d v="2025-06-14T08:55:00"/>
        <d v="2025-06-04T06:20:00"/>
        <d v="2025-07-05T12:50:00"/>
        <d v="2025-12-11T14:15:00"/>
        <d v="2025-07-20T14:45:00"/>
        <d v="2025-12-14T20:05:00"/>
        <d v="2025-03-07T11:15:00"/>
        <d v="2025-09-22T08:10:00"/>
        <d v="2025-10-24T08:20:00"/>
        <d v="2025-09-05T16:45:00"/>
        <d v="2025-08-10T11:45:00"/>
        <d v="2025-07-26T12:40:00"/>
        <d v="2025-11-11T17:20:00"/>
        <d v="2025-10-27T15:55:00"/>
        <d v="2025-02-14T20:30:00"/>
        <d v="2025-11-06T13:00:00"/>
        <d v="2025-06-01T15:30:00"/>
        <d v="2025-04-03T08:20:00"/>
        <d v="2025-11-14T17:00:00"/>
        <d v="2025-06-07T20:55:00"/>
        <d v="2025-10-23T12:45:00"/>
        <d v="2025-04-07T15:10:00"/>
        <d v="2025-01-02T17:10:00"/>
        <d v="2025-06-30T03:30:00"/>
        <d v="2025-02-06T13:40:00"/>
        <d v="2025-10-03T09:20:00"/>
        <d v="2025-04-11T19:30:00"/>
        <d v="2025-06-11T17:00:00"/>
        <d v="2025-02-01T07:50:00"/>
        <d v="2025-04-15T07:15:00"/>
        <d v="2025-10-13T11:55:00"/>
        <d v="2025-02-25T10:00:00"/>
        <d v="2025-08-25T05:50:00"/>
        <d v="2025-12-01T13:15:00"/>
        <d v="2025-09-06T11:00:00"/>
        <d v="2025-10-24T08:40:00"/>
        <d v="2025-02-09T16:55:00"/>
        <d v="2025-04-02T19:50:00"/>
        <d v="2025-11-23T17:05:00"/>
        <d v="2025-09-19T14:45:00"/>
        <d v="2025-08-22T06:55:00"/>
        <d v="2025-08-31T09:10:00"/>
        <d v="2025-06-01T07:50:00"/>
        <d v="2025-01-17T17:10:00"/>
        <d v="2025-10-14T19:10:00"/>
        <d v="2025-09-05T14:30:00"/>
        <d v="2025-06-22T22:40:00"/>
        <d v="2025-11-25T17:15:00"/>
        <d v="2025-05-03T10:10:00"/>
        <d v="2025-04-18T10:20:00"/>
        <d v="2025-11-15T05:15:00"/>
        <d v="2025-10-18T00:20:00"/>
        <d v="2025-07-07T14:20:00"/>
        <d v="2025-02-17T13:30:00"/>
        <d v="2025-03-20T12:05:00"/>
        <d v="2025-05-21T06:55:00"/>
        <d v="2025-11-02T11:20:00"/>
        <d v="2025-12-13T13:20:00"/>
        <d v="2025-10-22T13:30:00"/>
        <d v="2025-05-18T15:55:00"/>
        <d v="2025-10-15T12:50:00"/>
        <d v="2025-05-09T12:05:00"/>
        <d v="2025-03-02T23:50:00"/>
        <d v="2025-01-13T19:10:00"/>
        <d v="2025-05-21T20:50:00"/>
        <d v="2025-11-26T09:50:00"/>
        <d v="2025-03-29T01:20:00"/>
        <d v="2025-03-17T08:05:00"/>
        <d v="2025-12-20T08:00:00"/>
        <d v="2025-01-10T22:20:00"/>
        <d v="2025-10-14T15:40:00"/>
        <d v="2025-04-28T09:05:00"/>
        <d v="2025-01-14T08:15:00"/>
        <d v="2025-12-01T06:10:00"/>
        <d v="2025-02-20T16:00:00"/>
        <d v="2025-07-21T14:45:00"/>
        <d v="2025-04-11T14:50:00"/>
        <d v="2025-01-24T20:20:00"/>
        <d v="2025-01-19T06:20:00"/>
        <d v="2025-02-12T06:55:00"/>
        <d v="2025-01-27T09:40:00"/>
        <d v="2025-10-05T12:00:00"/>
        <d v="2025-06-27T21:50:00"/>
        <d v="2025-05-06T11:45:00"/>
        <d v="2025-06-02T17:00:00"/>
        <d v="2025-12-06T11:15:00"/>
        <d v="2025-11-29T02:30:00"/>
        <d v="2025-09-19T02:20:00"/>
        <d v="2025-11-19T10:05:00"/>
        <d v="2025-04-27T17:10:00"/>
        <d v="2025-05-20T08:30:00"/>
        <d v="2025-08-13T15:15:00"/>
        <d v="2025-08-16T15:50:00"/>
        <d v="2025-06-25T12:55:00"/>
        <d v="2025-05-27T15:30:00"/>
        <d v="2025-12-26T12:00:00"/>
        <d v="2025-10-27T14:55:00"/>
        <d v="2025-06-08T16:45:00"/>
        <d v="2025-09-23T22:45:00"/>
        <d v="2025-04-09T13:05:00"/>
        <d v="2025-02-06T12:50:00"/>
        <d v="2025-05-28T08:45:00"/>
        <d v="2025-01-07T15:00:00"/>
        <d v="2025-10-25T22:10:00"/>
        <d v="2025-05-12T10:30:00"/>
        <d v="2025-07-31T08:15:00"/>
        <d v="2025-01-27T06:10:00"/>
        <d v="2025-03-05T13:15:00"/>
        <d v="2025-11-21T06:05:00"/>
        <d v="2025-08-11T07:50:00"/>
        <d v="2025-12-13T15:45:00"/>
        <d v="2025-12-31T03:30:00"/>
        <d v="2025-05-16T11:10:00"/>
        <d v="2025-04-20T16:05:00"/>
        <d v="2025-11-10T08:45:00"/>
        <d v="2025-12-31T11:00:00"/>
        <d v="2025-08-18T15:30:00"/>
        <d v="2025-10-18T16:50:00"/>
        <d v="2025-10-13T13:10:00"/>
        <d v="2025-05-10T11:20:00"/>
        <d v="2025-07-29T14:55:00"/>
        <d v="2025-11-01T14:30:00"/>
        <d v="2025-09-09T06:55:00"/>
        <d v="2025-01-08T08:50:00"/>
        <d v="2025-05-03T05:40:00"/>
        <d v="2025-02-22T08:45:00"/>
        <d v="2025-03-27T11:05:00"/>
        <d v="2025-11-27T05:30:00"/>
        <d v="2025-01-14T06:20:00"/>
        <d v="2025-03-22T14:10:00"/>
        <d v="2025-04-23T08:30:00"/>
        <d v="2025-08-14T17:55:00"/>
        <d v="2025-07-14T14:55:00"/>
        <d v="2025-03-21T08:00:00"/>
        <d v="2025-03-01T15:10:00"/>
        <d v="2025-03-28T17:00:00"/>
        <d v="2025-07-03T11:10:00"/>
        <d v="2025-04-09T06:50:00"/>
      </sharedItems>
      <fieldGroup par="58"/>
    </cacheField>
    <cacheField name="scheduled_delivery_datetime" numFmtId="22">
      <sharedItems containsSemiMixedTypes="0" containsNonDate="0" containsDate="1" containsString="0" minDate="2025-01-01T20:31:54" maxDate="2026-01-01T00:07:43" count="1000">
        <d v="2025-06-10T22:46:16"/>
        <d v="2025-04-19T15:59:09"/>
        <d v="2025-06-16T05:06:03"/>
        <d v="2025-01-26T17:25:27"/>
        <d v="2025-10-19T12:49:58"/>
        <d v="2025-03-30T22:16:44"/>
        <d v="2025-09-22T15:57:19"/>
        <d v="2025-01-25T20:10:30"/>
        <d v="2025-12-15T22:23:44"/>
        <d v="2025-03-12T22:40:00"/>
        <d v="2025-11-19T14:17:58"/>
        <d v="2025-10-23T14:16:02"/>
        <d v="2025-12-21T00:21:36"/>
        <d v="2025-06-25T02:36:44"/>
        <d v="2025-09-24T01:25:57"/>
        <d v="2025-05-16T13:44:09"/>
        <d v="2025-03-10T04:57:38"/>
        <d v="2025-06-11T19:40:27"/>
        <d v="2025-03-02T13:17:08"/>
        <d v="2025-12-25T17:22:20"/>
        <d v="2025-02-05T11:01:57"/>
        <d v="2025-08-04T17:26:29"/>
        <d v="2025-08-18T02:24:49"/>
        <d v="2025-07-17T01:47:41"/>
        <d v="2025-08-30T12:50:30"/>
        <d v="2025-02-12T18:13:27"/>
        <d v="2025-07-23T02:21:37"/>
        <d v="2025-04-15T11:43:28"/>
        <d v="2025-12-10T22:36:53"/>
        <d v="2025-10-06T13:56:38"/>
        <d v="2025-12-21T20:43:54"/>
        <d v="2025-01-14T18:16:26"/>
        <d v="2025-04-15T07:58:20"/>
        <d v="2025-03-14T00:57:51"/>
        <d v="2025-01-05T18:56:38"/>
        <d v="2025-03-30T14:00:39"/>
        <d v="2025-09-05T12:54:14"/>
        <d v="2025-03-27T06:03:48"/>
        <d v="2025-07-05T17:08:18"/>
        <d v="2025-11-21T14:50:11"/>
        <d v="2025-09-11T17:51:59"/>
        <d v="2025-05-25T20:32:11"/>
        <d v="2025-05-16T13:18:50"/>
        <d v="2025-06-16T18:02:53"/>
        <d v="2025-03-06T09:09:39"/>
        <d v="2025-08-20T10:42:09"/>
        <d v="2025-05-13T19:10:00"/>
        <d v="2025-11-08T15:45:13"/>
        <d v="2025-10-04T11:26:46"/>
        <d v="2025-08-11T17:44:34"/>
        <d v="2025-05-13T19:38:55"/>
        <d v="2025-03-19T11:23:24"/>
        <d v="2025-10-11T19:22:34"/>
        <d v="2025-06-27T15:50:00"/>
        <d v="2025-03-24T19:25:00"/>
        <d v="2025-03-13T12:37:55"/>
        <d v="2025-03-02T10:51:20"/>
        <d v="2025-10-11T14:17:15"/>
        <d v="2025-03-25T13:30:26"/>
        <d v="2025-07-13T02:31:41"/>
        <d v="2025-06-14T18:47:19"/>
        <d v="2025-07-31T15:48:46"/>
        <d v="2025-11-17T06:10:29"/>
        <d v="2025-11-13T02:10:00"/>
        <d v="2025-06-14T07:35:54"/>
        <d v="2025-01-06T10:52:42"/>
        <d v="2025-06-05T13:49:01"/>
        <d v="2025-08-10T18:01:25"/>
        <d v="2025-07-23T19:52:02"/>
        <d v="2025-08-26T11:20:20"/>
        <d v="2025-02-27T00:03:36"/>
        <d v="2025-08-24T20:42:58"/>
        <d v="2025-03-08T18:24:04"/>
        <d v="2025-10-01T20:57:36"/>
        <d v="2025-05-04T23:56:53"/>
        <d v="2025-09-17T18:24:06"/>
        <d v="2025-01-18T20:29:16"/>
        <d v="2025-05-29T16:10:33"/>
        <d v="2025-09-15T17:56:25"/>
        <d v="2025-03-25T05:13:27"/>
        <d v="2025-10-18T15:09:06"/>
        <d v="2025-08-19T23:03:44"/>
        <d v="2025-08-03T15:36:07"/>
        <d v="2025-05-10T07:19:01"/>
        <d v="2025-06-26T13:29:15"/>
        <d v="2025-08-07T02:47:33"/>
        <d v="2025-06-22T09:13:47"/>
        <d v="2025-09-12T09:53:50"/>
        <d v="2025-06-08T11:39:43"/>
        <d v="2025-03-15T12:23:16"/>
        <d v="2025-03-21T13:01:29"/>
        <d v="2025-01-03T07:50:00"/>
        <d v="2025-04-21T00:12:04"/>
        <d v="2025-10-01T19:28:29"/>
        <d v="2025-10-18T01:08:25"/>
        <d v="2025-03-15T18:59:23"/>
        <d v="2025-12-17T10:56:19"/>
        <d v="2025-07-03T20:08:44"/>
        <d v="2025-12-01T18:54:28"/>
        <d v="2025-09-15T23:35:54"/>
        <d v="2025-09-21T21:19:03"/>
        <d v="2025-02-01T23:22:20"/>
        <d v="2025-03-22T22:56:55"/>
        <d v="2025-01-04T19:27:45"/>
        <d v="2025-09-19T12:45:00"/>
        <d v="2025-05-06T20:07:35"/>
        <d v="2025-10-16T06:55:42"/>
        <d v="2025-05-04T07:13:10"/>
        <d v="2025-10-27T19:45:00"/>
        <d v="2025-02-17T17:16:24"/>
        <d v="2025-03-05T17:01:16"/>
        <d v="2025-05-06T04:34:27"/>
        <d v="2025-05-30T12:46:58"/>
        <d v="2025-05-08T18:45:39"/>
        <d v="2025-10-06T09:40:00"/>
        <d v="2025-02-05T19:09:14"/>
        <d v="2025-05-09T18:40:25"/>
        <d v="2025-11-02T13:50:58"/>
        <d v="2025-01-25T16:57:09"/>
        <d v="2025-12-11T16:56:13"/>
        <d v="2025-12-28T02:58:10"/>
        <d v="2025-02-02T15:36:48"/>
        <d v="2025-04-17T21:00:49"/>
        <d v="2025-05-16T08:35:24"/>
        <d v="2025-10-11T03:41:41"/>
        <d v="2025-08-06T07:35:00"/>
        <d v="2025-08-25T01:22:44"/>
        <d v="2025-10-05T02:48:08"/>
        <d v="2025-02-13T17:02:06"/>
        <d v="2025-11-01T14:43:36"/>
        <d v="2025-09-15T19:54:09"/>
        <d v="2025-07-30T23:19:29"/>
        <d v="2025-11-21T19:14:06"/>
        <d v="2025-09-13T12:52:46"/>
        <d v="2025-03-15T18:54:42"/>
        <d v="2025-06-06T10:23:00"/>
        <d v="2025-06-30T21:14:16"/>
        <d v="2025-01-22T09:03:21"/>
        <d v="2025-12-15T15:58:33"/>
        <d v="2025-02-16T19:12:06"/>
        <d v="2025-09-12T22:20:52"/>
        <d v="2025-07-04T14:12:37"/>
        <d v="2025-01-10T20:05:59"/>
        <d v="2025-12-04T22:46:04"/>
        <d v="2025-11-07T12:11:09"/>
        <d v="2025-07-11T08:40:20"/>
        <d v="2025-03-25T14:26:26"/>
        <d v="2025-02-14T22:55:40"/>
        <d v="2025-05-13T22:25:53"/>
        <d v="2025-04-05T02:10:25"/>
        <d v="2025-07-04T23:29:20"/>
        <d v="2025-12-19T09:20:00"/>
        <d v="2025-07-29T19:40:42"/>
        <d v="2025-11-21T18:25:01"/>
        <d v="2025-08-26T23:23:15"/>
        <d v="2025-06-23T09:05:39"/>
        <d v="2025-11-08T13:05:25"/>
        <d v="2025-06-22T19:39:02"/>
        <d v="2025-11-14T23:01:58"/>
        <d v="2025-04-18T01:58:12"/>
        <d v="2025-02-17T22:35:00"/>
        <d v="2025-11-09T11:06:40"/>
        <d v="2025-08-04T09:39:23"/>
        <d v="2025-11-22T00:00:19"/>
        <d v="2025-12-09T12:51:47"/>
        <d v="2025-01-21T00:47:05"/>
        <d v="2025-07-03T00:19:34"/>
        <d v="2025-05-18T01:38:53"/>
        <d v="2025-08-18T00:37:46"/>
        <d v="2025-10-18T05:24:21"/>
        <d v="2025-04-13T16:41:11"/>
        <d v="2025-07-23T12:52:33"/>
        <d v="2025-09-16T13:35:24"/>
        <d v="2025-02-19T12:20:00"/>
        <d v="2025-10-25T18:55:00"/>
        <d v="2025-08-10T19:29:30"/>
        <d v="2025-12-14T02:03:43"/>
        <d v="2025-05-04T10:27:04"/>
        <d v="2025-02-10T03:02:52"/>
        <d v="2025-07-05T03:25:28"/>
        <d v="2025-02-01T17:36:25"/>
        <d v="2025-12-20T16:10:39"/>
        <d v="2025-01-15T11:06:54"/>
        <d v="2025-10-03T07:59:09"/>
        <d v="2025-07-12T04:08:46"/>
        <d v="2025-05-15T18:16:53"/>
        <d v="2025-01-26T09:59:58"/>
        <d v="2025-08-16T14:00:00"/>
        <d v="2025-08-02T14:49:34"/>
        <d v="2025-04-13T17:25:00"/>
        <d v="2025-11-30T06:22:44"/>
        <d v="2025-04-22T23:28:08"/>
        <d v="2025-06-14T18:20:00"/>
        <d v="2025-07-18T14:26:10"/>
        <d v="2025-02-06T22:41:02"/>
        <d v="2025-12-07T21:05:05"/>
        <d v="2025-05-17T16:59:31"/>
        <d v="2025-01-30T12:06:56"/>
        <d v="2025-05-22T09:02:48"/>
        <d v="2025-08-08T12:24:49"/>
        <d v="2025-07-07T22:35:11"/>
        <d v="2025-09-11T18:20:39"/>
        <d v="2025-01-21T16:06:29"/>
        <d v="2025-04-14T16:33:00"/>
        <d v="2025-10-27T15:49:57"/>
        <d v="2025-01-30T13:50:00"/>
        <d v="2025-11-09T22:50:55"/>
        <d v="2025-02-03T10:06:01"/>
        <d v="2025-11-02T01:16:32"/>
        <d v="2025-05-12T21:33:00"/>
        <d v="2025-08-12T09:27:26"/>
        <d v="2025-02-25T09:10:00"/>
        <d v="2025-01-25T04:39:09"/>
        <d v="2025-03-21T00:14:41"/>
        <d v="2025-02-16T16:20:17"/>
        <d v="2025-04-25T15:30:36"/>
        <d v="2025-07-07T08:20:44"/>
        <d v="2025-08-04T09:50:52"/>
        <d v="2025-10-16T22:35:37"/>
        <d v="2025-08-28T18:23:36"/>
        <d v="2025-08-11T22:26:34"/>
        <d v="2025-05-31T21:19:52"/>
        <d v="2025-06-22T22:32:31"/>
        <d v="2025-06-01T13:46:21"/>
        <d v="2025-11-04T14:58:09"/>
        <d v="2025-03-25T13:09:10"/>
        <d v="2025-01-04T01:52:58"/>
        <d v="2025-08-27T01:10:57"/>
        <d v="2025-03-15T14:32:13"/>
        <d v="2025-11-22T00:16:19"/>
        <d v="2025-11-11T00:48:33"/>
        <d v="2025-01-29T23:53:44"/>
        <d v="2025-02-08T21:05:33"/>
        <d v="2025-07-01T04:19:02"/>
        <d v="2025-08-11T10:13:31"/>
        <d v="2025-04-11T21:50:15"/>
        <d v="2025-09-19T21:33:55"/>
        <d v="2025-08-06T10:07:57"/>
        <d v="2025-04-29T12:54:06"/>
        <d v="2025-01-11T05:25:18"/>
        <d v="2025-10-01T11:48:41"/>
        <d v="2025-03-21T02:36:48"/>
        <d v="2025-11-01T10:09:43"/>
        <d v="2025-06-03T04:50:13"/>
        <d v="2025-07-30T13:15:00"/>
        <d v="2025-11-16T00:36:44"/>
        <d v="2025-11-12T21:33:22"/>
        <d v="2025-05-16T15:00:25"/>
        <d v="2025-03-18T02:20:00"/>
        <d v="2025-10-10T14:31:06"/>
        <d v="2025-06-08T15:56:54"/>
        <d v="2025-03-12T13:15:21"/>
        <d v="2025-11-27T20:09:08"/>
        <d v="2025-03-15T07:22:13"/>
        <d v="2025-01-10T15:03:55"/>
        <d v="2025-01-08T16:09:18"/>
        <d v="2025-08-16T14:23:29"/>
        <d v="2025-08-30T10:19:17"/>
        <d v="2025-04-24T15:37:44"/>
        <d v="2025-04-28T09:17:21"/>
        <d v="2025-05-04T22:27:27"/>
        <d v="2025-09-07T03:12:31"/>
        <d v="2025-01-22T14:13:52"/>
        <d v="2025-12-06T23:35:06"/>
        <d v="2025-03-23T14:51:00"/>
        <d v="2025-12-31T19:37:28"/>
        <d v="2025-03-05T01:06:52"/>
        <d v="2025-10-09T17:27:38"/>
        <d v="2025-03-23T05:10:00"/>
        <d v="2025-01-30T20:24:33"/>
        <d v="2025-11-16T17:50:37"/>
        <d v="2025-11-10T21:39:18"/>
        <d v="2025-05-29T02:36:32"/>
        <d v="2025-09-15T04:18:38"/>
        <d v="2025-07-23T16:57:17"/>
        <d v="2025-11-09T07:05:01"/>
        <d v="2025-04-26T00:38:49"/>
        <d v="2025-07-11T23:03:59"/>
        <d v="2025-06-27T13:23:20"/>
        <d v="2025-05-10T08:46:23"/>
        <d v="2025-11-22T18:11:30"/>
        <d v="2025-03-02T19:35:05"/>
        <d v="2025-02-25T05:01:35"/>
        <d v="2025-07-30T15:01:43"/>
        <d v="2025-08-28T15:04:33"/>
        <d v="2025-03-13T19:20:00"/>
        <d v="2025-05-23T08:50:00"/>
        <d v="2025-12-12T13:50:49"/>
        <d v="2025-04-01T17:44:28"/>
        <d v="2025-09-01T15:50:00"/>
        <d v="2025-09-28T11:45:48"/>
        <d v="2025-06-13T20:18:19"/>
        <d v="2025-12-09T19:59:29"/>
        <d v="2025-09-27T07:50:57"/>
        <d v="2025-06-17T23:40:58"/>
        <d v="2025-07-27T13:36:00"/>
        <d v="2025-09-10T15:51:48"/>
        <d v="2025-08-05T11:30:59"/>
        <d v="2025-11-17T18:39:23"/>
        <d v="2025-05-11T15:27:51"/>
        <d v="2025-04-20T15:19:15"/>
        <d v="2025-03-20T21:58:15"/>
        <d v="2025-01-14T11:08:10"/>
        <d v="2025-01-16T21:19:53"/>
        <d v="2025-11-14T20:25:02"/>
        <d v="2025-09-06T04:41:00"/>
        <d v="2025-08-30T14:29:45"/>
        <d v="2025-08-13T11:09:30"/>
        <d v="2025-11-07T04:35:20"/>
        <d v="2025-06-25T10:34:12"/>
        <d v="2025-11-14T21:38:18"/>
        <d v="2025-05-12T09:36:47"/>
        <d v="2025-12-06T00:10:02"/>
        <d v="2025-09-14T10:42:37"/>
        <d v="2025-04-04T20:14:08"/>
        <d v="2025-07-25T23:23:57"/>
        <d v="2025-07-15T06:37:10"/>
        <d v="2025-02-20T10:10:51"/>
        <d v="2025-08-04T13:52:23"/>
        <d v="2025-04-25T20:36:24"/>
        <d v="2025-01-20T16:14:01"/>
        <d v="2025-12-14T00:24:34"/>
        <d v="2025-08-23T13:47:17"/>
        <d v="2025-11-18T02:51:04"/>
        <d v="2025-09-04T19:09:14"/>
        <d v="2025-05-12T00:51:32"/>
        <d v="2025-07-08T01:21:41"/>
        <d v="2025-09-04T13:14:01"/>
        <d v="2025-12-18T02:24:38"/>
        <d v="2025-04-03T18:35:00"/>
        <d v="2025-11-16T13:51:49"/>
        <d v="2025-12-04T19:10:00"/>
        <d v="2025-09-02T05:10:00"/>
        <d v="2025-12-06T20:41:16"/>
        <d v="2025-05-26T10:36:26"/>
        <d v="2025-12-14T06:52:43"/>
        <d v="2025-09-14T14:45:42"/>
        <d v="2025-01-16T18:08:43"/>
        <d v="2025-11-28T20:48:38"/>
        <d v="2025-06-27T00:47:10"/>
        <d v="2025-06-18T20:42:33"/>
        <d v="2025-07-26T07:36:49"/>
        <d v="2025-02-24T22:22:34"/>
        <d v="2025-06-21T15:31:59"/>
        <d v="2025-11-01T05:00:51"/>
        <d v="2025-01-06T14:47:34"/>
        <d v="2025-04-10T13:28:08"/>
        <d v="2025-01-01T20:31:54"/>
        <d v="2025-06-01T23:37:41"/>
        <d v="2025-09-23T23:44:42"/>
        <d v="2025-10-20T00:48:40"/>
        <d v="2025-12-11T20:50:54"/>
        <d v="2025-08-11T10:53:26"/>
        <d v="2025-04-03T23:43:32"/>
        <d v="2025-12-04T22:20:18"/>
        <d v="2025-10-10T11:05:47"/>
        <d v="2025-07-29T17:31:53"/>
        <d v="2025-09-11T16:24:45"/>
        <d v="2025-12-05T02:34:38"/>
        <d v="2025-09-18T15:38:10"/>
        <d v="2025-05-15T20:28:01"/>
        <d v="2025-09-18T08:43:54"/>
        <d v="2025-01-15T16:24:42"/>
        <d v="2025-05-23T00:04:29"/>
        <d v="2025-05-30T09:35:41"/>
        <d v="2025-03-02T14:49:28"/>
        <d v="2025-01-09T15:14:48"/>
        <d v="2025-02-18T11:27:37"/>
        <d v="2025-08-27T17:21:57"/>
        <d v="2025-10-20T20:22:15"/>
        <d v="2025-12-27T22:44:03"/>
        <d v="2025-05-08T07:43:56"/>
        <d v="2025-08-08T03:17:04"/>
        <d v="2025-12-09T17:28:39"/>
        <d v="2025-03-02T13:59:48"/>
        <d v="2025-09-19T13:57:12"/>
        <d v="2025-10-04T08:09:46"/>
        <d v="2025-02-02T21:19:10"/>
        <d v="2025-11-11T21:37:19"/>
        <d v="2025-10-24T18:25:15"/>
        <d v="2025-01-14T03:32:01"/>
        <d v="2025-02-03T17:23:23"/>
        <d v="2025-01-18T14:56:23"/>
        <d v="2025-05-04T00:00:01"/>
        <d v="2025-07-05T21:40:00"/>
        <d v="2025-07-14T09:13:19"/>
        <d v="2025-04-09T11:54:48"/>
        <d v="2025-11-29T22:35:24"/>
        <d v="2025-05-15T13:29:09"/>
        <d v="2025-01-17T23:30:03"/>
        <d v="2025-04-20T20:16:59"/>
        <d v="2025-07-14T08:25:02"/>
        <d v="2025-05-30T14:28:22"/>
        <d v="2025-04-10T20:12:31"/>
        <d v="2025-02-17T06:13:11"/>
        <d v="2025-10-27T00:18:27"/>
        <d v="2025-12-30T16:21:21"/>
        <d v="2025-05-01T20:18:52"/>
        <d v="2025-05-20T04:55:27"/>
        <d v="2025-08-14T15:07:49"/>
        <d v="2025-09-20T03:26:53"/>
        <d v="2025-05-24T11:58:48"/>
        <d v="2025-11-27T20:00:51"/>
        <d v="2025-07-25T01:46:58"/>
        <d v="2025-06-14T19:25:37"/>
        <d v="2025-08-25T16:54:12"/>
        <d v="2025-12-14T14:15:59"/>
        <d v="2025-10-18T10:25:00"/>
        <d v="2025-01-15T13:26:22"/>
        <d v="2025-05-03T01:55:20"/>
        <d v="2025-06-21T16:18:21"/>
        <d v="2025-04-25T14:16:34"/>
        <d v="2025-09-13T13:35:15"/>
        <d v="2025-10-29T23:51:12"/>
        <d v="2025-09-25T02:49:44"/>
        <d v="2025-12-28T20:37:20"/>
        <d v="2025-04-10T16:38:02"/>
        <d v="2025-11-16T18:12:44"/>
        <d v="2025-10-08T00:35:44"/>
        <d v="2025-05-13T23:20:38"/>
        <d v="2025-09-25T09:15:09"/>
        <d v="2025-02-07T18:27:48"/>
        <d v="2025-10-16T17:14:51"/>
        <d v="2025-07-14T19:13:01"/>
        <d v="2025-04-17T17:30:02"/>
        <d v="2025-08-28T17:00:45"/>
        <d v="2025-08-23T21:32:37"/>
        <d v="2025-03-18T17:42:51"/>
        <d v="2025-01-12T16:26:25"/>
        <d v="2025-06-08T20:19:39"/>
        <d v="2025-07-28T01:31:58"/>
        <d v="2025-11-16T08:01:41"/>
        <d v="2025-12-05T15:59:33"/>
        <d v="2025-07-14T09:47:17"/>
        <d v="2025-10-04T03:30:45"/>
        <d v="2025-06-11T01:33:12"/>
        <d v="2025-09-30T21:42:21"/>
        <d v="2025-03-16T16:36:01"/>
        <d v="2025-05-16T23:59:02"/>
        <d v="2025-08-21T12:39:14"/>
        <d v="2025-01-07T12:46:04"/>
        <d v="2025-09-22T15:03:30"/>
        <d v="2025-11-01T14:26:56"/>
        <d v="2025-05-27T02:42:31"/>
        <d v="2025-06-14T00:30:40"/>
        <d v="2025-11-08T09:22:06"/>
        <d v="2025-10-11T17:40:31"/>
        <d v="2025-04-16T15:14:54"/>
        <d v="2025-04-29T15:01:28"/>
        <d v="2025-09-05T12:21:13"/>
        <d v="2025-07-25T12:02:22"/>
        <d v="2025-03-01T13:45:00"/>
        <d v="2025-04-24T23:04:51"/>
        <d v="2025-11-25T18:10:55"/>
        <d v="2025-09-09T12:20:29"/>
        <d v="2025-12-26T21:04:11"/>
        <d v="2025-10-07T14:12:36"/>
        <d v="2025-12-11T00:46:27"/>
        <d v="2025-03-21T15:15:33"/>
        <d v="2025-10-09T10:20:15"/>
        <d v="2025-01-08T22:00:43"/>
        <d v="2025-09-02T20:07:15"/>
        <d v="2025-06-21T11:10:11"/>
        <d v="2025-05-07T06:57:44"/>
        <d v="2025-11-11T12:55:54"/>
        <d v="2025-11-08T12:35:45"/>
        <d v="2025-01-09T18:13:58"/>
        <d v="2025-08-11T15:44:54"/>
        <d v="2025-05-15T09:25:00"/>
        <d v="2025-06-01T20:29:26"/>
        <d v="2025-10-31T13:52:00"/>
        <d v="2025-04-24T10:20:00"/>
        <d v="2025-12-11T18:01:03"/>
        <d v="2025-03-07T05:09:33"/>
        <d v="2025-08-30T22:44:16"/>
        <d v="2025-09-03T14:52:10"/>
        <d v="2025-04-04T05:55:14"/>
        <d v="2025-04-29T21:08:30"/>
        <d v="2025-11-01T21:28:46"/>
        <d v="2025-10-06T11:36:07"/>
        <d v="2025-05-02T08:35:42"/>
        <d v="2025-07-14T21:01:10"/>
        <d v="2025-01-24T06:06:38"/>
        <d v="2025-03-18T16:30:00"/>
        <d v="2025-06-27T16:13:43"/>
        <d v="2025-02-01T14:09:25"/>
        <d v="2025-11-04T20:19:17"/>
        <d v="2025-09-21T01:12:35"/>
        <d v="2025-12-11T05:35:00"/>
        <d v="2025-09-11T22:20:00"/>
        <d v="2025-12-10T19:43:24"/>
        <d v="2025-07-22T16:59:17"/>
        <d v="2025-08-08T08:21:38"/>
        <d v="2025-12-23T21:34:19"/>
        <d v="2025-08-23T15:09:17"/>
        <d v="2025-01-12T09:13:30"/>
        <d v="2025-09-22T14:51:14"/>
        <d v="2025-11-27T23:08:31"/>
        <d v="2025-10-18T11:50:00"/>
        <d v="2025-08-02T22:56:06"/>
        <d v="2025-09-03T10:09:39"/>
        <d v="2025-12-28T23:19:03"/>
        <d v="2025-02-04T01:38:35"/>
        <d v="2025-09-01T14:28:24"/>
        <d v="2025-04-15T00:56:15"/>
        <d v="2025-08-22T16:30:53"/>
        <d v="2025-08-11T03:34:25"/>
        <d v="2025-02-26T11:15:00"/>
        <d v="2025-03-18T08:05:57"/>
        <d v="2025-08-15T21:56:47"/>
        <d v="2025-02-16T16:12:37"/>
        <d v="2025-04-07T13:01:57"/>
        <d v="2025-11-02T00:57:57"/>
        <d v="2025-05-01T03:14:57"/>
        <d v="2025-06-28T13:41:26"/>
        <d v="2025-12-10T21:29:22"/>
        <d v="2025-03-25T02:08:02"/>
        <d v="2025-05-23T18:15:44"/>
        <d v="2025-08-10T10:12:47"/>
        <d v="2025-10-03T19:21:20"/>
        <d v="2025-11-26T14:31:09"/>
        <d v="2025-12-01T03:25:00"/>
        <d v="2025-10-12T00:48:45"/>
        <d v="2025-03-25T19:23:44"/>
        <d v="2025-01-10T19:25:10"/>
        <d v="2025-05-21T15:34:22"/>
        <d v="2025-02-22T05:55:58"/>
        <d v="2025-09-18T00:10:52"/>
        <d v="2025-08-31T00:30:00"/>
        <d v="2025-01-18T02:14:30"/>
        <d v="2025-11-02T17:24:07"/>
        <d v="2025-04-01T15:07:17"/>
        <d v="2025-06-07T18:33:40"/>
        <d v="2025-09-02T04:19:43"/>
        <d v="2025-06-06T17:21:47"/>
        <d v="2025-06-11T11:10:00"/>
        <d v="2025-01-24T03:17:03"/>
        <d v="2025-05-27T10:38:04"/>
        <d v="2025-10-07T15:53:56"/>
        <d v="2025-12-01T16:16:41"/>
        <d v="2025-06-01T04:41:22"/>
        <d v="2025-06-05T02:00:29"/>
        <d v="2025-09-14T12:15:57"/>
        <d v="2025-12-12T02:33:31"/>
        <d v="2025-04-08T13:32:37"/>
        <d v="2025-06-10T14:09:09"/>
        <d v="2025-10-18T16:16:27"/>
        <d v="2025-08-11T23:50:00"/>
        <d v="2025-02-11T04:15:40"/>
        <d v="2025-08-18T13:35:00"/>
        <d v="2025-03-10T21:07:54"/>
        <d v="2025-07-06T23:26:47"/>
        <d v="2025-07-13T18:41:14"/>
        <d v="2025-11-17T00:25:00"/>
        <d v="2025-06-18T11:19:07"/>
        <d v="2025-04-13T03:34:49"/>
        <d v="2025-03-26T12:36:25"/>
        <d v="2025-11-16T07:13:54"/>
        <d v="2025-03-05T00:38:34"/>
        <d v="2025-06-06T04:34:11"/>
        <d v="2025-03-10T09:52:41"/>
        <d v="2025-10-11T03:55:26"/>
        <d v="2025-06-23T09:50:44"/>
        <d v="2025-05-09T12:14:50"/>
        <d v="2025-05-12T13:49:43"/>
        <d v="2025-11-09T00:52:54"/>
        <d v="2025-07-22T18:01:49"/>
        <d v="2025-09-20T20:27:54"/>
        <d v="2025-11-24T16:24:06"/>
        <d v="2025-11-26T17:20:44"/>
        <d v="2025-05-01T01:49:13"/>
        <d v="2025-12-14T17:24:28"/>
        <d v="2025-01-10T13:57:01"/>
        <d v="2025-05-18T13:35:00"/>
        <d v="2025-11-23T20:44:55"/>
        <d v="2025-04-11T18:56:09"/>
        <d v="2025-04-11T02:01:33"/>
        <d v="2025-04-21T18:21:12"/>
        <d v="2025-08-13T01:52:52"/>
        <d v="2025-06-09T13:57:17"/>
        <d v="2025-09-24T02:53:27"/>
        <d v="2025-11-23T14:56:15"/>
        <d v="2025-09-04T04:36:43"/>
        <d v="2025-03-16T15:23:57"/>
        <d v="2025-12-07T12:01:01"/>
        <d v="2025-04-07T13:44:18"/>
        <d v="2025-02-24T23:45:05"/>
        <d v="2025-02-02T04:14:56"/>
        <d v="2025-07-26T04:44:26"/>
        <d v="2025-02-11T19:25:12"/>
        <d v="2025-02-20T15:40:41"/>
        <d v="2025-04-20T16:19:19"/>
        <d v="2025-04-13T20:53:31"/>
        <d v="2025-08-09T19:39:05"/>
        <d v="2025-10-26T16:40:00"/>
        <d v="2025-10-05T14:30:00"/>
        <d v="2025-04-06T17:47:00"/>
        <d v="2025-04-01T15:14:59"/>
        <d v="2025-12-19T15:52:33"/>
        <d v="2025-01-04T13:51:00"/>
        <d v="2025-11-18T15:50:03"/>
        <d v="2025-03-14T20:34:45"/>
        <d v="2025-12-12T18:52:28"/>
        <d v="2025-05-05T13:01:42"/>
        <d v="2025-06-10T15:19:17"/>
        <d v="2025-09-16T04:25:25"/>
        <d v="2025-08-03T14:49:04"/>
        <d v="2025-04-27T14:03:45"/>
        <d v="2025-07-22T23:01:52"/>
        <d v="2025-09-24T18:28:32"/>
        <d v="2025-01-17T00:28:19"/>
        <d v="2025-01-06T18:25:41"/>
        <d v="2025-06-17T21:08:37"/>
        <d v="2025-02-18T19:57:32"/>
        <d v="2025-08-31T19:03:07"/>
        <d v="2025-03-20T13:54:45"/>
        <d v="2025-06-08T04:47:43"/>
        <d v="2025-03-14T17:17:11"/>
        <d v="2025-07-20T18:54:05"/>
        <d v="2025-02-12T23:21:32"/>
        <d v="2025-01-10T02:22:33"/>
        <d v="2025-01-19T12:04:13"/>
        <d v="2025-12-15T21:39:14"/>
        <d v="2025-02-22T04:29:25"/>
        <d v="2025-09-16T12:53:43"/>
        <d v="2025-01-25T18:36:15"/>
        <d v="2025-02-09T19:20:34"/>
        <d v="2025-07-05T19:34:30"/>
        <d v="2025-06-20T00:28:49"/>
        <d v="2025-12-14T11:23:18"/>
        <d v="2025-12-11T22:43:17"/>
        <d v="2025-10-12T11:23:41"/>
        <d v="2025-08-08T21:22:08"/>
        <d v="2025-06-16T10:41:58"/>
        <d v="2025-05-11T15:25:59"/>
        <d v="2025-12-13T00:31:50"/>
        <d v="2025-08-09T17:34:52"/>
        <d v="2025-08-01T11:11:05"/>
        <d v="2025-03-26T14:57:39"/>
        <d v="2025-01-18T12:52:20"/>
        <d v="2025-12-11T10:01:57"/>
        <d v="2025-04-26T05:12:21"/>
        <d v="2025-06-11T23:41:46"/>
        <d v="2025-02-11T12:31:25"/>
        <d v="2025-11-03T03:10:48"/>
        <d v="2025-01-11T18:35:37"/>
        <d v="2025-11-01T21:02:26"/>
        <d v="2025-02-22T04:11:18"/>
        <d v="2025-11-21T00:14:31"/>
        <d v="2025-09-25T04:50:59"/>
        <d v="2025-03-02T13:50:53"/>
        <d v="2025-07-26T11:16:53"/>
        <d v="2025-04-25T11:08:03"/>
        <d v="2025-03-08T04:25:49"/>
        <d v="2025-11-10T19:02:28"/>
        <d v="2025-05-28T12:03:42"/>
        <d v="2025-05-26T22:53:59"/>
        <d v="2025-03-04T12:02:30"/>
        <d v="2025-05-20T21:50:02"/>
        <d v="2025-11-16T01:37:56"/>
        <d v="2025-05-13T14:53:30"/>
        <d v="2025-12-15T09:43:52"/>
        <d v="2025-12-12T16:25:54"/>
        <d v="2025-02-23T04:12:37"/>
        <d v="2025-03-06T09:51:34"/>
        <d v="2025-11-11T17:26:25"/>
        <d v="2025-05-24T19:15:00"/>
        <d v="2025-01-02T20:25:28"/>
        <d v="2025-04-10T16:53:24"/>
        <d v="2025-08-07T15:20:53"/>
        <d v="2025-10-19T14:35:00"/>
        <d v="2025-02-18T14:44:03"/>
        <d v="2025-02-11T01:31:28"/>
        <d v="2025-12-03T16:30:00"/>
        <d v="2025-10-02T18:09:16"/>
        <d v="2025-08-04T20:18:08"/>
        <d v="2025-10-08T23:37:53"/>
        <d v="2025-06-06T17:52:48"/>
        <d v="2025-10-04T22:29:55"/>
        <d v="2025-05-16T06:00:56"/>
        <d v="2025-03-31T15:45:29"/>
        <d v="2025-09-24T11:33:48"/>
        <d v="2025-06-03T22:55:27"/>
        <d v="2025-12-25T22:41:59"/>
        <d v="2025-05-08T15:27:56"/>
        <d v="2025-12-03T22:44:18"/>
        <d v="2025-12-07T13:39:50"/>
        <d v="2025-03-30T19:58:13"/>
        <d v="2025-10-19T13:50:00"/>
        <d v="2025-06-08T14:57:56"/>
        <d v="2025-12-01T23:46:53"/>
        <d v="2025-06-14T20:45:21"/>
        <d v="2025-09-29T11:34:27"/>
        <d v="2025-06-20T21:22:19"/>
        <d v="2025-03-25T19:38:06"/>
        <d v="2025-03-15T03:27:28"/>
        <d v="2025-06-05T09:27:39"/>
        <d v="2025-10-03T19:52:55"/>
        <d v="2025-08-09T16:24:13"/>
        <d v="2025-09-09T18:00:26"/>
        <d v="2025-04-14T18:23:54"/>
        <d v="2025-06-25T16:08:57"/>
        <d v="2025-01-18T01:13:16"/>
        <d v="2025-10-26T20:11:49"/>
        <d v="2025-12-29T06:26:42"/>
        <d v="2025-05-29T16:44:08"/>
        <d v="2025-01-06T11:56:48"/>
        <d v="2025-03-04T20:27:45"/>
        <d v="2025-08-27T20:49:25"/>
        <d v="2025-08-13T05:34:42"/>
        <d v="2025-10-15T20:27:47"/>
        <d v="2025-04-03T13:54:20"/>
        <d v="2025-10-06T15:08:58"/>
        <d v="2025-09-09T12:54:19"/>
        <d v="2025-04-28T17:29:21"/>
        <d v="2025-07-19T10:45:00"/>
        <d v="2025-02-23T20:57:13"/>
        <d v="2025-06-15T17:00:41"/>
        <d v="2025-11-18T13:59:04"/>
        <d v="2025-06-03T10:43:26"/>
        <d v="2025-11-04T00:36:29"/>
        <d v="2025-08-04T03:49:49"/>
        <d v="2025-03-12T08:49:02"/>
        <d v="2025-08-01T13:37:53"/>
        <d v="2025-07-05T04:53:44"/>
        <d v="2025-05-27T00:20:07"/>
        <d v="2025-02-13T16:52:11"/>
        <d v="2025-06-03T08:27:08"/>
        <d v="2025-01-27T14:52:07"/>
        <d v="2025-02-06T21:25:00"/>
        <d v="2025-06-01T16:05:29"/>
        <d v="2025-04-22T09:53:44"/>
        <d v="2025-12-04T11:47:03"/>
        <d v="2025-05-18T16:05:15"/>
        <d v="2025-10-04T18:34:26"/>
        <d v="2025-07-13T18:17:06"/>
        <d v="2025-09-15T05:48:09"/>
        <d v="2025-04-05T16:28:21"/>
        <d v="2025-12-10T13:11:14"/>
        <d v="2025-07-13T15:07:05"/>
        <d v="2025-11-01T10:52:20"/>
        <d v="2025-05-15T01:16:08"/>
        <d v="2025-02-06T17:12:25"/>
        <d v="2025-09-04T00:27:36"/>
        <d v="2025-01-03T09:37:57"/>
        <d v="2025-06-24T01:50:51"/>
        <d v="2025-03-13T03:53:34"/>
        <d v="2025-08-17T07:36:36"/>
        <d v="2025-12-25T04:24:07"/>
        <d v="2025-06-19T15:28:00"/>
        <d v="2025-10-26T12:58:28"/>
        <d v="2025-07-05T23:37:02"/>
        <d v="2025-06-30T16:56:53"/>
        <d v="2025-12-06T10:40:14"/>
        <d v="2025-11-21T10:21:13"/>
        <d v="2025-10-14T15:19:27"/>
        <d v="2025-04-19T18:30:00"/>
        <d v="2025-07-18T15:29:08"/>
        <d v="2025-03-24T00:54:50"/>
        <d v="2025-06-12T14:43:28"/>
        <d v="2025-06-26T13:10:00"/>
        <d v="2025-10-31T07:02:23"/>
        <d v="2025-11-25T03:22:32"/>
        <d v="2025-06-02T06:23:45"/>
        <d v="2025-01-07T22:01:21"/>
        <d v="2025-11-11T13:27:41"/>
        <d v="2025-03-05T23:25:36"/>
        <d v="2025-08-16T00:05:53"/>
        <d v="2025-01-10T02:36:41"/>
        <d v="2025-05-27T01:02:53"/>
        <d v="2025-12-26T17:52:37"/>
        <d v="2025-02-06T11:19:38"/>
        <d v="2025-06-04T14:39:52"/>
        <d v="2025-04-23T19:49:04"/>
        <d v="2025-11-27T18:20:09"/>
        <d v="2025-11-14T11:13:51"/>
        <d v="2025-03-28T15:56:16"/>
        <d v="2025-01-30T16:00:00"/>
        <d v="2025-08-18T09:32:56"/>
        <d v="2025-05-03T20:32:08"/>
        <d v="2025-09-03T16:12:56"/>
        <d v="2025-01-12T18:55:32"/>
        <d v="2025-02-18T20:03:56"/>
        <d v="2025-09-08T22:56:44"/>
        <d v="2025-03-19T21:30:43"/>
        <d v="2025-11-10T16:30:36"/>
        <d v="2025-01-22T19:38:09"/>
        <d v="2025-03-21T02:57:23"/>
        <d v="2026-01-01T00:07:43"/>
        <d v="2025-06-08T09:57:23"/>
        <d v="2025-09-15T07:42:04"/>
        <d v="2025-03-08T20:03:32"/>
        <d v="2025-08-11T20:04:29"/>
        <d v="2025-09-23T21:55:11"/>
        <d v="2025-04-25T11:16:32"/>
        <d v="2025-10-30T08:52:26"/>
        <d v="2025-08-09T19:47:01"/>
        <d v="2025-05-23T21:33:00"/>
        <d v="2025-07-23T16:54:46"/>
        <d v="2025-07-30T14:01:41"/>
        <d v="2025-03-03T06:44:03"/>
        <d v="2025-05-27T12:25:27"/>
        <d v="2025-05-06T14:35:00"/>
        <d v="2025-05-27T07:43:41"/>
        <d v="2025-10-05T11:02:02"/>
        <d v="2025-06-26T19:32:35"/>
        <d v="2025-12-10T17:56:02"/>
        <d v="2025-04-18T10:45:00"/>
        <d v="2025-06-01T11:49:22"/>
        <d v="2025-10-15T08:40:00"/>
        <d v="2025-07-19T10:41:48"/>
        <d v="2025-07-19T23:07:58"/>
        <d v="2025-01-20T20:39:19"/>
        <d v="2025-05-26T17:49:56"/>
        <d v="2025-04-10T02:16:27"/>
        <d v="2025-12-31T18:47:29"/>
        <d v="2025-04-23T16:07:39"/>
        <d v="2025-11-19T10:40:59"/>
        <d v="2025-09-04T13:32:15"/>
        <d v="2025-05-06T08:10:43"/>
        <d v="2025-07-18T18:17:58"/>
        <d v="2025-11-04T01:26:51"/>
        <d v="2025-11-19T18:45:00"/>
        <d v="2025-03-01T04:34:55"/>
        <d v="2025-05-04T13:24:23"/>
        <d v="2025-05-03T22:03:27"/>
        <d v="2025-01-16T09:19:50"/>
        <d v="2025-08-08T02:58:45"/>
        <d v="2025-11-09T08:50:00"/>
        <d v="2025-05-20T20:48:02"/>
        <d v="2025-09-28T22:20:48"/>
        <d v="2025-08-18T17:23:38"/>
        <d v="2025-05-18T16:18:01"/>
        <d v="2025-02-22T11:26:43"/>
        <d v="2025-09-16T18:52:58"/>
        <d v="2025-11-08T17:58:00"/>
        <d v="2025-09-08T06:54:29"/>
        <d v="2025-01-07T20:19:35"/>
        <d v="2025-03-21T14:04:19"/>
        <d v="2025-01-26T18:55:15"/>
        <d v="2025-07-28T06:08:15"/>
        <d v="2025-10-04T18:28:51"/>
        <d v="2025-02-10T17:55:01"/>
        <d v="2025-11-02T07:10:00"/>
        <d v="2025-07-23T10:49:26"/>
        <d v="2025-09-09T19:36:23"/>
        <d v="2025-12-21T07:30:00"/>
        <d v="2025-02-01T14:01:43"/>
        <d v="2025-11-25T11:44:05"/>
        <d v="2025-02-16T14:41:37"/>
        <d v="2025-05-24T15:52:26"/>
        <d v="2025-11-07T16:17:02"/>
        <d v="2025-11-27T21:05:18"/>
        <d v="2025-07-04T22:15:47"/>
        <d v="2025-08-05T10:10:00"/>
        <d v="2025-09-16T13:28:22"/>
        <d v="2025-10-31T05:03:26"/>
        <d v="2025-02-14T15:57:22"/>
        <d v="2025-10-24T00:23:34"/>
        <d v="2025-06-25T11:55:00"/>
        <d v="2025-06-14T16:24:36"/>
        <d v="2025-06-04T08:17:37"/>
        <d v="2025-07-05T14:59:37"/>
        <d v="2025-12-11T16:49:07"/>
        <d v="2025-07-20T19:26:57"/>
        <d v="2025-12-15T07:34:47"/>
        <d v="2025-03-07T12:49:19"/>
        <d v="2025-09-23T00:51:06"/>
        <d v="2025-10-24T17:05:45"/>
        <d v="2025-09-05T21:46:30"/>
        <d v="2025-08-10T19:58:08"/>
        <d v="2025-07-26T20:33:42"/>
        <d v="2025-11-11T18:50:00"/>
        <d v="2025-10-27T22:42:05"/>
        <d v="2025-02-15T03:43:25"/>
        <d v="2025-11-06T20:29:02"/>
        <d v="2025-06-01T21:38:43"/>
        <d v="2025-04-03T11:09:06"/>
        <d v="2025-11-15T01:33:53"/>
        <d v="2025-06-08T00:49:01"/>
        <d v="2025-10-23T14:30:11"/>
        <d v="2025-04-07T20:48:32"/>
        <d v="2025-01-02T23:40:41"/>
        <d v="2025-06-30T18:55:02"/>
        <d v="2025-02-06T19:29:39"/>
        <d v="2025-10-03T16:55:11"/>
        <d v="2025-04-12T00:01:19"/>
        <d v="2025-06-11T20:29:28"/>
        <d v="2025-02-01T09:20:00"/>
        <d v="2025-04-15T09:09:55"/>
        <d v="2025-10-13T18:53:55"/>
        <d v="2025-02-25T15:56:21"/>
        <d v="2025-08-25T17:07:26"/>
        <d v="2025-12-01T22:55:21"/>
        <d v="2025-09-06T12:30:00"/>
        <d v="2025-10-24T15:19:51"/>
        <d v="2025-02-09T21:39:32"/>
        <d v="2025-04-03T02:02:53"/>
        <d v="2025-11-23T18:35:00"/>
        <d v="2025-09-19T16:25:35"/>
        <d v="2025-08-23T01:35:43"/>
        <d v="2025-08-31T14:48:08"/>
        <d v="2025-06-01T10:50:35"/>
        <d v="2025-01-17T21:08:20"/>
        <d v="2025-10-15T02:50:59"/>
        <d v="2025-09-05T22:36:39"/>
        <d v="2025-06-23T03:55:24"/>
        <d v="2025-11-25T20:10:48"/>
        <d v="2025-05-03T17:42:57"/>
        <d v="2025-04-18T13:37:32"/>
        <d v="2025-11-15T12:44:46"/>
        <d v="2025-10-18T05:19:07"/>
        <d v="2025-07-07T20:03:25"/>
        <d v="2025-02-17T19:00:26"/>
        <d v="2025-03-20T15:10:01"/>
        <d v="2025-08-28T14:50:36"/>
        <d v="2025-05-21T08:47:24"/>
        <d v="2025-11-02T19:11:59"/>
        <d v="2025-12-13T15:18:10"/>
        <d v="2025-10-22T16:12:00"/>
        <d v="2025-05-18T23:46:48"/>
        <d v="2025-10-15T20:06:33"/>
        <d v="2025-05-09T21:26:34"/>
        <d v="2025-03-03T05:13:02"/>
        <d v="2025-01-14T01:13:08"/>
        <d v="2025-05-22T06:22:46"/>
        <d v="2025-11-26T18:09:48"/>
        <d v="2025-03-29T07:56:53"/>
        <d v="2025-03-17T20:23:05"/>
        <d v="2025-12-20T09:30:00"/>
        <d v="2025-01-11T11:05:09"/>
        <d v="2025-10-15T00:01:41"/>
        <d v="2025-04-28T22:03:23"/>
        <d v="2025-01-15T03:50:33"/>
        <d v="2025-12-01T12:07:12"/>
        <d v="2025-02-20T19:27:04"/>
        <d v="2025-07-21T18:54:13"/>
        <d v="2025-04-11T16:37:14"/>
        <d v="2025-01-25T00:35:04"/>
        <d v="2025-01-19T18:29:25"/>
        <d v="2025-02-12T13:46:32"/>
        <d v="2025-01-27T14:49:04"/>
        <d v="2025-10-05T17:24:16"/>
        <d v="2025-06-28T07:32:26"/>
        <d v="2025-05-06T13:35:53"/>
        <d v="2025-06-02T22:15:25"/>
        <d v="2025-12-06T13:12:45"/>
        <d v="2025-11-29T12:56:37"/>
        <d v="2025-09-19T04:25:16"/>
        <d v="2025-11-19T18:29:32"/>
        <d v="2025-04-27T21:13:53"/>
        <d v="2025-05-20T16:41:30"/>
        <d v="2025-08-14T07:04:42"/>
        <d v="2025-08-16T18:11:18"/>
        <d v="2025-06-25T18:32:44"/>
        <d v="2025-05-27T17:31:50"/>
        <d v="2025-12-26T16:45:18"/>
        <d v="2025-10-27T21:52:16"/>
        <d v="2025-06-08T20:59:38"/>
        <d v="2025-09-24T01:44:35"/>
        <d v="2025-04-09T16:00:31"/>
        <d v="2025-02-06T20:11:43"/>
        <d v="2025-05-09T17:02:32"/>
        <d v="2025-05-28T17:27:58"/>
        <d v="2025-01-07T22:49:10"/>
        <d v="2025-10-26T03:05:49"/>
        <d v="2025-05-12T17:14:02"/>
        <d v="2025-07-31T10:04:33"/>
        <d v="2025-01-27T12:36:56"/>
        <d v="2025-03-05T17:39:57"/>
        <d v="2025-11-21T10:40:30"/>
        <d v="2025-08-11T14:04:10"/>
        <d v="2025-12-14T07:52:13"/>
        <d v="2025-12-31T09:30:51"/>
        <d v="2025-05-16T21:10:54"/>
        <d v="2025-04-20T23:16:22"/>
        <d v="2025-11-10T12:50:47"/>
        <d v="2025-12-31T12:30:00"/>
        <d v="2025-08-18T22:29:56"/>
        <d v="2025-10-18T19:14:58"/>
        <d v="2025-10-13T18:37:47"/>
        <d v="2025-05-10T17:42:40"/>
        <d v="2025-07-29T16:25:00"/>
        <d v="2025-11-01T18:37:36"/>
        <d v="2025-09-09T16:35:40"/>
        <d v="2025-01-08T16:01:45"/>
        <d v="2025-05-03T12:04:08"/>
        <d v="2025-02-22T14:40:09"/>
        <d v="2025-03-27T15:36:32"/>
        <d v="2025-11-27T07:00:00"/>
        <d v="2025-01-14T09:50:21"/>
        <d v="2025-03-22T20:06:06"/>
        <d v="2025-04-24T02:14:50"/>
        <d v="2025-08-14T19:25:00"/>
        <d v="2025-07-14T17:59:30"/>
        <d v="2025-03-21T11:06:21"/>
        <d v="2025-03-01T20:35:58"/>
        <d v="2025-03-28T19:40:47"/>
        <d v="2025-07-03T16:09:37"/>
        <d v="2025-04-09T18:47:09"/>
      </sharedItems>
      <fieldGroup par="61"/>
    </cacheField>
    <cacheField name="actual_delivery_datetime" numFmtId="22">
      <sharedItems containsSemiMixedTypes="0" containsNonDate="0" containsDate="1" containsString="0" minDate="2025-01-01T19:29:54" maxDate="2025-12-31T23:51:43" count="999">
        <d v="2025-06-10T22:19:16"/>
        <d v="2025-04-19T15:28:09"/>
        <d v="2025-06-16T04:53:03"/>
        <d v="2025-01-26T17:08:27"/>
        <d v="2025-10-19T12:27:58"/>
        <d v="2025-03-30T21:42:44"/>
        <d v="2025-09-22T15:33:19"/>
        <d v="2025-01-25T19:58:30"/>
        <d v="2025-12-16T04:44:44"/>
        <d v="2025-03-12T22:47:00"/>
        <d v="2025-11-19T14:16:58"/>
        <d v="2025-10-23T14:22:02"/>
        <d v="2025-12-21T00:33:36"/>
        <d v="2025-06-25T02:22:44"/>
        <d v="2025-09-24T01:26:57"/>
        <d v="2025-05-16T13:33:09"/>
        <d v="2025-03-10T05:08:38"/>
        <d v="2025-06-11T18:43:27"/>
        <d v="2025-03-02T12:52:08"/>
        <d v="2025-12-25T17:13:20"/>
        <d v="2025-02-05T10:56:57"/>
        <d v="2025-08-04T17:08:29"/>
        <d v="2025-08-18T01:29:49"/>
        <d v="2025-07-17T01:25:41"/>
        <d v="2025-08-30T12:50:30"/>
        <d v="2025-02-12T17:48:27"/>
        <d v="2025-07-23T02:05:37"/>
        <d v="2025-04-15T12:07:28"/>
        <d v="2025-12-11T01:44:53"/>
        <d v="2025-10-06T13:35:38"/>
        <d v="2025-12-21T22:27:54"/>
        <d v="2025-01-14T18:03:26"/>
        <d v="2025-04-15T07:43:20"/>
        <d v="2025-03-14T00:48:51"/>
        <d v="2025-01-05T19:37:38"/>
        <d v="2025-03-30T22:10:39"/>
        <d v="2025-09-05T12:29:14"/>
        <d v="2025-03-27T05:21:48"/>
        <d v="2025-07-05T16:46:18"/>
        <d v="2025-11-21T14:42:11"/>
        <d v="2025-09-11T19:38:59"/>
        <d v="2025-05-25T19:49:11"/>
        <d v="2025-05-16T12:32:50"/>
        <d v="2025-06-16T17:53:53"/>
        <d v="2025-03-06T09:05:39"/>
        <d v="2025-08-20T10:13:09"/>
        <d v="2025-05-13T17:56:00"/>
        <d v="2025-11-08T15:02:13"/>
        <d v="2025-10-04T11:30:46"/>
        <d v="2025-08-11T17:10:34"/>
        <d v="2025-05-13T19:12:55"/>
        <d v="2025-03-19T11:17:24"/>
        <d v="2025-10-11T18:57:34"/>
        <d v="2025-06-27T16:03:00"/>
        <d v="2025-03-24T20:43:00"/>
        <d v="2025-03-13T12:00:55"/>
        <d v="2025-03-02T10:59:20"/>
        <d v="2025-10-11T14:00:15"/>
        <d v="2025-03-25T12:48:26"/>
        <d v="2025-07-13T02:23:41"/>
        <d v="2025-06-14T18:23:19"/>
        <d v="2025-07-31T15:05:46"/>
        <d v="2025-11-17T05:54:29"/>
        <d v="2025-11-13T01:49:00"/>
        <d v="2025-06-14T06:40:54"/>
        <d v="2025-01-06T10:11:42"/>
        <d v="2025-06-05T14:12:01"/>
        <d v="2025-08-10T17:45:25"/>
        <d v="2025-07-23T20:04:02"/>
        <d v="2025-08-26T11:09:20"/>
        <d v="2025-02-27T00:12:36"/>
        <d v="2025-08-24T20:36:58"/>
        <d v="2025-03-08T19:58:04"/>
        <d v="2025-10-02T00:19:36"/>
        <d v="2025-05-04T23:17:53"/>
        <d v="2025-09-17T18:26:06"/>
        <d v="2025-01-18T20:16:16"/>
        <d v="2025-05-29T15:52:33"/>
        <d v="2025-09-15T17:28:25"/>
        <d v="2025-03-25T05:13:27"/>
        <d v="2025-10-18T14:48:06"/>
        <d v="2025-08-19T22:03:44"/>
        <d v="2025-08-03T14:40:07"/>
        <d v="2025-05-10T06:33:01"/>
        <d v="2025-06-26T13:28:15"/>
        <d v="2025-08-07T02:48:33"/>
        <d v="2025-06-22T09:02:47"/>
        <d v="2025-09-12T09:42:50"/>
        <d v="2025-06-08T11:53:43"/>
        <d v="2025-03-15T12:13:16"/>
        <d v="2025-03-21T12:57:29"/>
        <d v="2025-01-03T07:32:00"/>
        <d v="2025-04-20T23:44:04"/>
        <d v="2025-10-01T19:04:29"/>
        <d v="2025-10-18T01:35:25"/>
        <d v="2025-03-15T18:17:23"/>
        <d v="2025-12-17T10:45:19"/>
        <d v="2025-07-03T19:17:44"/>
        <d v="2025-12-01T18:23:28"/>
        <d v="2025-09-15T23:34:54"/>
        <d v="2025-09-21T20:21:03"/>
        <d v="2025-02-01T23:24:20"/>
        <d v="2025-03-22T23:23:55"/>
        <d v="2025-01-04T19:17:45"/>
        <d v="2025-09-19T12:55:00"/>
        <d v="2025-05-06T21:53:35"/>
        <d v="2025-10-16T06:53:42"/>
        <d v="2025-05-04T07:05:10"/>
        <d v="2025-10-27T19:16:00"/>
        <d v="2025-02-17T21:28:24"/>
        <d v="2025-03-05T17:09:16"/>
        <d v="2025-05-06T04:15:27"/>
        <d v="2025-05-30T12:25:58"/>
        <d v="2025-05-08T18:23:39"/>
        <d v="2025-10-06T09:29:00"/>
        <d v="2025-02-05T18:25:14"/>
        <d v="2025-05-09T18:18:25"/>
        <d v="2025-11-02T13:39:58"/>
        <d v="2025-01-25T16:11:09"/>
        <d v="2025-12-11T16:43:13"/>
        <d v="2025-12-28T02:20:10"/>
        <d v="2025-02-02T15:25:48"/>
        <d v="2025-04-17T21:29:49"/>
        <d v="2025-05-16T08:14:24"/>
        <d v="2025-10-11T02:59:41"/>
        <d v="2025-08-06T07:22:00"/>
        <d v="2025-08-25T01:14:44"/>
        <d v="2025-10-05T02:09:08"/>
        <d v="2025-02-13T16:06:06"/>
        <d v="2025-11-01T14:04:36"/>
        <d v="2025-09-15T19:35:09"/>
        <d v="2025-07-30T22:51:29"/>
        <d v="2025-11-21T23:09:06"/>
        <d v="2025-09-13T12:45:46"/>
        <d v="2025-03-15T18:38:42"/>
        <d v="2025-06-06T09:27:00"/>
        <d v="2025-06-30T21:10:16"/>
        <d v="2025-01-22T09:29:21"/>
        <d v="2025-12-15T15:59:33"/>
        <d v="2025-02-16T18:40:06"/>
        <d v="2025-09-12T21:59:52"/>
        <d v="2025-07-04T14:04:37"/>
        <d v="2025-01-10T20:18:59"/>
        <d v="2025-12-04T22:12:04"/>
        <d v="2025-11-07T11:43:09"/>
        <d v="2025-07-11T08:21:20"/>
        <d v="2025-03-25T14:05:26"/>
        <d v="2025-02-14T22:54:40"/>
        <d v="2025-05-13T22:13:53"/>
        <d v="2025-04-05T01:21:25"/>
        <d v="2025-07-04T22:57:20"/>
        <d v="2025-12-19T08:48:00"/>
        <d v="2025-07-29T18:33:42"/>
        <d v="2025-11-21T18:27:01"/>
        <d v="2025-08-26T23:08:15"/>
        <d v="2025-06-23T08:35:39"/>
        <d v="2025-11-08T16:48:25"/>
        <d v="2025-06-22T19:28:02"/>
        <d v="2025-11-14T22:15:58"/>
        <d v="2025-04-18T01:53:12"/>
        <d v="2025-02-17T22:47:00"/>
        <d v="2025-11-09T10:45:40"/>
        <d v="2025-08-04T09:20:23"/>
        <d v="2025-11-21T23:44:19"/>
        <d v="2025-12-09T12:06:47"/>
        <d v="2025-01-21T00:32:05"/>
        <d v="2025-07-02T23:41:34"/>
        <d v="2025-05-18T01:20:53"/>
        <d v="2025-08-18T02:19:46"/>
        <d v="2025-10-18T08:41:21"/>
        <d v="2025-04-13T16:35:11"/>
        <d v="2025-07-23T12:14:33"/>
        <d v="2025-09-16T13:21:24"/>
        <d v="2025-02-19T12:23:00"/>
        <d v="2025-10-25T18:12:00"/>
        <d v="2025-08-10T19:49:30"/>
        <d v="2025-12-14T01:24:43"/>
        <d v="2025-05-04T10:45:04"/>
        <d v="2025-02-10T02:23:52"/>
        <d v="2025-07-05T03:06:28"/>
        <d v="2025-02-01T17:14:25"/>
        <d v="2025-12-20T15:22:39"/>
        <d v="2025-01-15T11:03:54"/>
        <d v="2025-10-03T07:57:09"/>
        <d v="2025-07-12T04:04:46"/>
        <d v="2025-05-15T17:53:53"/>
        <d v="2025-01-26T09:26:58"/>
        <d v="2025-08-16T14:06:00"/>
        <d v="2025-08-02T14:36:34"/>
        <d v="2025-04-13T16:50:00"/>
        <d v="2025-11-30T06:09:44"/>
        <d v="2025-04-22T22:33:08"/>
        <d v="2025-06-14T18:04:00"/>
        <d v="2025-07-18T14:22:10"/>
        <d v="2025-02-06T22:19:02"/>
        <d v="2025-12-07T21:03:05"/>
        <d v="2025-05-17T16:59:31"/>
        <d v="2025-01-30T11:54:56"/>
        <d v="2025-05-22T09:23:48"/>
        <d v="2025-08-08T12:36:49"/>
        <d v="2025-07-07T22:31:11"/>
        <d v="2025-09-11T18:10:39"/>
        <d v="2025-01-21T15:42:29"/>
        <d v="2025-04-14T16:01:00"/>
        <d v="2025-10-27T15:49:57"/>
        <d v="2025-01-30T13:28:00"/>
        <d v="2025-11-09T22:10:55"/>
        <d v="2025-02-03T09:30:01"/>
        <d v="2025-11-02T00:43:32"/>
        <d v="2025-05-12T21:54:00"/>
        <d v="2025-08-12T09:28:26"/>
        <d v="2025-02-25T08:53:00"/>
        <d v="2025-01-25T04:30:09"/>
        <d v="2025-03-21T00:08:41"/>
        <d v="2025-02-16T15:43:17"/>
        <d v="2025-04-25T16:12:36"/>
        <d v="2025-07-07T12:14:44"/>
        <d v="2025-08-04T09:02:52"/>
        <d v="2025-10-16T22:17:37"/>
        <d v="2025-08-28T20:12:36"/>
        <d v="2025-08-11T22:13:34"/>
        <d v="2025-05-31T20:55:52"/>
        <d v="2025-06-22T22:26:31"/>
        <d v="2025-06-01T12:37:21"/>
        <d v="2025-11-04T15:05:09"/>
        <d v="2025-03-25T13:07:10"/>
        <d v="2025-01-04T01:56:58"/>
        <d v="2025-08-27T01:12:57"/>
        <d v="2025-03-15T14:21:13"/>
        <d v="2025-11-11T00:40:33"/>
        <d v="2025-01-29T23:41:44"/>
        <d v="2025-02-08T21:06:33"/>
        <d v="2025-07-01T04:15:02"/>
        <d v="2025-08-11T09:57:31"/>
        <d v="2025-04-11T21:42:15"/>
        <d v="2025-09-19T21:26:55"/>
        <d v="2025-08-06T10:13:57"/>
        <d v="2025-04-29T13:14:06"/>
        <d v="2025-01-11T05:20:18"/>
        <d v="2025-10-01T11:42:41"/>
        <d v="2025-03-21T02:13:48"/>
        <d v="2025-11-01T09:43:43"/>
        <d v="2025-06-03T04:16:13"/>
        <d v="2025-07-30T11:47:00"/>
        <d v="2025-11-16T01:33:44"/>
        <d v="2025-11-12T21:11:22"/>
        <d v="2025-05-16T14:35:25"/>
        <d v="2025-03-18T05:32:00"/>
        <d v="2025-10-10T13:55:06"/>
        <d v="2025-06-08T15:21:54"/>
        <d v="2025-03-12T12:10:21"/>
        <d v="2025-11-27T20:01:08"/>
        <d v="2025-03-15T06:44:13"/>
        <d v="2025-01-10T14:29:55"/>
        <d v="2025-01-08T16:03:18"/>
        <d v="2025-08-16T13:46:29"/>
        <d v="2025-08-30T10:09:17"/>
        <d v="2025-04-24T14:52:44"/>
        <d v="2025-04-28T11:56:21"/>
        <d v="2025-05-04T21:56:27"/>
        <d v="2025-09-07T02:48:31"/>
        <d v="2025-01-22T14:28:52"/>
        <d v="2025-12-06T22:41:06"/>
        <d v="2025-03-24T06:47:00"/>
        <d v="2025-12-31T18:59:28"/>
        <d v="2025-03-05T04:12:52"/>
        <d v="2025-10-09T17:13:38"/>
        <d v="2025-03-23T04:37:00"/>
        <d v="2025-01-30T19:53:33"/>
        <d v="2025-11-16T20:30:37"/>
        <d v="2025-11-10T21:58:18"/>
        <d v="2025-05-29T02:14:32"/>
        <d v="2025-09-15T04:00:38"/>
        <d v="2025-07-23T20:28:17"/>
        <d v="2025-11-09T06:49:01"/>
        <d v="2025-04-26T00:24:49"/>
        <d v="2025-07-11T22:44:59"/>
        <d v="2025-06-27T12:44:20"/>
        <d v="2025-05-10T08:20:23"/>
        <d v="2025-11-22T17:50:30"/>
        <d v="2025-03-02T18:22:05"/>
        <d v="2025-02-25T04:45:35"/>
        <d v="2025-07-30T15:34:43"/>
        <d v="2025-08-28T14:37:33"/>
        <d v="2025-03-13T19:03:00"/>
        <d v="2025-05-23T08:14:00"/>
        <d v="2025-12-12T13:08:49"/>
        <d v="2025-04-01T17:19:28"/>
        <d v="2025-09-01T15:46:00"/>
        <d v="2025-09-28T11:22:48"/>
        <d v="2025-06-13T19:52:19"/>
        <d v="2025-12-09T19:52:29"/>
        <d v="2025-09-27T10:44:57"/>
        <d v="2025-06-17T23:28:58"/>
        <d v="2025-07-27T13:44:00"/>
        <d v="2025-09-10T15:56:48"/>
        <d v="2025-08-05T11:45:59"/>
        <d v="2025-11-17T19:54:23"/>
        <d v="2025-05-11T19:07:51"/>
        <d v="2025-04-20T15:37:15"/>
        <d v="2025-03-20T22:20:15"/>
        <d v="2025-01-14T10:50:10"/>
        <d v="2025-01-16T20:49:53"/>
        <d v="2025-11-14T20:06:02"/>
        <d v="2025-09-06T04:48:00"/>
        <d v="2025-08-30T13:40:45"/>
        <d v="2025-08-13T10:56:30"/>
        <d v="2025-11-07T04:05:20"/>
        <d v="2025-06-25T14:36:12"/>
        <d v="2025-11-14T21:29:18"/>
        <d v="2025-05-12T09:15:47"/>
        <d v="2025-12-05T23:36:02"/>
        <d v="2025-09-14T14:17:37"/>
        <d v="2025-04-04T20:02:08"/>
        <d v="2025-07-26T00:24:57"/>
        <d v="2025-07-15T06:01:10"/>
        <d v="2025-02-20T13:19:51"/>
        <d v="2025-08-04T13:18:23"/>
        <d v="2025-04-25T20:05:24"/>
        <d v="2025-01-20T16:18:01"/>
        <d v="2025-12-14T00:26:34"/>
        <d v="2025-08-23T13:16:17"/>
        <d v="2025-11-18T02:59:04"/>
        <d v="2025-09-04T18:35:14"/>
        <d v="2025-05-12T01:10:32"/>
        <d v="2025-07-08T01:15:41"/>
        <d v="2025-09-04T13:02:01"/>
        <d v="2025-12-18T01:58:38"/>
        <d v="2025-04-03T18:04:00"/>
        <d v="2025-11-16T12:42:49"/>
        <d v="2025-12-04T18:46:00"/>
        <d v="2025-09-02T04:52:00"/>
        <d v="2025-12-06T19:43:16"/>
        <d v="2025-05-26T10:36:26"/>
        <d v="2025-12-14T06:30:43"/>
        <d v="2025-09-14T14:54:42"/>
        <d v="2025-01-16T17:35:43"/>
        <d v="2025-11-28T20:57:38"/>
        <d v="2025-06-27T00:19:10"/>
        <d v="2025-06-18T22:15:33"/>
        <d v="2025-07-26T07:23:49"/>
        <d v="2025-02-25T01:47:34"/>
        <d v="2025-06-21T15:20:59"/>
        <d v="2025-11-01T04:00:51"/>
        <d v="2025-01-06T14:26:34"/>
        <d v="2025-04-10T13:08:08"/>
        <d v="2025-01-01T19:29:54"/>
        <d v="2025-06-01T23:33:41"/>
        <d v="2025-09-23T23:06:42"/>
        <d v="2025-10-20T00:51:40"/>
        <d v="2025-12-11T20:34:54"/>
        <d v="2025-08-11T10:22:26"/>
        <d v="2025-04-03T23:47:32"/>
        <d v="2025-12-04T22:39:18"/>
        <d v="2025-10-10T10:48:47"/>
        <d v="2025-07-29T17:43:53"/>
        <d v="2025-09-11T16:02:45"/>
        <d v="2025-12-05T02:37:38"/>
        <d v="2025-09-18T15:12:10"/>
        <d v="2025-05-15T20:50:01"/>
        <d v="2025-09-18T08:49:54"/>
        <d v="2025-01-15T16:16:42"/>
        <d v="2025-05-22T22:50:29"/>
        <d v="2025-05-30T09:27:41"/>
        <d v="2025-03-02T14:04:28"/>
        <d v="2025-01-09T15:04:48"/>
        <d v="2025-02-18T11:37:37"/>
        <d v="2025-08-27T17:18:57"/>
        <d v="2025-10-20T20:23:15"/>
        <d v="2025-12-27T22:18:03"/>
        <d v="2025-05-08T06:51:56"/>
        <d v="2025-08-08T02:42:04"/>
        <d v="2025-12-09T17:03:39"/>
        <d v="2025-03-02T13:41:48"/>
        <d v="2025-09-19T14:07:12"/>
        <d v="2025-10-04T08:07:46"/>
        <d v="2025-02-02T21:50:10"/>
        <d v="2025-11-11T20:57:19"/>
        <d v="2025-10-24T18:33:15"/>
        <d v="2025-01-14T08:47:01"/>
        <d v="2025-02-03T17:02:23"/>
        <d v="2025-01-18T14:17:23"/>
        <d v="2025-05-04T01:57:01"/>
        <d v="2025-07-05T21:07:00"/>
        <d v="2025-07-14T13:53:19"/>
        <d v="2025-04-09T11:54:48"/>
        <d v="2025-11-30T03:49:24"/>
        <d v="2025-05-15T16:15:09"/>
        <d v="2025-01-17T23:07:03"/>
        <d v="2025-04-20T20:05:59"/>
        <d v="2025-07-14T08:09:02"/>
        <d v="2025-05-30T14:08:22"/>
        <d v="2025-04-10T20:02:31"/>
        <d v="2025-02-17T05:32:11"/>
        <d v="2025-10-27T00:06:27"/>
        <d v="2025-12-30T16:01:21"/>
        <d v="2025-05-01T19:44:52"/>
        <d v="2025-05-20T04:51:27"/>
        <d v="2025-08-14T15:28:49"/>
        <d v="2025-09-20T03:36:53"/>
        <d v="2025-05-24T11:34:48"/>
        <d v="2025-11-27T19:57:51"/>
        <d v="2025-07-25T03:59:58"/>
        <d v="2025-06-14T19:10:37"/>
        <d v="2025-08-25T16:35:12"/>
        <d v="2025-12-14T14:05:59"/>
        <d v="2025-10-18T11:02:00"/>
        <d v="2025-01-15T13:14:22"/>
        <d v="2025-05-03T01:09:20"/>
        <d v="2025-06-21T15:37:21"/>
        <d v="2025-04-25T13:54:34"/>
        <d v="2025-09-13T12:50:15"/>
        <d v="2025-10-29T23:30:12"/>
        <d v="2025-09-25T03:20:44"/>
        <d v="2025-12-28T20:08:20"/>
        <d v="2025-04-10T15:56:02"/>
        <d v="2025-11-16T17:49:44"/>
        <d v="2025-10-08T00:15:44"/>
        <d v="2025-05-13T22:40:38"/>
        <d v="2025-09-25T08:30:09"/>
        <d v="2025-02-07T18:39:48"/>
        <d v="2025-10-16T17:07:51"/>
        <d v="2025-07-14T18:44:01"/>
        <d v="2025-04-17T16:47:02"/>
        <d v="2025-08-28T16:31:45"/>
        <d v="2025-08-23T20:47:37"/>
        <d v="2025-03-18T17:11:51"/>
        <d v="2025-01-12T16:53:25"/>
        <d v="2025-06-08T20:06:39"/>
        <d v="2025-07-28T00:59:58"/>
        <d v="2025-11-16T10:07:41"/>
        <d v="2025-12-05T15:21:33"/>
        <d v="2025-07-14T09:20:17"/>
        <d v="2025-10-04T02:31:45"/>
        <d v="2025-06-11T01:43:12"/>
        <d v="2025-09-30T21:20:21"/>
        <d v="2025-03-16T16:00:01"/>
        <d v="2025-05-16T23:55:02"/>
        <d v="2025-08-21T11:58:14"/>
        <d v="2025-01-07T12:06:04"/>
        <d v="2025-09-22T14:37:30"/>
        <d v="2025-11-01T13:42:56"/>
        <d v="2025-05-27T04:54:31"/>
        <d v="2025-06-14T03:36:40"/>
        <d v="2025-11-08T09:02:06"/>
        <d v="2025-10-11T16:53:31"/>
        <d v="2025-04-16T17:37:54"/>
        <d v="2025-04-29T14:56:28"/>
        <d v="2025-09-05T12:19:13"/>
        <d v="2025-07-25T11:33:22"/>
        <d v="2025-03-01T13:23:00"/>
        <d v="2025-04-24T22:41:51"/>
        <d v="2025-11-25T17:21:55"/>
        <d v="2025-09-09T11:50:29"/>
        <d v="2025-12-26T21:04:11"/>
        <d v="2025-10-07T14:12:36"/>
        <d v="2025-12-11T00:37:27"/>
        <d v="2025-03-21T13:58:33"/>
        <d v="2025-10-09T09:45:15"/>
        <d v="2025-01-08T21:52:43"/>
        <d v="2025-09-02T20:27:15"/>
        <d v="2025-06-21T10:52:11"/>
        <d v="2025-05-07T06:41:44"/>
        <d v="2025-11-11T14:25:54"/>
        <d v="2025-11-08T13:44:45"/>
        <d v="2025-01-09T21:18:58"/>
        <d v="2025-08-11T14:53:54"/>
        <d v="2025-05-15T09:05:00"/>
        <d v="2025-06-01T20:13:26"/>
        <d v="2025-10-31T13:35:00"/>
        <d v="2025-04-24T09:33:00"/>
        <d v="2025-12-11T17:27:03"/>
        <d v="2025-03-07T05:06:33"/>
        <d v="2025-08-30T22:28:16"/>
        <d v="2025-09-03T14:19:10"/>
        <d v="2025-04-04T07:20:14"/>
        <d v="2025-04-30T00:44:30"/>
        <d v="2025-11-01T21:11:46"/>
        <d v="2025-10-06T10:53:07"/>
        <d v="2025-05-02T08:13:42"/>
        <d v="2025-07-14T20:25:10"/>
        <d v="2025-01-24T05:55:38"/>
        <d v="2025-03-18T16:40:00"/>
        <d v="2025-06-27T16:59:43"/>
        <d v="2025-02-01T13:54:25"/>
        <d v="2025-11-04T20:04:17"/>
        <d v="2025-09-21T00:07:35"/>
        <d v="2025-12-11T05:35:00"/>
        <d v="2025-09-11T22:48:00"/>
        <d v="2025-12-10T19:28:24"/>
        <d v="2025-07-22T17:11:17"/>
        <d v="2025-08-08T07:35:38"/>
        <d v="2025-12-23T21:00:19"/>
        <d v="2025-08-23T14:53:17"/>
        <d v="2025-01-12T08:36:30"/>
        <d v="2025-09-22T14:34:14"/>
        <d v="2025-11-27T23:12:31"/>
        <d v="2025-10-18T11:13:00"/>
        <d v="2025-08-02T23:01:06"/>
        <d v="2025-09-03T09:09:39"/>
        <d v="2025-12-28T22:48:03"/>
        <d v="2025-02-04T01:16:35"/>
        <d v="2025-09-01T13:50:24"/>
        <d v="2025-04-15T00:26:15"/>
        <d v="2025-08-22T16:43:53"/>
        <d v="2025-08-11T03:43:25"/>
        <d v="2025-02-26T19:25:00"/>
        <d v="2025-03-18T08:10:57"/>
        <d v="2025-08-15T21:24:47"/>
        <d v="2025-02-16T15:27:37"/>
        <d v="2025-04-07T12:25:57"/>
        <d v="2025-11-02T00:25:57"/>
        <d v="2025-05-01T02:43:57"/>
        <d v="2025-06-28T13:35:26"/>
        <d v="2025-12-10T21:18:22"/>
        <d v="2025-03-25T01:46:02"/>
        <d v="2025-05-23T17:54:44"/>
        <d v="2025-08-10T10:18:47"/>
        <d v="2025-10-03T19:58:20"/>
        <d v="2025-11-26T14:30:09"/>
        <d v="2025-12-01T02:21:00"/>
        <d v="2025-10-12T00:18:45"/>
        <d v="2025-03-25T19:38:44"/>
        <d v="2025-01-10T19:14:10"/>
        <d v="2025-05-21T15:06:22"/>
        <d v="2025-02-22T05:57:58"/>
        <d v="2025-09-18T00:05:52"/>
        <d v="2025-08-31T00:24:00"/>
        <d v="2025-01-18T04:40:30"/>
        <d v="2025-11-02T17:27:07"/>
        <d v="2025-04-01T14:35:17"/>
        <d v="2025-06-07T20:40:40"/>
        <d v="2025-09-02T04:42:43"/>
        <d v="2025-06-06T16:52:47"/>
        <d v="2025-06-11T11:25:00"/>
        <d v="2025-01-24T03:22:03"/>
        <d v="2025-05-27T13:14:04"/>
        <d v="2025-10-07T15:30:56"/>
        <d v="2025-12-01T15:12:41"/>
        <d v="2025-06-01T04:22:22"/>
        <d v="2025-06-05T02:28:29"/>
        <d v="2025-09-14T13:59:57"/>
        <d v="2025-12-12T07:35:31"/>
        <d v="2025-04-08T17:10:37"/>
        <d v="2025-06-10T14:12:09"/>
        <d v="2025-10-18T16:39:27"/>
        <d v="2025-08-11T23:56:00"/>
        <d v="2025-02-11T03:55:40"/>
        <d v="2025-08-18T12:52:00"/>
        <d v="2025-03-10T20:58:54"/>
        <d v="2025-07-06T23:04:47"/>
        <d v="2025-07-13T18:39:14"/>
        <d v="2025-11-17T02:11:00"/>
        <d v="2025-06-18T10:54:07"/>
        <d v="2025-04-13T03:16:49"/>
        <d v="2025-03-26T11:57:25"/>
        <d v="2025-11-16T06:56:54"/>
        <d v="2025-03-05T00:37:34"/>
        <d v="2025-06-06T11:53:11"/>
        <d v="2025-03-10T09:18:41"/>
        <d v="2025-10-11T03:57:26"/>
        <d v="2025-06-23T10:05:44"/>
        <d v="2025-05-09T11:56:50"/>
        <d v="2025-05-12T13:33:43"/>
        <d v="2025-11-09T00:52:54"/>
        <d v="2025-07-22T17:32:49"/>
        <d v="2025-09-20T20:14:54"/>
        <d v="2025-11-24T16:30:06"/>
        <d v="2025-11-26T16:37:44"/>
        <d v="2025-05-01T00:48:13"/>
        <d v="2025-12-14T17:30:28"/>
        <d v="2025-01-10T13:17:01"/>
        <d v="2025-05-18T16:47:00"/>
        <d v="2025-11-23T21:09:55"/>
        <d v="2025-04-11T18:56:09"/>
        <d v="2025-04-11T01:22:33"/>
        <d v="2025-04-21T17:31:12"/>
        <d v="2025-08-13T01:17:52"/>
        <d v="2025-06-09T17:48:17"/>
        <d v="2025-09-24T05:16:27"/>
        <d v="2025-11-23T17:32:15"/>
        <d v="2025-09-04T04:33:43"/>
        <d v="2025-03-16T17:25:57"/>
        <d v="2025-12-07T12:02:01"/>
        <d v="2025-04-07T13:59:18"/>
        <d v="2025-02-24T23:20:05"/>
        <d v="2025-02-02T04:07:56"/>
        <d v="2025-07-26T04:07:26"/>
        <d v="2025-02-11T19:04:12"/>
        <d v="2025-02-20T15:02:41"/>
        <d v="2025-04-20T20:26:19"/>
        <d v="2025-04-13T22:58:31"/>
        <d v="2025-08-09T19:31:05"/>
        <d v="2025-10-26T16:36:00"/>
        <d v="2025-10-05T15:20:00"/>
        <d v="2025-04-06T17:23:00"/>
        <d v="2025-04-01T14:39:59"/>
        <d v="2025-12-19T15:32:33"/>
        <d v="2025-01-04T13:14:00"/>
        <d v="2025-11-18T15:21:03"/>
        <d v="2025-03-14T20:32:45"/>
        <d v="2025-12-12T18:19:28"/>
        <d v="2025-05-05T12:55:42"/>
        <d v="2025-06-10T17:21:17"/>
        <d v="2025-09-16T04:12:25"/>
        <d v="2025-08-03T14:46:04"/>
        <d v="2025-04-27T13:39:45"/>
        <d v="2025-07-22T21:59:52"/>
        <d v="2025-09-24T20:06:32"/>
        <d v="2025-01-17T00:12:19"/>
        <d v="2025-01-06T21:11:41"/>
        <d v="2025-06-17T21:04:37"/>
        <d v="2025-02-18T19:56:32"/>
        <d v="2025-08-31T21:58:07"/>
        <d v="2025-03-20T13:38:45"/>
        <d v="2025-06-08T04:56:43"/>
        <d v="2025-03-14T18:04:11"/>
        <d v="2025-07-20T18:29:05"/>
        <d v="2025-02-12T23:25:32"/>
        <d v="2025-01-10T05:40:33"/>
        <d v="2025-01-19T13:28:13"/>
        <d v="2025-12-15T21:30:14"/>
        <d v="2025-02-22T03:59:25"/>
        <d v="2025-09-16T12:39:43"/>
        <d v="2025-01-25T18:33:15"/>
        <d v="2025-02-09T19:30:34"/>
        <d v="2025-07-05T19:31:30"/>
        <d v="2025-06-20T00:40:49"/>
        <d v="2025-12-14T12:22:18"/>
        <d v="2025-12-11T21:36:17"/>
        <d v="2025-10-12T10:17:41"/>
        <d v="2025-08-08T23:47:08"/>
        <d v="2025-06-16T10:36:58"/>
        <d v="2025-05-11T17:15:59"/>
        <d v="2025-12-13T00:05:50"/>
        <d v="2025-08-09T17:23:52"/>
        <d v="2025-08-01T10:37:05"/>
        <d v="2025-03-26T14:21:39"/>
        <d v="2025-01-18T12:20:20"/>
        <d v="2025-12-11T09:27:57"/>
        <d v="2025-04-26T04:55:21"/>
        <d v="2025-06-12T00:00:46"/>
        <d v="2025-02-11T11:51:25"/>
        <d v="2025-11-03T02:50:48"/>
        <d v="2025-01-11T18:27:37"/>
        <d v="2025-11-01T20:56:26"/>
        <d v="2025-02-22T03:42:18"/>
        <d v="2025-11-21T00:10:31"/>
        <d v="2025-09-25T04:41:59"/>
        <d v="2025-03-02T13:22:53"/>
        <d v="2025-07-26T10:28:53"/>
        <d v="2025-04-25T10:25:03"/>
        <d v="2025-03-08T04:23:49"/>
        <d v="2025-11-10T19:15:28"/>
        <d v="2025-05-28T11:45:42"/>
        <d v="2025-05-27T09:05:59"/>
        <d v="2025-03-04T11:43:30"/>
        <d v="2025-05-20T21:07:02"/>
        <d v="2025-11-16T01:14:56"/>
        <d v="2025-05-13T15:08:30"/>
        <d v="2025-12-15T09:12:52"/>
        <d v="2025-12-12T16:04:54"/>
        <d v="2025-02-23T06:40:37"/>
        <d v="2025-03-06T12:16:34"/>
        <d v="2025-11-11T17:15:25"/>
        <d v="2025-05-24T19:09:00"/>
        <d v="2025-01-02T20:30:28"/>
        <d v="2025-04-10T16:42:24"/>
        <d v="2025-08-07T15:30:53"/>
        <d v="2025-10-19T18:02:00"/>
        <d v="2025-02-18T14:23:03"/>
        <d v="2025-02-11T01:23:28"/>
        <d v="2025-12-03T16:04:00"/>
        <d v="2025-10-02T19:01:16"/>
        <d v="2025-08-04T19:35:08"/>
        <d v="2025-10-08T23:14:53"/>
        <d v="2025-06-06T17:41:48"/>
        <d v="2025-10-04T22:51:55"/>
        <d v="2025-05-16T05:51:56"/>
        <d v="2025-03-31T15:31:29"/>
        <d v="2025-09-24T11:13:48"/>
        <d v="2025-06-03T22:29:27"/>
        <d v="2025-12-25T22:26:59"/>
        <d v="2025-05-08T15:03:56"/>
        <d v="2025-12-04T01:01:18"/>
        <d v="2025-12-07T13:39:50"/>
        <d v="2025-03-30T19:20:13"/>
        <d v="2025-10-19T16:13:00"/>
        <d v="2025-06-08T14:24:56"/>
        <d v="2025-12-01T23:31:53"/>
        <d v="2025-06-14T20:46:21"/>
        <d v="2025-09-29T11:24:27"/>
        <d v="2025-06-20T20:59:19"/>
        <d v="2025-03-25T19:41:06"/>
        <d v="2025-03-15T03:28:28"/>
        <d v="2025-06-05T09:10:39"/>
        <d v="2025-10-03T20:09:55"/>
        <d v="2025-08-09T18:18:13"/>
        <d v="2025-09-09T17:51:26"/>
        <d v="2025-04-14T17:39:54"/>
        <d v="2025-06-25T15:13:57"/>
        <d v="2025-01-18T00:56:16"/>
        <d v="2025-10-26T20:15:49"/>
        <d v="2025-12-29T06:15:42"/>
        <d v="2025-05-29T16:47:08"/>
        <d v="2025-01-06T14:36:48"/>
        <d v="2025-03-04T23:13:45"/>
        <d v="2025-08-27T20:31:25"/>
        <d v="2025-08-13T06:08:42"/>
        <d v="2025-10-15T20:48:47"/>
        <d v="2025-04-03T14:02:20"/>
        <d v="2025-10-06T15:10:58"/>
        <d v="2025-09-09T13:04:19"/>
        <d v="2025-04-28T17:01:21"/>
        <d v="2025-07-19T10:45:00"/>
        <d v="2025-02-23T20:29:13"/>
        <d v="2025-06-15T16:45:41"/>
        <d v="2025-11-18T13:03:04"/>
        <d v="2025-06-03T10:22:26"/>
        <d v="2025-11-03T23:44:29"/>
        <d v="2025-08-04T03:03:49"/>
        <d v="2025-03-12T08:30:02"/>
        <d v="2025-08-01T13:03:53"/>
        <d v="2025-07-05T04:42:44"/>
        <d v="2025-05-27T00:39:07"/>
        <d v="2025-02-13T16:20:11"/>
        <d v="2025-06-03T08:03:08"/>
        <d v="2025-01-27T14:49:07"/>
        <d v="2025-02-06T20:52:00"/>
        <d v="2025-06-01T15:31:29"/>
        <d v="2025-04-22T09:25:44"/>
        <d v="2025-12-04T11:48:03"/>
        <d v="2025-05-18T15:08:15"/>
        <d v="2025-10-04T17:57:26"/>
        <d v="2025-07-13T18:33:06"/>
        <d v="2025-09-15T04:22:09"/>
        <d v="2025-04-05T16:07:21"/>
        <d v="2025-12-10T13:27:14"/>
        <d v="2025-07-13T18:08:05"/>
        <d v="2025-11-01T10:52:20"/>
        <d v="2025-05-15T01:24:08"/>
        <d v="2025-02-06T16:33:25"/>
        <d v="2025-09-03T23:50:36"/>
        <d v="2025-01-03T09:57:57"/>
        <d v="2025-06-24T01:26:51"/>
        <d v="2025-03-13T02:54:34"/>
        <d v="2025-08-17T14:24:36"/>
        <d v="2025-12-25T04:06:07"/>
        <d v="2025-06-19T14:57:00"/>
        <d v="2025-10-26T12:13:28"/>
        <d v="2025-07-05T23:18:02"/>
        <d v="2025-06-30T16:47:53"/>
        <d v="2025-12-06T10:33:14"/>
        <d v="2025-11-21T09:54:13"/>
        <d v="2025-10-14T14:39:27"/>
        <d v="2025-04-19T17:58:00"/>
        <d v="2025-07-18T14:30:08"/>
        <d v="2025-03-24T00:10:50"/>
        <d v="2025-06-12T14:01:28"/>
        <d v="2025-06-26T13:11:00"/>
        <d v="2025-10-31T07:03:23"/>
        <d v="2025-11-25T03:51:32"/>
        <d v="2025-06-02T06:10:45"/>
        <d v="2025-01-07T21:32:21"/>
        <d v="2025-11-11T13:09:41"/>
        <d v="2025-03-05T23:03:36"/>
        <d v="2025-08-15T23:33:53"/>
        <d v="2025-01-10T02:25:41"/>
        <d v="2025-05-27T03:56:53"/>
        <d v="2025-12-26T17:32:37"/>
        <d v="2025-02-06T10:55:38"/>
        <d v="2025-06-04T14:35:52"/>
        <d v="2025-04-23T19:19:04"/>
        <d v="2025-11-27T17:53:09"/>
        <d v="2025-11-14T11:05:51"/>
        <d v="2025-03-28T16:00:16"/>
        <d v="2025-01-30T16:02:00"/>
        <d v="2025-08-18T12:31:56"/>
        <d v="2025-05-03T19:46:08"/>
        <d v="2025-09-03T15:48:56"/>
        <d v="2025-01-12T18:39:32"/>
        <d v="2025-02-18T19:20:56"/>
        <d v="2025-09-08T22:31:44"/>
        <d v="2025-03-19T21:39:43"/>
        <d v="2025-11-10T16:15:36"/>
        <d v="2025-01-22T19:08:09"/>
        <d v="2025-03-21T02:40:23"/>
        <d v="2025-12-31T23:51:43"/>
        <d v="2025-06-08T09:31:23"/>
        <d v="2025-09-15T12:45:04"/>
        <d v="2025-03-08T19:05:32"/>
        <d v="2025-08-11T19:56:29"/>
        <d v="2025-09-23T23:55:11"/>
        <d v="2025-04-25T11:21:32"/>
        <d v="2025-10-30T10:03:26"/>
        <d v="2025-08-09T19:50:01"/>
        <d v="2025-05-23T20:58:00"/>
        <d v="2025-07-23T16:43:46"/>
        <d v="2025-07-30T13:33:41"/>
        <d v="2025-03-03T06:51:03"/>
        <d v="2025-05-27T12:03:27"/>
        <d v="2025-05-06T14:01:00"/>
        <d v="2025-05-27T07:56:41"/>
        <d v="2025-10-05T10:38:02"/>
        <d v="2025-06-26T19:25:35"/>
        <d v="2025-12-10T17:59:02"/>
        <d v="2025-04-18T10:08:00"/>
        <d v="2025-06-01T11:40:22"/>
        <d v="2025-10-15T08:34:00"/>
        <d v="2025-07-19T09:49:48"/>
        <d v="2025-07-20T00:57:58"/>
        <d v="2025-01-20T20:13:19"/>
        <d v="2025-05-26T18:07:56"/>
        <d v="2025-04-10T02:17:27"/>
        <d v="2025-12-31T18:39:29"/>
        <d v="2025-04-23T15:04:39"/>
        <d v="2025-11-19T10:32:59"/>
        <d v="2025-09-04T12:57:15"/>
        <d v="2025-05-06T08:11:43"/>
        <d v="2025-07-18T17:55:58"/>
        <d v="2025-11-04T00:57:51"/>
        <d v="2025-11-19T18:17:00"/>
        <d v="2025-03-01T04:08:55"/>
        <d v="2025-05-04T12:36:23"/>
        <d v="2025-05-03T21:18:27"/>
        <d v="2025-01-16T08:54:50"/>
        <d v="2025-08-08T03:14:45"/>
        <d v="2025-11-09T08:48:00"/>
        <d v="2025-05-20T20:48:02"/>
        <d v="2025-09-28T22:28:48"/>
        <d v="2025-08-18T17:11:38"/>
        <d v="2025-05-18T20:56:01"/>
        <d v="2025-02-22T10:59:43"/>
        <d v="2025-09-16T18:16:58"/>
        <d v="2025-11-08T17:58:00"/>
        <d v="2025-09-08T06:15:29"/>
        <d v="2025-01-07T23:28:35"/>
        <d v="2025-03-21T15:41:19"/>
        <d v="2025-01-26T19:04:15"/>
        <d v="2025-07-28T10:14:15"/>
        <d v="2025-10-04T18:24:51"/>
        <d v="2025-02-10T18:13:01"/>
        <d v="2025-11-02T06:48:00"/>
        <d v="2025-07-23T10:34:26"/>
        <d v="2025-09-09T19:23:23"/>
        <d v="2025-12-21T07:25:00"/>
        <d v="2025-02-01T13:03:43"/>
        <d v="2025-11-25T11:24:05"/>
        <d v="2025-02-16T14:42:37"/>
        <d v="2025-05-24T18:06:26"/>
        <d v="2025-11-07T16:42:02"/>
        <d v="2025-11-27T20:50:18"/>
        <d v="2025-07-04T22:08:47"/>
        <d v="2025-08-05T12:55:00"/>
        <d v="2025-09-16T13:13:22"/>
        <d v="2025-10-31T05:19:26"/>
        <d v="2025-02-14T15:52:22"/>
        <d v="2025-10-24T03:44:34"/>
        <d v="2025-06-25T11:17:00"/>
        <d v="2025-06-14T16:30:36"/>
        <d v="2025-06-04T07:46:37"/>
        <d v="2025-07-05T14:37:37"/>
        <d v="2025-12-11T16:59:07"/>
        <d v="2025-07-20T21:40:57"/>
        <d v="2025-12-15T07:24:47"/>
        <d v="2025-03-07T15:25:19"/>
        <d v="2025-09-23T00:33:06"/>
        <d v="2025-10-24T16:44:45"/>
        <d v="2025-09-05T21:05:30"/>
        <d v="2025-08-10T23:16:08"/>
        <d v="2025-07-26T20:29:42"/>
        <d v="2025-11-11T18:19:00"/>
        <d v="2025-10-27T22:14:05"/>
        <d v="2025-02-15T03:45:25"/>
        <d v="2025-11-06T20:05:02"/>
        <d v="2025-06-01T21:22:43"/>
        <d v="2025-04-03T10:32:06"/>
        <d v="2025-11-15T04:09:53"/>
        <d v="2025-06-08T00:12:01"/>
        <d v="2025-10-23T13:59:11"/>
        <d v="2025-04-07T20:13:32"/>
        <d v="2025-01-02T23:41:41"/>
        <d v="2025-06-30T18:08:02"/>
        <d v="2025-02-06T19:17:39"/>
        <d v="2025-10-03T16:32:11"/>
        <d v="2025-04-12T00:14:19"/>
        <d v="2025-06-11T20:28:28"/>
        <d v="2025-02-01T08:35:00"/>
        <d v="2025-04-15T08:39:55"/>
        <d v="2025-10-13T18:35:55"/>
        <d v="2025-02-25T15:26:21"/>
        <d v="2025-08-25T17:09:26"/>
        <d v="2025-12-01T22:41:21"/>
        <d v="2025-09-06T14:56:00"/>
        <d v="2025-10-24T15:23:51"/>
        <d v="2025-02-09T20:55:32"/>
        <d v="2025-04-03T01:38:53"/>
        <d v="2025-11-23T18:22:00"/>
        <d v="2025-09-19T16:04:35"/>
        <d v="2025-08-23T00:09:43"/>
        <d v="2025-08-31T18:59:08"/>
        <d v="2025-06-01T10:43:35"/>
        <d v="2025-01-17T20:28:20"/>
        <d v="2025-10-15T01:44:59"/>
        <d v="2025-09-05T22:03:39"/>
        <d v="2025-06-23T03:33:24"/>
        <d v="2025-11-25T19:50:48"/>
        <d v="2025-05-03T16:41:57"/>
        <d v="2025-04-18T13:23:32"/>
        <d v="2025-11-15T12:49:46"/>
        <d v="2025-10-18T05:22:07"/>
        <d v="2025-07-07T20:12:25"/>
        <d v="2025-02-17T18:15:26"/>
        <d v="2025-03-20T15:11:01"/>
        <d v="2025-08-28T14:11:36"/>
        <d v="2025-05-21T08:46:24"/>
        <d v="2025-11-02T18:37:59"/>
        <d v="2025-12-13T15:08:10"/>
        <d v="2025-10-22T16:28:00"/>
        <d v="2025-05-18T23:49:48"/>
        <d v="2025-10-15T19:28:33"/>
        <d v="2025-05-09T22:46:34"/>
        <d v="2025-03-03T07:23:02"/>
        <d v="2025-01-14T01:24:08"/>
        <d v="2025-05-22T06:13:46"/>
        <d v="2025-11-26T17:40:48"/>
        <d v="2025-03-29T07:39:53"/>
        <d v="2025-03-17T20:15:05"/>
        <d v="2025-12-20T09:10:00"/>
        <d v="2025-01-11T10:27:09"/>
        <d v="2025-10-15T00:06:41"/>
        <d v="2025-04-28T22:26:23"/>
        <d v="2025-01-15T04:03:33"/>
        <d v="2025-12-01T11:01:12"/>
        <d v="2025-02-20T19:34:04"/>
        <d v="2025-07-21T22:14:13"/>
        <d v="2025-04-11T16:05:14"/>
        <d v="2025-01-24T23:34:04"/>
        <d v="2025-01-19T18:08:25"/>
        <d v="2025-02-12T13:36:32"/>
        <d v="2025-01-27T14:07:04"/>
        <d v="2025-10-05T17:33:16"/>
        <d v="2025-06-28T11:37:26"/>
        <d v="2025-05-06T13:27:53"/>
        <d v="2025-06-02T21:27:25"/>
        <d v="2025-12-06T12:48:45"/>
        <d v="2025-11-29T12:54:37"/>
        <d v="2025-09-19T04:21:16"/>
        <d v="2025-11-19T17:56:32"/>
        <d v="2025-04-27T20:43:53"/>
        <d v="2025-05-20T16:07:30"/>
        <d v="2025-08-14T06:40:42"/>
        <d v="2025-08-16T17:42:18"/>
        <d v="2025-06-25T17:59:44"/>
        <d v="2025-05-27T17:10:50"/>
        <d v="2025-12-26T16:28:18"/>
        <d v="2025-10-27T21:58:16"/>
        <d v="2025-06-08T20:02:38"/>
        <d v="2025-09-24T01:53:35"/>
        <d v="2025-04-09T15:26:31"/>
        <d v="2025-02-07T01:01:43"/>
        <d v="2025-05-09T16:59:32"/>
        <d v="2025-05-28T20:45:58"/>
        <d v="2025-01-08T01:22:10"/>
        <d v="2025-10-26T10:43:49"/>
        <d v="2025-05-12T19:52:02"/>
        <d v="2025-07-31T10:19:33"/>
        <d v="2025-01-27T12:05:56"/>
        <d v="2025-03-05T17:37:57"/>
        <d v="2025-11-21T11:04:30"/>
        <d v="2025-08-11T13:27:10"/>
        <d v="2025-12-14T07:45:13"/>
        <d v="2025-12-31T08:56:51"/>
        <d v="2025-05-16T21:01:54"/>
        <d v="2025-04-20T23:40:22"/>
        <d v="2025-11-10T12:11:47"/>
        <d v="2025-12-31T12:15:00"/>
        <d v="2025-08-18T21:53:56"/>
        <d v="2025-10-18T18:53:58"/>
        <d v="2025-10-13T18:33:47"/>
        <d v="2025-05-10T20:01:40"/>
        <d v="2025-07-29T16:42:00"/>
        <d v="2025-11-01T18:30:36"/>
        <d v="2025-09-09T15:48:40"/>
        <d v="2025-01-08T15:50:45"/>
        <d v="2025-05-03T12:18:08"/>
        <d v="2025-02-22T14:34:09"/>
        <d v="2025-03-27T15:24:32"/>
        <d v="2025-11-27T06:35:00"/>
        <d v="2025-01-14T11:21:21"/>
        <d v="2025-03-22T19:48:06"/>
        <d v="2025-04-24T01:02:50"/>
        <d v="2025-08-14T19:17:00"/>
        <d v="2025-07-14T21:49:30"/>
        <d v="2025-03-21T10:32:21"/>
        <d v="2025-03-01T20:22:58"/>
        <d v="2025-03-28T19:30:47"/>
        <d v="2025-07-03T18:20:37"/>
        <d v="2025-04-09T18:29:09"/>
      </sharedItems>
      <fieldGroup par="63"/>
    </cacheField>
    <cacheField name="delivery_date" numFmtId="14">
      <sharedItems containsSemiMixedTypes="0" containsNonDate="0" containsDate="1" containsString="0" minDate="2025-01-01T00:00:00" maxDate="2026-01-01T00:00:00" count="338">
        <d v="2025-06-10T00:00:00"/>
        <d v="2025-04-19T00:00:00"/>
        <d v="2025-06-16T00:00:00"/>
        <d v="2025-01-26T00:00:00"/>
        <d v="2025-10-19T00:00:00"/>
        <d v="2025-03-30T00:00:00"/>
        <d v="2025-09-22T00:00:00"/>
        <d v="2025-01-25T00:00:00"/>
        <d v="2025-12-16T00:00:00"/>
        <d v="2025-03-12T00:00:00"/>
        <d v="2025-11-19T00:00:00"/>
        <d v="2025-10-23T00:00:00"/>
        <d v="2025-12-21T00:00:00"/>
        <d v="2025-06-25T00:00:00"/>
        <d v="2025-09-24T00:00:00"/>
        <d v="2025-05-16T00:00:00"/>
        <d v="2025-03-10T00:00:00"/>
        <d v="2025-06-11T00:00:00"/>
        <d v="2025-03-02T00:00:00"/>
        <d v="2025-12-25T00:00:00"/>
        <d v="2025-02-05T00:00:00"/>
        <d v="2025-08-04T00:00:00"/>
        <d v="2025-08-18T00:00:00"/>
        <d v="2025-07-17T00:00:00"/>
        <d v="2025-08-30T00:00:00"/>
        <d v="2025-02-12T00:00:00"/>
        <d v="2025-07-23T00:00:00"/>
        <d v="2025-04-15T00:00:00"/>
        <d v="2025-12-11T00:00:00"/>
        <d v="2025-10-06T00:00:00"/>
        <d v="2025-01-14T00:00:00"/>
        <d v="2025-03-14T00:00:00"/>
        <d v="2025-01-05T00:00:00"/>
        <d v="2025-09-05T00:00:00"/>
        <d v="2025-03-27T00:00:00"/>
        <d v="2025-07-05T00:00:00"/>
        <d v="2025-11-21T00:00:00"/>
        <d v="2025-09-11T00:00:00"/>
        <d v="2025-05-25T00:00:00"/>
        <d v="2025-03-06T00:00:00"/>
        <d v="2025-08-20T00:00:00"/>
        <d v="2025-05-13T00:00:00"/>
        <d v="2025-11-08T00:00:00"/>
        <d v="2025-10-04T00:00:00"/>
        <d v="2025-08-11T00:00:00"/>
        <d v="2025-03-19T00:00:00"/>
        <d v="2025-10-11T00:00:00"/>
        <d v="2025-06-27T00:00:00"/>
        <d v="2025-03-24T00:00:00"/>
        <d v="2025-03-13T00:00:00"/>
        <d v="2025-03-25T00:00:00"/>
        <d v="2025-07-13T00:00:00"/>
        <d v="2025-06-14T00:00:00"/>
        <d v="2025-07-31T00:00:00"/>
        <d v="2025-11-17T00:00:00"/>
        <d v="2025-11-13T00:00:00"/>
        <d v="2025-01-06T00:00:00"/>
        <d v="2025-06-05T00:00:00"/>
        <d v="2025-08-10T00:00:00"/>
        <d v="2025-08-26T00:00:00"/>
        <d v="2025-02-27T00:00:00"/>
        <d v="2025-08-24T00:00:00"/>
        <d v="2025-03-08T00:00:00"/>
        <d v="2025-10-02T00:00:00"/>
        <d v="2025-05-04T00:00:00"/>
        <d v="2025-09-17T00:00:00"/>
        <d v="2025-01-18T00:00:00"/>
        <d v="2025-05-29T00:00:00"/>
        <d v="2025-09-15T00:00:00"/>
        <d v="2025-10-18T00:00:00"/>
        <d v="2025-08-19T00:00:00"/>
        <d v="2025-08-03T00:00:00"/>
        <d v="2025-05-10T00:00:00"/>
        <d v="2025-06-26T00:00:00"/>
        <d v="2025-08-07T00:00:00"/>
        <d v="2025-06-22T00:00:00"/>
        <d v="2025-09-12T00:00:00"/>
        <d v="2025-06-08T00:00:00"/>
        <d v="2025-03-15T00:00:00"/>
        <d v="2025-03-21T00:00:00"/>
        <d v="2025-01-03T00:00:00"/>
        <d v="2025-04-20T00:00:00"/>
        <d v="2025-10-01T00:00:00"/>
        <d v="2025-12-17T00:00:00"/>
        <d v="2025-07-03T00:00:00"/>
        <d v="2025-12-01T00:00:00"/>
        <d v="2025-09-21T00:00:00"/>
        <d v="2025-02-01T00:00:00"/>
        <d v="2025-03-22T00:00:00"/>
        <d v="2025-01-04T00:00:00"/>
        <d v="2025-09-19T00:00:00"/>
        <d v="2025-05-06T00:00:00"/>
        <d v="2025-10-16T00:00:00"/>
        <d v="2025-10-27T00:00:00"/>
        <d v="2025-02-17T00:00:00"/>
        <d v="2025-03-05T00:00:00"/>
        <d v="2025-05-30T00:00:00"/>
        <d v="2025-05-08T00:00:00"/>
        <d v="2025-05-09T00:00:00"/>
        <d v="2025-11-02T00:00:00"/>
        <d v="2025-12-28T00:00:00"/>
        <d v="2025-02-02T00:00:00"/>
        <d v="2025-04-17T00:00:00"/>
        <d v="2025-08-06T00:00:00"/>
        <d v="2025-08-25T00:00:00"/>
        <d v="2025-10-05T00:00:00"/>
        <d v="2025-02-13T00:00:00"/>
        <d v="2025-11-01T00:00:00"/>
        <d v="2025-07-30T00:00:00"/>
        <d v="2025-09-13T00:00:00"/>
        <d v="2025-06-06T00:00:00"/>
        <d v="2025-06-30T00:00:00"/>
        <d v="2025-01-22T00:00:00"/>
        <d v="2025-12-15T00:00:00"/>
        <d v="2025-02-16T00:00:00"/>
        <d v="2025-07-04T00:00:00"/>
        <d v="2025-01-10T00:00:00"/>
        <d v="2025-12-04T00:00:00"/>
        <d v="2025-11-07T00:00:00"/>
        <d v="2025-07-11T00:00:00"/>
        <d v="2025-02-14T00:00:00"/>
        <d v="2025-04-05T00:00:00"/>
        <d v="2025-12-19T00:00:00"/>
        <d v="2025-07-29T00:00:00"/>
        <d v="2025-06-23T00:00:00"/>
        <d v="2025-11-14T00:00:00"/>
        <d v="2025-04-18T00:00:00"/>
        <d v="2025-11-09T00:00:00"/>
        <d v="2025-12-09T00:00:00"/>
        <d v="2025-01-21T00:00:00"/>
        <d v="2025-07-02T00:00:00"/>
        <d v="2025-05-18T00:00:00"/>
        <d v="2025-04-13T00:00:00"/>
        <d v="2025-09-16T00:00:00"/>
        <d v="2025-02-19T00:00:00"/>
        <d v="2025-10-25T00:00:00"/>
        <d v="2025-12-14T00:00:00"/>
        <d v="2025-02-10T00:00:00"/>
        <d v="2025-12-20T00:00:00"/>
        <d v="2025-01-15T00:00:00"/>
        <d v="2025-10-03T00:00:00"/>
        <d v="2025-07-12T00:00:00"/>
        <d v="2025-05-15T00:00:00"/>
        <d v="2025-08-16T00:00:00"/>
        <d v="2025-08-02T00:00:00"/>
        <d v="2025-11-30T00:00:00"/>
        <d v="2025-04-22T00:00:00"/>
        <d v="2025-07-18T00:00:00"/>
        <d v="2025-02-06T00:00:00"/>
        <d v="2025-12-07T00:00:00"/>
        <d v="2025-05-17T00:00:00"/>
        <d v="2025-01-30T00:00:00"/>
        <d v="2025-05-22T00:00:00"/>
        <d v="2025-08-08T00:00:00"/>
        <d v="2025-07-07T00:00:00"/>
        <d v="2025-04-14T00:00:00"/>
        <d v="2025-02-03T00:00:00"/>
        <d v="2025-05-12T00:00:00"/>
        <d v="2025-08-12T00:00:00"/>
        <d v="2025-02-25T00:00:00"/>
        <d v="2025-04-25T00:00:00"/>
        <d v="2025-08-28T00:00:00"/>
        <d v="2025-05-31T00:00:00"/>
        <d v="2025-06-01T00:00:00"/>
        <d v="2025-11-04T00:00:00"/>
        <d v="2025-08-27T00:00:00"/>
        <d v="2025-11-11T00:00:00"/>
        <d v="2025-01-29T00:00:00"/>
        <d v="2025-02-08T00:00:00"/>
        <d v="2025-07-01T00:00:00"/>
        <d v="2025-04-11T00:00:00"/>
        <d v="2025-04-29T00:00:00"/>
        <d v="2025-01-11T00:00:00"/>
        <d v="2025-06-03T00:00:00"/>
        <d v="2025-11-16T00:00:00"/>
        <d v="2025-11-12T00:00:00"/>
        <d v="2025-03-18T00:00:00"/>
        <d v="2025-10-10T00:00:00"/>
        <d v="2025-11-27T00:00:00"/>
        <d v="2025-01-08T00:00:00"/>
        <d v="2025-04-24T00:00:00"/>
        <d v="2025-04-28T00:00:00"/>
        <d v="2025-09-07T00:00:00"/>
        <d v="2025-12-06T00:00:00"/>
        <d v="2025-12-31T00:00:00"/>
        <d v="2025-10-09T00:00:00"/>
        <d v="2025-03-23T00:00:00"/>
        <d v="2025-11-10T00:00:00"/>
        <d v="2025-04-26T00:00:00"/>
        <d v="2025-11-22T00:00:00"/>
        <d v="2025-05-23T00:00:00"/>
        <d v="2025-12-12T00:00:00"/>
        <d v="2025-04-01T00:00:00"/>
        <d v="2025-09-01T00:00:00"/>
        <d v="2025-09-28T00:00:00"/>
        <d v="2025-06-13T00:00:00"/>
        <d v="2025-09-27T00:00:00"/>
        <d v="2025-06-17T00:00:00"/>
        <d v="2025-07-27T00:00:00"/>
        <d v="2025-09-10T00:00:00"/>
        <d v="2025-08-05T00:00:00"/>
        <d v="2025-05-11T00:00:00"/>
        <d v="2025-03-20T00:00:00"/>
        <d v="2025-01-16T00:00:00"/>
        <d v="2025-09-06T00:00:00"/>
        <d v="2025-08-13T00:00:00"/>
        <d v="2025-12-05T00:00:00"/>
        <d v="2025-09-14T00:00:00"/>
        <d v="2025-04-04T00:00:00"/>
        <d v="2025-07-26T00:00:00"/>
        <d v="2025-07-15T00:00:00"/>
        <d v="2025-02-20T00:00:00"/>
        <d v="2025-01-20T00:00:00"/>
        <d v="2025-08-23T00:00:00"/>
        <d v="2025-11-18T00:00:00"/>
        <d v="2025-09-04T00:00:00"/>
        <d v="2025-07-08T00:00:00"/>
        <d v="2025-12-18T00:00:00"/>
        <d v="2025-04-03T00:00:00"/>
        <d v="2025-09-02T00:00:00"/>
        <d v="2025-05-26T00:00:00"/>
        <d v="2025-11-28T00:00:00"/>
        <d v="2025-06-18T00:00:00"/>
        <d v="2025-06-21T00:00:00"/>
        <d v="2025-04-10T00:00:00"/>
        <d v="2025-01-01T00:00:00"/>
        <d v="2025-09-23T00:00:00"/>
        <d v="2025-10-20T00:00:00"/>
        <d v="2025-09-18T00:00:00"/>
        <d v="2025-01-09T00:00:00"/>
        <d v="2025-02-18T00:00:00"/>
        <d v="2025-12-27T00:00:00"/>
        <d v="2025-10-24T00:00:00"/>
        <d v="2025-07-14T00:00:00"/>
        <d v="2025-04-09T00:00:00"/>
        <d v="2025-01-17T00:00:00"/>
        <d v="2025-12-30T00:00:00"/>
        <d v="2025-05-01T00:00:00"/>
        <d v="2025-05-20T00:00:00"/>
        <d v="2025-08-14T00:00:00"/>
        <d v="2025-09-20T00:00:00"/>
        <d v="2025-05-24T00:00:00"/>
        <d v="2025-07-25T00:00:00"/>
        <d v="2025-05-03T00:00:00"/>
        <d v="2025-10-29T00:00:00"/>
        <d v="2025-09-25T00:00:00"/>
        <d v="2025-10-08T00:00:00"/>
        <d v="2025-02-07T00:00:00"/>
        <d v="2025-01-12T00:00:00"/>
        <d v="2025-07-28T00:00:00"/>
        <d v="2025-09-30T00:00:00"/>
        <d v="2025-03-16T00:00:00"/>
        <d v="2025-08-21T00:00:00"/>
        <d v="2025-01-07T00:00:00"/>
        <d v="2025-05-27T00:00:00"/>
        <d v="2025-04-16T00:00:00"/>
        <d v="2025-03-01T00:00:00"/>
        <d v="2025-11-25T00:00:00"/>
        <d v="2025-09-09T00:00:00"/>
        <d v="2025-12-26T00:00:00"/>
        <d v="2025-10-07T00:00:00"/>
        <d v="2025-05-07T00:00:00"/>
        <d v="2025-10-31T00:00:00"/>
        <d v="2025-03-07T00:00:00"/>
        <d v="2025-09-03T00:00:00"/>
        <d v="2025-04-30T00:00:00"/>
        <d v="2025-05-02T00:00:00"/>
        <d v="2025-01-24T00:00:00"/>
        <d v="2025-12-10T00:00:00"/>
        <d v="2025-07-22T00:00:00"/>
        <d v="2025-12-23T00:00:00"/>
        <d v="2025-02-04T00:00:00"/>
        <d v="2025-08-22T00:00:00"/>
        <d v="2025-02-26T00:00:00"/>
        <d v="2025-08-15T00:00:00"/>
        <d v="2025-04-07T00:00:00"/>
        <d v="2025-06-28T00:00:00"/>
        <d v="2025-11-26T00:00:00"/>
        <d v="2025-10-12T00:00:00"/>
        <d v="2025-05-21T00:00:00"/>
        <d v="2025-02-22T00:00:00"/>
        <d v="2025-08-31T00:00:00"/>
        <d v="2025-06-07T00:00:00"/>
        <d v="2025-04-08T00:00:00"/>
        <d v="2025-02-11T00:00:00"/>
        <d v="2025-07-06T00:00:00"/>
        <d v="2025-03-26T00:00:00"/>
        <d v="2025-11-24T00:00:00"/>
        <d v="2025-11-23T00:00:00"/>
        <d v="2025-04-21T00:00:00"/>
        <d v="2025-06-09T00:00:00"/>
        <d v="2025-02-24T00:00:00"/>
        <d v="2025-08-09T00:00:00"/>
        <d v="2025-10-26T00:00:00"/>
        <d v="2025-04-06T00:00:00"/>
        <d v="2025-05-05T00:00:00"/>
        <d v="2025-04-27T00:00:00"/>
        <d v="2025-07-20T00:00:00"/>
        <d v="2025-01-19T00:00:00"/>
        <d v="2025-02-09T00:00:00"/>
        <d v="2025-06-20T00:00:00"/>
        <d v="2025-12-13T00:00:00"/>
        <d v="2025-08-01T00:00:00"/>
        <d v="2025-06-12T00:00:00"/>
        <d v="2025-11-03T00:00:00"/>
        <d v="2025-05-28T00:00:00"/>
        <d v="2025-03-04T00:00:00"/>
        <d v="2025-02-23T00:00:00"/>
        <d v="2025-01-02T00:00:00"/>
        <d v="2025-12-03T00:00:00"/>
        <d v="2025-03-31T00:00:00"/>
        <d v="2025-09-29T00:00:00"/>
        <d v="2025-12-29T00:00:00"/>
        <d v="2025-10-15T00:00:00"/>
        <d v="2025-07-19T00:00:00"/>
        <d v="2025-06-15T00:00:00"/>
        <d v="2025-01-27T00:00:00"/>
        <d v="2025-06-24T00:00:00"/>
        <d v="2025-08-17T00:00:00"/>
        <d v="2025-06-19T00:00:00"/>
        <d v="2025-10-14T00:00:00"/>
        <d v="2025-06-02T00:00:00"/>
        <d v="2025-06-04T00:00:00"/>
        <d v="2025-04-23T00:00:00"/>
        <d v="2025-03-28T00:00:00"/>
        <d v="2025-09-08T00:00:00"/>
        <d v="2025-10-30T00:00:00"/>
        <d v="2025-03-03T00:00:00"/>
        <d v="2025-02-15T00:00:00"/>
        <d v="2025-11-06T00:00:00"/>
        <d v="2025-11-15T00:00:00"/>
        <d v="2025-04-12T00:00:00"/>
        <d v="2025-10-13T00:00:00"/>
        <d v="2025-10-22T00:00:00"/>
        <d v="2025-03-29T00:00:00"/>
        <d v="2025-03-17T00:00:00"/>
        <d v="2025-07-21T00:00:00"/>
        <d v="2025-11-29T00:00:00"/>
      </sharedItems>
      <fieldGroup par="65"/>
    </cacheField>
    <cacheField name="origin_state" numFmtId="0">
      <sharedItems/>
    </cacheField>
    <cacheField name="origin_city" numFmtId="0">
      <sharedItems/>
    </cacheField>
    <cacheField name="destination_state" numFmtId="0">
      <sharedItems/>
    </cacheField>
    <cacheField name="destination_city" numFmtId="0">
      <sharedItems/>
    </cacheField>
    <cacheField name="region" numFmtId="0">
      <sharedItems count="4">
        <s v="Midwest"/>
        <s v="South"/>
        <s v="West"/>
        <s v="Northeast"/>
      </sharedItems>
    </cacheField>
    <cacheField name="lane_id" numFmtId="0">
      <sharedItems containsSemiMixedTypes="0" containsString="0" containsNumber="1" containsInteger="1" minValue="700025" maxValue="799881"/>
    </cacheField>
    <cacheField name="lanes_usa" numFmtId="0">
      <sharedItems/>
    </cacheField>
    <cacheField name="distance_miles" numFmtId="0">
      <sharedItems containsSemiMixedTypes="0" containsString="0" containsNumber="1" containsInteger="1" minValue="20" maxValue="1037"/>
    </cacheField>
    <cacheField name="empty_miles" numFmtId="0">
      <sharedItems containsSemiMixedTypes="0" containsString="0" containsNumber="1" minValue="-44.8" maxValue="89.4" count="482">
        <n v="9.3000000000000007"/>
        <n v="28.7"/>
        <n v="36.799999999999997"/>
        <n v="24.5"/>
        <n v="47.9"/>
        <n v="10.4"/>
        <n v="19.8"/>
        <n v="27"/>
        <n v="19.2"/>
        <n v="17.7"/>
        <n v="35.1"/>
        <n v="7"/>
        <n v="38.9"/>
        <n v="54.9"/>
        <n v="51.8"/>
        <n v="10.5"/>
        <n v="22.7"/>
        <n v="27.2"/>
        <n v="45"/>
        <n v="25.8"/>
        <n v="10"/>
        <n v="27.9"/>
        <n v="28.4"/>
        <n v="45.6"/>
        <n v="38.4"/>
        <n v="34.4"/>
        <n v="37.299999999999997"/>
        <n v="0.2"/>
        <n v="18.899999999999999"/>
        <n v="-7.7"/>
        <n v="10.199999999999999"/>
        <n v="18.600000000000001"/>
        <n v="34.700000000000003"/>
        <n v="7.9"/>
        <n v="3"/>
        <n v="23.7"/>
        <n v="15"/>
        <n v="28.1"/>
        <n v="10.3"/>
        <n v="66.3"/>
        <n v="33.200000000000003"/>
        <n v="6.8"/>
        <n v="44.3"/>
        <n v="49.9"/>
        <n v="32.799999999999997"/>
        <n v="40.6"/>
        <n v="11.6"/>
        <n v="58.2"/>
        <n v="17"/>
        <n v="31.4"/>
        <n v="47.4"/>
        <n v="64.599999999999994"/>
        <n v="22.5"/>
        <n v="14.6"/>
        <n v="7.2"/>
        <n v="4.7"/>
        <n v="3.9"/>
        <n v="26.2"/>
        <n v="41"/>
        <n v="5.7"/>
        <n v="36.200000000000003"/>
        <n v="6.5"/>
        <n v="8.6999999999999993"/>
        <n v="2.7"/>
        <n v="46"/>
        <n v="59"/>
        <n v="8.9"/>
        <n v="7.4"/>
        <n v="53.1"/>
        <n v="51.1"/>
        <n v="15.1"/>
        <n v="18.7"/>
        <n v="24.7"/>
        <n v="2.2999999999999998"/>
        <n v="12.2"/>
        <n v="26"/>
        <n v="5.4"/>
        <n v="30.4"/>
        <n v="40.4"/>
        <n v="32.299999999999997"/>
        <n v="13.1"/>
        <n v="43.1"/>
        <n v="48.8"/>
        <n v="27.7"/>
        <n v="10.8"/>
        <n v="14.7"/>
        <n v="41.3"/>
        <n v="55.3"/>
        <n v="14.5"/>
        <n v="13.2"/>
        <n v="14.2"/>
        <n v="0.6"/>
        <n v="29.7"/>
        <n v="0.8"/>
        <n v="12.1"/>
        <n v="20.9"/>
        <n v="16.7"/>
        <n v="8.1"/>
        <n v="1.7"/>
        <n v="41.8"/>
        <n v="47.6"/>
        <n v="7.8"/>
        <n v="71.7"/>
        <n v="5.2"/>
        <n v="14.4"/>
        <n v="30.9"/>
        <n v="32.6"/>
        <n v="16.3"/>
        <n v="41.7"/>
        <n v="55.1"/>
        <n v="21.9"/>
        <n v="19.3"/>
        <n v="11"/>
        <n v="3.3"/>
        <n v="7.6"/>
        <n v="31.8"/>
        <n v="22"/>
        <n v="17.600000000000001"/>
        <n v="11.7"/>
        <n v="35"/>
        <n v="14"/>
        <n v="9.9"/>
        <n v="22.2"/>
        <n v="33.700000000000003"/>
        <n v="35.799999999999997"/>
        <n v="21"/>
        <n v="-2.6"/>
        <n v="39.9"/>
        <n v="33.6"/>
        <n v="31.2"/>
        <n v="40.299999999999997"/>
        <n v="15.8"/>
        <n v="18.8"/>
        <n v="56.1"/>
        <n v="9.1"/>
        <n v="1"/>
        <n v="18.5"/>
        <n v="14.8"/>
        <n v="36.299999999999997"/>
        <n v="15.3"/>
        <n v="62.8"/>
        <n v="44.2"/>
        <n v="8.3000000000000007"/>
        <n v="20.6"/>
        <n v="31.5"/>
        <n v="15.2"/>
        <n v="56.7"/>
        <n v="2.1"/>
        <n v="41.9"/>
        <n v="34.6"/>
        <n v="7.3"/>
        <n v="57.3"/>
        <n v="23.2"/>
        <n v="16"/>
        <n v="45.4"/>
        <n v="11.5"/>
        <n v="24.6"/>
        <n v="37.200000000000003"/>
        <n v="20.3"/>
        <n v="9"/>
        <n v="1.4"/>
        <n v="10.7"/>
        <n v="20.100000000000001"/>
        <n v="21.4"/>
        <n v="17.100000000000001"/>
        <n v="28.5"/>
        <n v="13.7"/>
        <n v="37.1"/>
        <n v="26.1"/>
        <n v="13.3"/>
        <n v="20.5"/>
        <n v="42.5"/>
        <n v="35.6"/>
        <n v="43.9"/>
        <n v="37.5"/>
        <n v="37.799999999999997"/>
        <n v="21.5"/>
        <n v="44.8"/>
        <n v="53.4"/>
        <n v="51.5"/>
        <n v="1.8"/>
        <n v="42.9"/>
        <n v="33.9"/>
        <n v="11.1"/>
        <n v="19.5"/>
        <n v="15.4"/>
        <n v="5"/>
        <n v="3.1"/>
        <n v="43.6"/>
        <n v="3.2"/>
        <n v="16.600000000000001"/>
        <n v="4.0999999999999996"/>
        <n v="42.6"/>
        <n v="29.8"/>
        <n v="15.6"/>
        <n v="17.8"/>
        <n v="38.200000000000003"/>
        <n v="50.3"/>
        <n v="54.8"/>
        <n v="8.8000000000000007"/>
        <n v="23"/>
        <n v="46.2"/>
        <n v="6.3"/>
        <n v="9.6999999999999993"/>
        <n v="13.6"/>
        <n v="4.5999999999999996"/>
        <n v="39.799999999999997"/>
        <n v="26.5"/>
        <n v="6.1"/>
        <n v="20.7"/>
        <n v="38.700000000000003"/>
        <n v="25.7"/>
        <n v="46.1"/>
        <n v="13.5"/>
        <n v="60.1"/>
        <n v="28.8"/>
        <n v="25.4"/>
        <n v="31.7"/>
        <n v="19.899999999999999"/>
        <n v="3.8"/>
        <n v="43.3"/>
        <n v="16.399999999999999"/>
        <n v="36"/>
        <n v="25.5"/>
        <n v="59.3"/>
        <n v="0"/>
        <n v="4.4000000000000004"/>
        <n v="43"/>
        <n v="30.2"/>
        <n v="0.4"/>
        <n v="36.5"/>
        <n v="5.9"/>
        <n v="40.1"/>
        <n v="48.7"/>
        <n v="19.100000000000001"/>
        <n v="27.6"/>
        <n v="8.6"/>
        <n v="3.6"/>
        <n v="18.3"/>
        <n v="39.6"/>
        <n v="16.100000000000001"/>
        <n v="42.3"/>
        <n v="59.2"/>
        <n v="23.5"/>
        <n v="49.2"/>
        <n v="34.799999999999997"/>
        <n v="13.9"/>
        <n v="21.3"/>
        <n v="12"/>
        <n v="27.1"/>
        <n v="14.1"/>
        <n v="52.4"/>
        <n v="29.4"/>
        <n v="30"/>
        <n v="2.9"/>
        <n v="19.7"/>
        <n v="39.700000000000003"/>
        <n v="5.6"/>
        <n v="12.4"/>
        <n v="42.2"/>
        <n v="30.5"/>
        <n v="4"/>
        <n v="22.6"/>
        <n v="74.900000000000006"/>
        <n v="38.1"/>
        <n v="28.3"/>
        <n v="48"/>
        <n v="38.299999999999997"/>
        <n v="48.9"/>
        <n v="11.2"/>
        <n v="17.899999999999999"/>
        <n v="18.2"/>
        <n v="1.6"/>
        <n v="28.6"/>
        <n v="39.299999999999997"/>
        <n v="44.4"/>
        <n v="4.2"/>
        <n v="14.3"/>
        <n v="12.5"/>
        <n v="32.5"/>
        <n v="6.7"/>
        <n v="71.099999999999994"/>
        <n v="38"/>
        <n v="34.200000000000003"/>
        <n v="4.8"/>
        <n v="0.5"/>
        <n v="-0.1"/>
        <n v="11.8"/>
        <n v="39"/>
        <n v="59.4"/>
        <n v="35.4"/>
        <n v="12.6"/>
        <n v="21.7"/>
        <n v="16.2"/>
        <n v="34.1"/>
        <n v="29.1"/>
        <n v="21.1"/>
        <n v="45.7"/>
        <n v="28"/>
        <n v="-44.8"/>
        <n v="26.4"/>
        <n v="40.5"/>
        <n v="45.2"/>
        <n v="11.3"/>
        <n v="3.7"/>
        <n v="41.1"/>
        <n v="12.9"/>
        <n v="69.099999999999994"/>
        <n v="20.399999999999999"/>
        <n v="33.799999999999997"/>
        <n v="48.6"/>
        <n v="46.3"/>
        <n v="25.9"/>
        <n v="56.8"/>
        <n v="47"/>
        <n v="36.1"/>
        <n v="8.4"/>
        <n v="24"/>
        <n v="20"/>
        <n v="46.4"/>
        <n v="41.6"/>
        <n v="24.2"/>
        <n v="34.299999999999997"/>
        <n v="33.4"/>
        <n v="35.5"/>
        <n v="9.6"/>
        <n v="33.1"/>
        <n v="25.3"/>
        <n v="33"/>
        <n v="32.200000000000003"/>
        <n v="17.5"/>
        <n v="48.2"/>
        <n v="42.4"/>
        <n v="25.2"/>
        <n v="40"/>
        <n v="58.6"/>
        <n v="54"/>
        <n v="-33.200000000000003"/>
        <n v="24.9"/>
        <n v="19.399999999999999"/>
        <n v="2"/>
        <n v="37.6"/>
        <n v="57.6"/>
        <n v="27.3"/>
        <n v="25.1"/>
        <n v="9.5"/>
        <n v="36.4"/>
        <n v="48.3"/>
        <n v="44.7"/>
        <n v="-18.5"/>
        <n v="67.900000000000006"/>
        <n v="52.1"/>
        <n v="16.899999999999999"/>
        <n v="28.2"/>
        <n v="38.799999999999997"/>
        <n v="37"/>
        <n v="38.6"/>
        <n v="13.4"/>
        <n v="47.5"/>
        <n v="59.8"/>
        <n v="70.3"/>
        <n v="32.9"/>
        <n v="1.3"/>
        <n v="42.7"/>
        <n v="31.1"/>
        <n v="2.4"/>
        <n v="67.400000000000006"/>
        <n v="18.100000000000001"/>
        <n v="15.9"/>
        <n v="29.6"/>
        <n v="-7.1"/>
        <n v="38.5"/>
        <n v="23.1"/>
        <n v="30.7"/>
        <n v="56.9"/>
        <n v="57.2"/>
        <n v="3.5"/>
        <n v="32.4"/>
        <n v="40.9"/>
        <n v="30.1"/>
        <n v="18.399999999999999"/>
        <n v="47.7"/>
        <n v="40.200000000000003"/>
        <n v="29.9"/>
        <n v="24.8"/>
        <n v="20.8"/>
        <n v="27.4"/>
        <n v="30.3"/>
        <n v="-18.3"/>
        <n v="29"/>
        <n v="13.8"/>
        <n v="18"/>
        <n v="22.4"/>
        <n v="32"/>
        <n v="72.3"/>
        <n v="4.5"/>
        <n v="14.9"/>
        <n v="-1.2"/>
        <n v="6.4"/>
        <n v="34"/>
        <n v="12.8"/>
        <n v="3.4"/>
        <n v="22.1"/>
        <n v="31.6"/>
        <n v="23.3"/>
        <n v="25.6"/>
        <n v="19"/>
        <n v="75.599999999999994"/>
        <n v="44.9"/>
        <n v="11.4"/>
        <n v="40.700000000000003"/>
        <n v="47.3"/>
        <n v="26.6"/>
        <n v="21.2"/>
        <n v="62.6"/>
        <n v="49.7"/>
        <n v="54.2"/>
        <n v="-32.700000000000003"/>
        <n v="50.1"/>
        <n v="48.5"/>
        <n v="25"/>
        <n v="50"/>
        <n v="50.9"/>
        <n v="22.8"/>
        <n v="12.3"/>
        <n v="16.5"/>
        <n v="9.1999999999999993"/>
        <n v="11.9"/>
        <n v="37.9"/>
        <n v="47.8"/>
        <n v="-29.5"/>
        <n v="9.8000000000000007"/>
        <n v="30.6"/>
        <n v="56.6"/>
        <n v="53"/>
        <n v="37.700000000000003"/>
        <n v="69.7"/>
        <n v="1.9"/>
        <n v="2.2000000000000002"/>
        <n v="-25.4"/>
        <n v="39.200000000000003"/>
        <n v="49.3"/>
        <n v="60.9"/>
        <n v="57.7"/>
        <n v="67.099999999999994"/>
        <n v="0.9"/>
        <n v="2.8"/>
        <n v="6.2"/>
        <n v="26.8"/>
        <n v="48.4"/>
        <n v="19.600000000000001"/>
        <n v="50.7"/>
        <n v="17.399999999999999"/>
        <n v="29.5"/>
        <n v="5.0999999999999996"/>
        <n v="8.5"/>
        <n v="4.9000000000000004"/>
        <n v="46.7"/>
        <n v="-23"/>
        <n v="20.2"/>
        <n v="42.8"/>
        <n v="24.3"/>
        <n v="33.299999999999997"/>
        <n v="23.9"/>
        <n v="42"/>
        <n v="8"/>
        <n v="26.9"/>
        <n v="61.1"/>
        <n v="63.8"/>
        <n v="47.1"/>
        <n v="6.9"/>
        <n v="52.8"/>
        <n v="34.9"/>
        <n v="65.599999999999994"/>
        <n v="41.4"/>
        <n v="89.4"/>
        <n v="71.3"/>
        <n v="12.7"/>
        <n v="24.1"/>
        <n v="9.4"/>
        <n v="44.6"/>
        <n v="40.799999999999997"/>
      </sharedItems>
    </cacheField>
    <cacheField name="deadhead_miles" numFmtId="0">
      <sharedItems containsSemiMixedTypes="0" containsString="0" containsNumber="1" minValue="-2.5" maxValue="69.599999999999994" count="409">
        <n v="20.3"/>
        <n v="2.7"/>
        <n v="9.4"/>
        <n v="50.7"/>
        <n v="3.4"/>
        <n v="29.8"/>
        <n v="0.7"/>
        <n v="24"/>
        <n v="26.6"/>
        <n v="21.8"/>
        <n v="6.5"/>
        <n v="23.9"/>
        <n v="20.2"/>
        <n v="41.4"/>
        <n v="17.7"/>
        <n v="33"/>
        <n v="2.4"/>
        <n v="11.7"/>
        <n v="6.1"/>
        <n v="27.7"/>
        <n v="12.8"/>
        <n v="35.200000000000003"/>
        <n v="21.4"/>
        <n v="32.299999999999997"/>
        <n v="29.1"/>
        <n v="18.2"/>
        <n v="4"/>
        <n v="35.799999999999997"/>
        <n v="20.9"/>
        <n v="32.9"/>
        <n v="27.4"/>
        <n v="4.9000000000000004"/>
        <n v="20.100000000000001"/>
        <n v="49.1"/>
        <n v="19.2"/>
        <n v="35.6"/>
        <n v="16"/>
        <n v="28.5"/>
        <n v="7.6"/>
        <n v="22.7"/>
        <n v="27.3"/>
        <n v="6.7"/>
        <n v="6"/>
        <n v="9.6"/>
        <n v="41.1"/>
        <n v="2.1"/>
        <n v="19.899999999999999"/>
        <n v="40"/>
        <n v="19.7"/>
        <n v="22.2"/>
        <n v="3.2"/>
        <n v="1.1000000000000001"/>
        <n v="22.5"/>
        <n v="19.5"/>
        <n v="4.5"/>
        <n v="12"/>
        <n v="4.8"/>
        <n v="25.4"/>
        <n v="47.8"/>
        <n v="10"/>
        <n v="17.399999999999999"/>
        <n v="0.9"/>
        <n v="21.2"/>
        <n v="47.7"/>
        <n v="29"/>
        <n v="45.4"/>
        <n v="27.6"/>
        <n v="12.9"/>
        <n v="23.4"/>
        <n v="31.7"/>
        <n v="7.4"/>
        <n v="32.1"/>
        <n v="13.6"/>
        <n v="35.700000000000003"/>
        <n v="19.399999999999999"/>
        <n v="31.1"/>
        <n v="13.9"/>
        <n v="32.799999999999997"/>
        <n v="4.2"/>
        <n v="-1.7"/>
        <n v="2.5"/>
        <n v="3"/>
        <n v="10.8"/>
        <n v="6.8"/>
        <n v="11.5"/>
        <n v="34.9"/>
        <n v="8.6999999999999993"/>
        <n v="23.7"/>
        <n v="6.9"/>
        <n v="33.6"/>
        <n v="30.9"/>
        <n v="35"/>
        <n v="17.8"/>
        <n v="2.9"/>
        <n v="4.7"/>
        <n v="19.600000000000001"/>
        <n v="24.6"/>
        <n v="58.3"/>
        <n v="34.799999999999997"/>
        <n v="1.8"/>
        <n v="13.8"/>
        <n v="18"/>
        <n v="25.6"/>
        <n v="46.9"/>
        <n v="4.5999999999999996"/>
        <n v="19"/>
        <n v="22.1"/>
        <n v="14.3"/>
        <n v="20.5"/>
        <n v="7.1"/>
        <n v="1.2"/>
        <n v="3.1"/>
        <n v="3.6"/>
        <n v="16.8"/>
        <n v="1.9"/>
        <n v="6.4"/>
        <n v="21.1"/>
        <n v="1.7"/>
        <n v="7.8"/>
        <n v="28.6"/>
        <n v="3.9"/>
        <n v="18.100000000000001"/>
        <n v="21"/>
        <n v="27.2"/>
        <n v="14.7"/>
        <n v="29.6"/>
        <n v="43.7"/>
        <n v="-0.4"/>
        <n v="0.2"/>
        <n v="27.9"/>
        <n v="38.9"/>
        <n v="16.3"/>
        <n v="34.299999999999997"/>
        <n v="5.3"/>
        <n v="37.799999999999997"/>
        <n v="9.6999999999999993"/>
        <n v="30.2"/>
        <n v="7"/>
        <n v="29.5"/>
        <n v="5.0999999999999996"/>
        <n v="40.200000000000003"/>
        <n v="27.8"/>
        <n v="1.3"/>
        <n v="42.4"/>
        <n v="18.3"/>
        <n v="2.6"/>
        <n v="69.599999999999994"/>
        <n v="47.3"/>
        <n v="12.1"/>
        <n v="25"/>
        <n v="31.8"/>
        <n v="24.7"/>
        <n v="28.8"/>
        <n v="42.5"/>
        <n v="17.100000000000001"/>
        <n v="30.5"/>
        <n v="44.4"/>
        <n v="3.7"/>
        <n v="26.8"/>
        <n v="17.600000000000001"/>
        <n v="38.4"/>
        <n v="8.4"/>
        <n v="8.5"/>
        <n v="10.3"/>
        <n v="0.8"/>
        <n v="0"/>
        <n v="16.899999999999999"/>
        <n v="40.1"/>
        <n v="60.3"/>
        <n v="12.4"/>
        <n v="4.4000000000000004"/>
        <n v="27.5"/>
        <n v="17.3"/>
        <n v="47"/>
        <n v="26.4"/>
        <n v="13.5"/>
        <n v="30.3"/>
        <n v="31.9"/>
        <n v="36.6"/>
        <n v="24.1"/>
        <n v="11"/>
        <n v="31.4"/>
        <n v="25.9"/>
        <n v="12.6"/>
        <n v="25.2"/>
        <n v="11.3"/>
        <n v="9.1"/>
        <n v="31.3"/>
        <n v="41.9"/>
        <n v="8.1"/>
        <n v="6.2"/>
        <n v="2.8"/>
        <n v="18.5"/>
        <n v="14.2"/>
        <n v="18.7"/>
        <n v="7.2"/>
        <n v="4.0999999999999996"/>
        <n v="14.8"/>
        <n v="47.1"/>
        <n v="15.9"/>
        <n v="22"/>
        <n v="7.7"/>
        <n v="1.6"/>
        <n v="7.5"/>
        <n v="32"/>
        <n v="23.1"/>
        <n v="28.4"/>
        <n v="45.8"/>
        <n v="15.4"/>
        <n v="9"/>
        <n v="14.5"/>
        <n v="22.6"/>
        <n v="10.7"/>
        <n v="7.3"/>
        <n v="9.8000000000000007"/>
        <n v="46.1"/>
        <n v="33.799999999999997"/>
        <n v="29.4"/>
        <n v="37.4"/>
        <n v="23.3"/>
        <n v="37.1"/>
        <n v="21.3"/>
        <n v="5.6"/>
        <n v="17.2"/>
        <n v="34"/>
        <n v="10.5"/>
        <n v="25.3"/>
        <n v="26.3"/>
        <n v="30"/>
        <n v="46.3"/>
        <n v="17"/>
        <n v="26"/>
        <n v="20"/>
        <n v="23.5"/>
        <n v="28.1"/>
        <n v="37.5"/>
        <n v="43.9"/>
        <n v="9.1999999999999993"/>
        <n v="22.8"/>
        <n v="38.200000000000003"/>
        <n v="13.2"/>
        <n v="14.4"/>
        <n v="33.1"/>
        <n v="40.9"/>
        <n v="13.7"/>
        <n v="24.9"/>
        <n v="27.1"/>
        <n v="30.7"/>
        <n v="51.9"/>
        <n v="20.6"/>
        <n v="28.9"/>
        <n v="3.8"/>
        <n v="19.8"/>
        <n v="24.3"/>
        <n v="25.7"/>
        <n v="9.9"/>
        <n v="13.4"/>
        <n v="11.4"/>
        <n v="21.7"/>
        <n v="12.7"/>
        <n v="19.100000000000001"/>
        <n v="14.1"/>
        <n v="25.1"/>
        <n v="11.6"/>
        <n v="31"/>
        <n v="33.700000000000003"/>
        <n v="15.7"/>
        <n v="13.1"/>
        <n v="10.6"/>
        <n v="36.1"/>
        <n v="5.7"/>
        <n v="35.1"/>
        <n v="22.3"/>
        <n v="40.6"/>
        <n v="13.3"/>
        <n v="31.2"/>
        <n v="12.3"/>
        <n v="10.1"/>
        <n v="0.4"/>
        <n v="7.9"/>
        <n v="9.5"/>
        <n v="23.2"/>
        <n v="12.5"/>
        <n v="26.2"/>
        <n v="15.3"/>
        <n v="37.200000000000003"/>
        <n v="28"/>
        <n v="0.1"/>
        <n v="34.1"/>
        <n v="31.6"/>
        <n v="43.5"/>
        <n v="40.4"/>
        <n v="38.1"/>
        <n v="22.4"/>
        <n v="5"/>
        <n v="29.9"/>
        <n v="21.5"/>
        <n v="0.5"/>
        <n v="18.899999999999999"/>
        <n v="15.6"/>
        <n v="2.2999999999999998"/>
        <n v="5.2"/>
        <n v="8.1999999999999993"/>
        <n v="13"/>
        <n v="2.2000000000000002"/>
        <n v="33.200000000000003"/>
        <n v="22.9"/>
        <n v="32.200000000000003"/>
        <n v="21.6"/>
        <n v="12.2"/>
        <n v="51.6"/>
        <n v="16.100000000000001"/>
        <n v="35.299999999999997"/>
        <n v="28.2"/>
        <n v="5.8"/>
        <n v="10.4"/>
        <n v="47.6"/>
        <n v="50.9"/>
        <n v="32.700000000000003"/>
        <n v="30.6"/>
        <n v="10.9"/>
        <n v="14.6"/>
        <n v="24.4"/>
        <n v="34.5"/>
        <n v="20.8"/>
        <n v="41"/>
        <n v="17.899999999999999"/>
        <n v="23.8"/>
        <n v="14"/>
        <n v="38.700000000000003"/>
        <n v="15.5"/>
        <n v="35.5"/>
        <n v="33.5"/>
        <n v="34.200000000000003"/>
        <n v="23.6"/>
        <n v="29.3"/>
        <n v="23"/>
        <n v="39.5"/>
        <n v="0.3"/>
        <n v="8.9"/>
        <n v="1.4"/>
        <n v="19.3"/>
        <n v="11.2"/>
        <n v="15"/>
        <n v="32.5"/>
        <n v="34.700000000000003"/>
        <n v="42.2"/>
        <n v="18.8"/>
        <n v="26.9"/>
        <n v="15.2"/>
        <n v="33.299999999999997"/>
        <n v="32.4"/>
        <n v="4.3"/>
        <n v="26.7"/>
        <n v="3.5"/>
        <n v="42.3"/>
        <n v="17.5"/>
        <n v="5.5"/>
        <n v="38.5"/>
        <n v="0.6"/>
        <n v="20.7"/>
        <n v="16.399999999999999"/>
        <n v="25.5"/>
        <n v="14.9"/>
        <n v="35.9"/>
        <n v="44.7"/>
        <n v="37"/>
        <n v="28.3"/>
        <n v="1.5"/>
        <n v="43.6"/>
        <n v="43"/>
        <n v="24.5"/>
        <n v="10.199999999999999"/>
        <n v="3.3"/>
        <n v="2"/>
        <n v="25.8"/>
        <n v="8.6"/>
        <n v="44.5"/>
        <n v="43.3"/>
        <n v="30.1"/>
        <n v="8.3000000000000007"/>
        <n v="38"/>
        <n v="36.700000000000003"/>
        <n v="20.399999999999999"/>
        <n v="31.5"/>
        <n v="18.399999999999999"/>
        <n v="5.9"/>
        <n v="24.8"/>
        <n v="16.7"/>
        <n v="11.1"/>
        <n v="36.799999999999997"/>
        <n v="8"/>
        <n v="36.5"/>
        <n v="39.6"/>
        <n v="9.3000000000000007"/>
        <n v="43.1"/>
        <n v="15.1"/>
        <n v="43.4"/>
        <n v="41.8"/>
        <n v="-2.5"/>
        <n v="11.9"/>
        <n v="45.2"/>
        <n v="11.8"/>
        <n v="40.799999999999997"/>
        <n v="40.5"/>
        <n v="32.6"/>
        <n v="41.2"/>
        <n v="56"/>
        <n v="16.600000000000001"/>
      </sharedItems>
    </cacheField>
    <cacheField name="loaded_miles" numFmtId="0">
      <sharedItems containsSemiMixedTypes="0" containsString="0" containsNumber="1" minValue="12.3" maxValue="1046"/>
    </cacheField>
    <cacheField name="total_miles" numFmtId="0">
      <sharedItems containsSemiMixedTypes="0" containsString="0" containsNumber="1" minValue="31.7" maxValue="1095.0999999999999"/>
    </cacheField>
    <cacheField name="truck_types" numFmtId="0">
      <sharedItems count="5">
        <s v="Dry Van"/>
        <s v="Intermodal"/>
        <s v="Reefer"/>
        <s v="Flatbed"/>
        <s v="Tanker"/>
      </sharedItems>
    </cacheField>
    <cacheField name="delivery_times" numFmtId="0">
      <sharedItems/>
    </cacheField>
    <cacheField name="pickup_time_bucket" numFmtId="0">
      <sharedItems/>
    </cacheField>
    <cacheField name="day_of_the_week" numFmtId="0">
      <sharedItems count="7">
        <s v="Tuesday"/>
        <s v="Saturday"/>
        <s v="Monday"/>
        <s v="Sunday"/>
        <s v="Wednesday"/>
        <s v="Thursday"/>
        <s v="Friday"/>
      </sharedItems>
    </cacheField>
    <cacheField name="Delay Reason" numFmtId="0">
      <sharedItems count="5">
        <s v=""/>
        <s v="mechanical"/>
        <s v="weather"/>
        <s v="traffic"/>
        <s v="detention"/>
      </sharedItems>
    </cacheField>
    <cacheField name="delay_minutes" numFmtId="0">
      <sharedItems containsSemiMixedTypes="0" containsString="0" containsNumber="1" containsInteger="1" minValue="-88" maxValue="956"/>
    </cacheField>
    <cacheField name="detention_minutes" numFmtId="0">
      <sharedItems containsSemiMixedTypes="0" containsString="0" containsNumber="1" containsInteger="1" minValue="0" maxValue="426"/>
    </cacheField>
    <cacheField name="weather_severity_index" numFmtId="0">
      <sharedItems containsSemiMixedTypes="0" containsString="0" containsNumber="1" minValue="0" maxValue="5"/>
    </cacheField>
    <cacheField name="traffic_index" numFmtId="0">
      <sharedItems containsSemiMixedTypes="0" containsString="0" containsNumber="1" minValue="5" maxValue="100"/>
    </cacheField>
    <cacheField name="mechanical_flag" numFmtId="0">
      <sharedItems containsSemiMixedTypes="0" containsString="0" containsNumber="1" containsInteger="1" minValue="0" maxValue="1"/>
    </cacheField>
    <cacheField name="utilization_rate" numFmtId="0">
      <sharedItems containsSemiMixedTypes="0" containsString="0" containsNumber="1" minValue="0.152" maxValue="0.97099999999999997"/>
    </cacheField>
    <cacheField name="load_factor" numFmtId="0">
      <sharedItems containsSemiMixedTypes="0" containsString="0" containsNumber="1" minValue="0.2" maxValue="0.98899999999999999"/>
    </cacheField>
    <cacheField name="shipment_value_usd" numFmtId="0">
      <sharedItems containsSemiMixedTypes="0" containsString="0" containsNumber="1" minValue="806.36" maxValue="120828.21"/>
    </cacheField>
    <cacheField name="shipment_value_bucket" numFmtId="0">
      <sharedItems count="3">
        <s v="Low"/>
        <s v="Medium"/>
        <s v="High"/>
      </sharedItems>
    </cacheField>
    <cacheField name="total_shipments" numFmtId="0">
      <sharedItems containsSemiMixedTypes="0" containsString="0" containsNumber="1" containsInteger="1" minValue="1" maxValue="1"/>
    </cacheField>
    <cacheField name="on_time_deliveries" numFmtId="0">
      <sharedItems containsSemiMixedTypes="0" containsString="0" containsNumber="1" containsInteger="1" minValue="0" maxValue="1"/>
    </cacheField>
    <cacheField name="late_deliveries" numFmtId="0">
      <sharedItems containsSemiMixedTypes="0" containsString="0" containsNumber="1" containsInteger="1" minValue="0" maxValue="1"/>
    </cacheField>
    <cacheField name="on_time_count" numFmtId="0">
      <sharedItems containsSemiMixedTypes="0" containsString="0" containsNumber="1" containsInteger="1" minValue="0" maxValue="1"/>
    </cacheField>
    <cacheField name="Late_count" numFmtId="0">
      <sharedItems containsSemiMixedTypes="0" containsString="0" containsNumber="1" containsInteger="1" minValue="0" maxValue="1"/>
    </cacheField>
    <cacheField name="on_time_flag" numFmtId="0">
      <sharedItems containsSemiMixedTypes="0" containsString="0" containsNumber="1" containsInteger="1" minValue="0" maxValue="1"/>
    </cacheField>
    <cacheField name="late_flag" numFmtId="0">
      <sharedItems containsSemiMixedTypes="0" containsString="0" containsNumber="1" containsInteger="1" minValue="0" maxValue="1"/>
    </cacheField>
    <cacheField name="cost_per_mile" numFmtId="0">
      <sharedItems containsSemiMixedTypes="0" containsString="0" containsNumber="1" minValue="1.62" maxValue="3.02" count="115">
        <n v="2.0299999999999998"/>
        <n v="2.2799999999999998"/>
        <n v="1.87"/>
        <n v="2.11"/>
        <n v="2.4300000000000002"/>
        <n v="2.3199999999999998"/>
        <n v="2.35"/>
        <n v="1.89"/>
        <n v="2.13"/>
        <n v="2.1"/>
        <n v="1.92"/>
        <n v="2.48"/>
        <n v="2.31"/>
        <n v="2.2000000000000002"/>
        <n v="2.25"/>
        <n v="2.61"/>
        <n v="2"/>
        <n v="2.2400000000000002"/>
        <n v="2.17"/>
        <n v="1.93"/>
        <n v="2.34"/>
        <n v="1.95"/>
        <n v="2.2599999999999998"/>
        <n v="1.86"/>
        <n v="2.1800000000000002"/>
        <n v="1.99"/>
        <n v="2.06"/>
        <n v="2.19"/>
        <n v="1.98"/>
        <n v="2.73"/>
        <n v="2.08"/>
        <n v="2.4500000000000002"/>
        <n v="2.2200000000000002"/>
        <n v="2.4"/>
        <n v="2.68"/>
        <n v="2.46"/>
        <n v="2.91"/>
        <n v="2.14"/>
        <n v="2.56"/>
        <n v="2.38"/>
        <n v="2.4900000000000002"/>
        <n v="2.5099999999999998"/>
        <n v="2.2999999999999998"/>
        <n v="2.37"/>
        <n v="1.9"/>
        <n v="2.5299999999999998"/>
        <n v="2.27"/>
        <n v="2.6"/>
        <n v="2.5"/>
        <n v="2.64"/>
        <n v="2.15"/>
        <n v="2.39"/>
        <n v="2.23"/>
        <n v="2.58"/>
        <n v="2.44"/>
        <n v="2.0699999999999998"/>
        <n v="2.41"/>
        <n v="1.7"/>
        <n v="2.21"/>
        <n v="2.42"/>
        <n v="2.57"/>
        <n v="2.29"/>
        <n v="2.16"/>
        <n v="2.02"/>
        <n v="2.67"/>
        <n v="2.33"/>
        <n v="2.77"/>
        <n v="2.36"/>
        <n v="2.09"/>
        <n v="2.54"/>
        <n v="2.12"/>
        <n v="2.75"/>
        <n v="1.83"/>
        <n v="2.74"/>
        <n v="1.8"/>
        <n v="2.63"/>
        <n v="2.0099999999999998"/>
        <n v="2.5499999999999998"/>
        <n v="2.78"/>
        <n v="1.85"/>
        <n v="1.88"/>
        <n v="2.0499999999999998"/>
        <n v="2.9"/>
        <n v="1.94"/>
        <n v="2.72"/>
        <n v="1.97"/>
        <n v="1.82"/>
        <n v="1.75"/>
        <n v="2.71"/>
        <n v="2.76"/>
        <n v="2.66"/>
        <n v="2.65"/>
        <n v="1.84"/>
        <n v="2.83"/>
        <n v="2.7"/>
        <n v="2.52"/>
        <n v="1.91"/>
        <n v="1.62"/>
        <n v="3.02"/>
        <n v="1.96"/>
        <n v="1.74"/>
        <n v="1.69"/>
        <n v="1.79"/>
        <n v="1.72"/>
        <n v="2.59"/>
        <n v="2.82"/>
        <n v="2.89"/>
        <n v="1.77"/>
        <n v="2.4700000000000002"/>
        <n v="2.04"/>
        <n v="1.81"/>
        <n v="2.79"/>
        <n v="2.62"/>
        <n v="2.87"/>
        <n v="2.69"/>
      </sharedItems>
    </cacheField>
    <cacheField name="variable_cost_per_mile" numFmtId="0">
      <sharedItems containsString="0" containsBlank="1" containsNumber="1" minValue="1.02" maxValue="2.31" count="107">
        <n v="1.51"/>
        <n v="1.73"/>
        <n v="1.21"/>
        <n v="1.67"/>
        <n v="1.42"/>
        <n v="1.59"/>
        <n v="1.55"/>
        <n v="1.75"/>
        <n v="1.43"/>
        <n v="1.62"/>
        <n v="1.36"/>
        <n v="1.23"/>
        <n v="1.81"/>
        <n v="1.4"/>
        <n v="1.76"/>
        <n v="1.85"/>
        <n v="1.48"/>
        <n v="1.52"/>
        <n v="1.64"/>
        <n v="1.19"/>
        <n v="1.8"/>
        <n v="1.1499999999999999"/>
        <n v="1.58"/>
        <n v="1.33"/>
        <n v="1.32"/>
        <n v="1.54"/>
        <n v="1.6"/>
        <n v="1.2"/>
        <n v="2.11"/>
        <n v="1.37"/>
        <n v="1.47"/>
        <n v="1.45"/>
        <n v="1.78"/>
        <n v="1.79"/>
        <n v="1.9"/>
        <n v="1.66"/>
        <n v="1.49"/>
        <n v="1.44"/>
        <n v="1.5"/>
        <n v="1.86"/>
        <n v="1.28"/>
        <n v="1.31"/>
        <n v="1.46"/>
        <n v="1.94"/>
        <n v="1.93"/>
        <n v="1.22"/>
        <n v="1.57"/>
        <n v="1.89"/>
        <n v="1.7"/>
        <n v="1.56"/>
        <n v="1.68"/>
        <n v="1.99"/>
        <n v="1.53"/>
        <n v="2.04"/>
        <n v="1.1000000000000001"/>
        <n v="1.84"/>
        <n v="1.61"/>
        <n v="1.1399999999999999"/>
        <n v="1.63"/>
        <n v="1.27"/>
        <m/>
        <n v="1.69"/>
        <n v="1.91"/>
        <n v="1.38"/>
        <n v="2.02"/>
        <n v="1.29"/>
        <n v="1.25"/>
        <n v="1.41"/>
        <n v="1.74"/>
        <n v="1.71"/>
        <n v="1.1200000000000001"/>
        <n v="1.97"/>
        <n v="1.92"/>
        <n v="1.24"/>
        <n v="1.3"/>
        <n v="1.34"/>
        <n v="1.88"/>
        <n v="1.35"/>
        <n v="2"/>
        <n v="2.31"/>
        <n v="2.1"/>
        <n v="1.02"/>
        <n v="1.77"/>
        <n v="1.08"/>
        <n v="1.05"/>
        <n v="1.65"/>
        <n v="2.0499999999999998"/>
        <n v="1.17"/>
        <n v="1.39"/>
        <n v="1.82"/>
        <n v="1.95"/>
        <n v="1.72"/>
        <n v="2.17"/>
        <n v="1.26"/>
        <n v="2.0099999999999998"/>
        <n v="1.18"/>
        <n v="1.83"/>
        <n v="2.27"/>
        <n v="2.12"/>
        <n v="1.03"/>
        <n v="1.1299999999999999"/>
        <n v="1.87"/>
        <n v="1.96"/>
        <n v="2.21"/>
        <n v="1.98"/>
        <n v="2.0299999999999998"/>
        <n v="1.07"/>
      </sharedItems>
    </cacheField>
    <cacheField name="fuel_cost_total" numFmtId="0">
      <sharedItems containsSemiMixedTypes="0" containsString="0" containsNumber="1" minValue="26.3" maxValue="963.76"/>
    </cacheField>
    <cacheField name="maintenance_cost_total" numFmtId="0">
      <sharedItems containsSemiMixedTypes="0" containsString="0" containsNumber="1" minValue="4.74" maxValue="1241.69"/>
    </cacheField>
    <cacheField name="driver_pay_total" numFmtId="0">
      <sharedItems containsSemiMixedTypes="0" containsString="0" containsNumber="1" minValue="19.600000000000001" maxValue="759.2" count="980">
        <n v="146.57"/>
        <n v="160.22"/>
        <n v="135.97999999999999"/>
        <n v="64.72"/>
        <n v="128.76"/>
        <n v="216.14"/>
        <n v="190.54"/>
        <n v="240.79"/>
        <n v="133.09"/>
        <n v="69.41"/>
        <n v="160.66"/>
        <n v="124.44"/>
        <n v="373.37"/>
        <n v="225.83"/>
        <n v="203.18"/>
        <n v="211.42"/>
        <n v="462.52"/>
        <n v="250.41"/>
        <n v="198.05"/>
        <n v="166.5"/>
        <n v="153.34"/>
        <n v="128.69999999999999"/>
        <n v="210.52"/>
        <n v="186.64"/>
        <n v="76.17"/>
        <n v="309.81"/>
        <n v="194.93"/>
        <n v="224.22"/>
        <n v="242.34"/>
        <n v="118.64"/>
        <n v="505.79"/>
        <n v="268.3"/>
        <n v="134.65"/>
        <n v="246.84"/>
        <n v="371.17"/>
        <n v="153.97999999999999"/>
        <n v="191.97"/>
        <n v="267.79000000000002"/>
        <n v="197.91"/>
        <n v="179.01"/>
        <n v="181.4"/>
        <n v="280.54000000000002"/>
        <n v="240.32"/>
        <n v="138.41999999999999"/>
        <n v="90.18"/>
        <n v="98.85"/>
        <n v="50.88"/>
        <n v="283.92"/>
        <n v="114.17"/>
        <n v="182.3"/>
        <n v="160.18"/>
        <n v="541.92999999999995"/>
        <n v="171.52"/>
        <n v="31.53"/>
        <n v="56.66"/>
        <n v="166.19"/>
        <n v="117.97"/>
        <n v="100.43"/>
        <n v="221.55"/>
        <n v="74.92"/>
        <n v="110.08"/>
        <n v="163.5"/>
        <n v="80.819999999999993"/>
        <n v="61.53"/>
        <n v="28.73"/>
        <n v="114.44"/>
        <n v="95.43"/>
        <n v="74.209999999999994"/>
        <n v="143.37"/>
        <n v="70.55"/>
        <n v="369.55"/>
        <n v="214.56"/>
        <n v="133.29"/>
        <n v="198.14"/>
        <n v="166.12"/>
        <n v="203.16"/>
        <n v="79.02"/>
        <n v="198.02"/>
        <n v="169.18"/>
        <n v="602.80999999999995"/>
        <n v="104.9"/>
        <n v="177.57"/>
        <n v="317.58999999999997"/>
        <n v="70.959999999999994"/>
        <n v="238.63"/>
        <n v="49.59"/>
        <n v="212.79"/>
        <n v="163.41999999999999"/>
        <n v="77.78"/>
        <n v="127.37"/>
        <n v="494.37"/>
        <n v="63.35"/>
        <n v="514.75"/>
        <n v="161.81"/>
        <n v="222.38"/>
        <n v="151.58000000000001"/>
        <n v="55.95"/>
        <n v="238.12"/>
        <n v="139.41"/>
        <n v="291.02"/>
        <n v="148.26"/>
        <n v="195.02"/>
        <n v="98.44"/>
        <n v="193.25"/>
        <n v="65.849999999999994"/>
        <n v="174.12"/>
        <n v="309.37"/>
        <n v="45.63"/>
        <n v="19.600000000000001"/>
        <n v="202.71"/>
        <n v="195.15"/>
        <n v="139.38999999999999"/>
        <n v="124.08"/>
        <n v="180.81"/>
        <n v="53.36"/>
        <n v="191.85"/>
        <n v="310.95"/>
        <n v="86.96"/>
        <n v="133.47"/>
        <n v="580.1"/>
        <n v="244.63"/>
        <n v="301.05"/>
        <n v="148.32"/>
        <n v="299.35000000000002"/>
        <n v="81.849999999999994"/>
        <n v="81.62"/>
        <n v="101.84"/>
        <n v="209.55"/>
        <n v="189.44"/>
        <n v="145.94999999999999"/>
        <n v="388.27"/>
        <n v="254.31"/>
        <n v="172.67"/>
        <n v="122.33"/>
        <n v="101.31"/>
        <n v="148.93"/>
        <n v="67.55"/>
        <n v="650.46"/>
        <n v="77.83"/>
        <n v="33.08"/>
        <n v="254.33"/>
        <n v="217.94"/>
        <n v="291.06"/>
        <n v="178.91"/>
        <n v="189.25"/>
        <n v="142.04"/>
        <n v="139.51"/>
        <n v="185.89"/>
        <n v="203.14"/>
        <n v="248.66"/>
        <n v="391.5"/>
        <n v="32.43"/>
        <n v="187.49"/>
        <n v="117.82"/>
        <n v="670.39"/>
        <n v="76.05"/>
        <n v="206.87"/>
        <n v="344.3"/>
        <n v="157.13"/>
        <n v="308.72000000000003"/>
        <n v="49.99"/>
        <n v="316.58999999999997"/>
        <n v="709.27"/>
        <n v="236.85"/>
        <n v="180.75"/>
        <n v="68.83"/>
        <n v="578.71"/>
        <n v="257.55"/>
        <n v="25.17"/>
        <n v="280.16000000000003"/>
        <n v="214.15"/>
        <n v="87.4"/>
        <n v="88.53"/>
        <n v="81.63"/>
        <n v="126.26"/>
        <n v="126.63"/>
        <n v="169.79"/>
        <n v="266.97000000000003"/>
        <n v="390.15"/>
        <n v="181.31"/>
        <n v="75.77"/>
        <n v="164.8"/>
        <n v="196.88"/>
        <n v="112.81"/>
        <n v="316.06"/>
        <n v="106.29"/>
        <n v="428.17"/>
        <n v="57.96"/>
        <n v="217.34"/>
        <n v="49.7"/>
        <n v="585.17999999999995"/>
        <n v="53.15"/>
        <n v="39.15"/>
        <n v="144.69"/>
        <n v="163.85"/>
        <n v="158.82"/>
        <n v="118.34"/>
        <n v="176.25"/>
        <n v="46.42"/>
        <n v="242.24"/>
        <n v="250.32"/>
        <n v="366.07"/>
        <n v="358.2"/>
        <n v="352.54"/>
        <n v="123.87"/>
        <n v="68.78"/>
        <n v="199.75"/>
        <n v="235.06"/>
        <n v="664.65"/>
        <n v="234.89"/>
        <n v="73.03"/>
        <n v="54.75"/>
        <n v="162.88"/>
        <n v="161.19999999999999"/>
        <n v="57.77"/>
        <n v="382.69"/>
        <n v="107.2"/>
        <n v="488.44"/>
        <n v="257.7"/>
        <n v="236.57"/>
        <n v="209.95"/>
        <n v="188.84"/>
        <n v="156.22"/>
        <n v="83.69"/>
        <n v="91.16"/>
        <n v="362.4"/>
        <n v="231.82"/>
        <n v="287.45999999999998"/>
        <n v="199.16"/>
        <n v="186.6"/>
        <n v="86"/>
        <n v="228.3"/>
        <n v="104.99"/>
        <n v="187.4"/>
        <n v="98.22"/>
        <n v="132.4"/>
        <n v="125.58"/>
        <n v="70.819999999999993"/>
        <n v="167.5"/>
        <n v="245.34"/>
        <n v="48.42"/>
        <n v="67.260000000000005"/>
        <n v="165.32"/>
        <n v="81.99"/>
        <n v="81.2"/>
        <n v="676.58"/>
        <n v="249.9"/>
        <n v="105.64"/>
        <n v="40.35"/>
        <n v="170.71"/>
        <n v="134.35"/>
        <n v="163.83000000000001"/>
        <n v="48.24"/>
        <n v="629.11"/>
        <n v="178.57"/>
        <n v="182.16"/>
        <n v="249.58"/>
        <n v="107.36"/>
        <n v="228.56"/>
        <n v="476.92"/>
        <n v="133.07"/>
        <n v="215.97"/>
        <n v="278.74"/>
        <n v="437.03"/>
        <n v="180.61"/>
        <n v="147.94"/>
        <n v="149.07"/>
        <n v="272.70999999999998"/>
        <n v="43.71"/>
        <n v="82.4"/>
        <n v="127.86"/>
        <n v="122.84"/>
        <n v="345.42"/>
        <n v="357.19"/>
        <n v="212.59"/>
        <n v="251.47"/>
        <n v="195.56"/>
        <n v="143.38999999999999"/>
        <n v="155.97999999999999"/>
        <n v="75.319999999999993"/>
        <n v="100.89"/>
        <n v="309.98"/>
        <n v="136.27000000000001"/>
        <n v="237.14"/>
        <n v="161.41"/>
        <n v="32.049999999999997"/>
        <n v="30.95"/>
        <n v="176.41"/>
        <n v="190.46"/>
        <n v="50.95"/>
        <n v="127.09"/>
        <n v="88.41"/>
        <n v="168.11"/>
        <n v="290.81"/>
        <n v="395.7"/>
        <n v="176.44"/>
        <n v="307.58999999999997"/>
        <n v="323.88"/>
        <n v="121.26"/>
        <n v="224.96"/>
        <n v="69.36"/>
        <n v="270.39999999999998"/>
        <n v="108.54"/>
        <n v="358.36"/>
        <n v="215.7"/>
        <n v="160.91"/>
        <n v="115.65"/>
        <n v="112.76"/>
        <n v="150.66999999999999"/>
        <n v="216.52"/>
        <n v="115.83"/>
        <n v="230.24"/>
        <n v="87.69"/>
        <n v="641.15"/>
        <n v="41.37"/>
        <n v="427.57"/>
        <n v="540.42999999999995"/>
        <n v="109.01"/>
        <n v="258.33"/>
        <n v="190.06"/>
        <n v="149.59"/>
        <n v="160.79"/>
        <n v="86.92"/>
        <n v="131.94999999999999"/>
        <n v="155.91"/>
        <n v="230.58"/>
        <n v="226.49"/>
        <n v="216.07"/>
        <n v="90.65"/>
        <n v="40.29"/>
        <n v="150.71"/>
        <n v="43.74"/>
        <n v="28.55"/>
        <n v="288.32"/>
        <n v="31.42"/>
        <n v="262.95"/>
        <n v="80.22"/>
        <n v="184.81"/>
        <n v="237.48"/>
        <n v="95.39"/>
        <n v="176.68"/>
        <n v="127.63"/>
        <n v="186.56"/>
        <n v="102.54"/>
        <n v="584.92999999999995"/>
        <n v="151.28"/>
        <n v="90.89"/>
        <n v="374.52"/>
        <n v="189.24"/>
        <n v="283.41000000000003"/>
        <n v="216.83"/>
        <n v="269.06"/>
        <n v="104.17"/>
        <n v="225.33"/>
        <n v="104.34"/>
        <n v="75.94"/>
        <n v="103.52"/>
        <n v="324.43"/>
        <n v="140.91999999999999"/>
        <n v="64.66"/>
        <n v="129.4"/>
        <n v="73.62"/>
        <n v="594.30999999999995"/>
        <n v="226.22"/>
        <n v="283.82"/>
        <n v="171.29"/>
        <n v="122.53"/>
        <n v="163"/>
        <n v="555.32000000000005"/>
        <n v="280.48"/>
        <n v="165.3"/>
        <n v="148.4"/>
        <n v="142.53"/>
        <n v="360.52"/>
        <n v="192.94"/>
        <n v="314.2"/>
        <n v="158.19"/>
        <n v="99.03"/>
        <n v="212.87"/>
        <n v="191.99"/>
        <n v="194"/>
        <n v="39.65"/>
        <n v="91.08"/>
        <n v="535.46"/>
        <n v="269.52999999999997"/>
        <n v="165.24"/>
        <n v="137.53"/>
        <n v="234.37"/>
        <n v="221.57"/>
        <n v="283.43"/>
        <n v="287.12"/>
        <n v="215.69"/>
        <n v="222.39"/>
        <n v="151.66999999999999"/>
        <n v="133.27000000000001"/>
        <n v="180.46"/>
        <n v="300.17"/>
        <n v="118.41"/>
        <n v="79.099999999999994"/>
        <n v="211.28"/>
        <n v="513.66"/>
        <n v="214.4"/>
        <n v="147.5"/>
        <n v="117.35"/>
        <n v="48.01"/>
        <n v="165.05"/>
        <n v="283.64999999999998"/>
        <n v="188.41"/>
        <n v="270.33"/>
        <n v="157.57"/>
        <n v="59.96"/>
        <n v="412.55"/>
        <n v="116.53"/>
        <n v="220.01"/>
        <n v="329.42"/>
        <n v="263.74"/>
        <n v="267.47000000000003"/>
        <n v="67.38"/>
        <n v="97.73"/>
        <n v="37.96"/>
        <n v="246.7"/>
        <n v="155.18"/>
        <n v="247.25"/>
        <n v="454.71"/>
        <n v="91.59"/>
        <n v="153.22999999999999"/>
        <n v="128.54"/>
        <n v="107.73"/>
        <n v="106.14"/>
        <n v="623.19000000000005"/>
        <n v="328.93"/>
        <n v="280.99"/>
        <n v="361.76"/>
        <n v="110.91"/>
        <n v="344.57"/>
        <n v="625.53"/>
        <n v="559.14"/>
        <n v="211.2"/>
        <n v="191.11"/>
        <n v="257.87"/>
        <n v="496.53"/>
        <n v="201.24"/>
        <n v="242.81"/>
        <n v="139.85"/>
        <n v="156.11000000000001"/>
        <n v="227.65"/>
        <n v="95"/>
        <n v="246.54"/>
        <n v="186.8"/>
        <n v="136.4"/>
        <n v="183.19"/>
        <n v="77.22"/>
        <n v="152.44999999999999"/>
        <n v="681.31"/>
        <n v="106.17"/>
        <n v="302.95"/>
        <n v="154.09"/>
        <n v="209.04"/>
        <n v="173.28"/>
        <n v="176.48"/>
        <n v="152.01"/>
        <n v="231.25"/>
        <n v="117.74"/>
        <n v="38.99"/>
        <n v="93.72"/>
        <n v="89.86"/>
        <n v="38.35"/>
        <n v="403.12"/>
        <n v="86.74"/>
        <n v="276.36"/>
        <n v="193.6"/>
        <n v="487.59"/>
        <n v="154.62"/>
        <n v="270.66000000000003"/>
        <n v="134.97999999999999"/>
        <n v="659.93"/>
        <n v="180.58"/>
        <n v="300.8"/>
        <n v="45.91"/>
        <n v="156.72999999999999"/>
        <n v="181.82"/>
        <n v="134.30000000000001"/>
        <n v="218.95"/>
        <n v="58.71"/>
        <n v="37.869999999999997"/>
        <n v="111.81"/>
        <n v="105.8"/>
        <n v="218.53"/>
        <n v="239.34"/>
        <n v="191.21"/>
        <n v="92.91"/>
        <n v="197.92"/>
        <n v="136.56"/>
        <n v="77.97"/>
        <n v="283.61"/>
        <n v="288.31"/>
        <n v="253.88"/>
        <n v="336.32"/>
        <n v="73.34"/>
        <n v="362.02"/>
        <n v="170.6"/>
        <n v="508.67"/>
        <n v="44.13"/>
        <n v="374.32"/>
        <n v="329.7"/>
        <n v="213.47"/>
        <n v="79.010000000000005"/>
        <n v="314.23"/>
        <n v="591.51"/>
        <n v="195.61"/>
        <n v="127.91"/>
        <n v="464.93"/>
        <n v="108.12"/>
        <n v="134.9"/>
        <n v="111.62"/>
        <n v="369.59"/>
        <n v="40.67"/>
        <n v="151.79"/>
        <n v="231.84"/>
        <n v="161.18"/>
        <n v="759.2"/>
        <n v="397.94"/>
        <n v="43.17"/>
        <n v="125.9"/>
        <n v="96.05"/>
        <n v="180.22"/>
        <n v="174.22"/>
        <n v="450.92"/>
        <n v="250.22"/>
        <n v="84.02"/>
        <n v="71.900000000000006"/>
        <n v="229.35"/>
        <n v="232.48"/>
        <n v="106.58"/>
        <n v="352.11"/>
        <n v="590.16999999999996"/>
        <n v="196.61"/>
        <n v="471.41"/>
        <n v="94.75"/>
        <n v="237.5"/>
        <n v="158.80000000000001"/>
        <n v="45.6"/>
        <n v="485.04"/>
        <n v="193.89"/>
        <n v="352.12"/>
        <n v="168.94"/>
        <n v="53.93"/>
        <n v="61.21"/>
        <n v="223.83"/>
        <n v="268.83"/>
        <n v="164.38"/>
        <n v="208.12"/>
        <n v="225.82"/>
        <n v="237.84"/>
        <n v="144.22999999999999"/>
        <n v="696.41"/>
        <n v="87.84"/>
        <n v="230.38"/>
        <n v="212.96"/>
        <n v="92.88"/>
        <n v="83.8"/>
        <n v="105.29"/>
        <n v="64.819999999999993"/>
        <n v="120.91"/>
        <n v="265.39999999999998"/>
        <n v="101.97"/>
        <n v="191.13"/>
        <n v="70.599999999999994"/>
        <n v="350.37"/>
        <n v="203.31"/>
        <n v="180.5"/>
        <n v="281.52"/>
        <n v="214.07"/>
        <n v="265.52999999999997"/>
        <n v="54.72"/>
        <n v="132.22999999999999"/>
        <n v="138.27000000000001"/>
        <n v="43.39"/>
        <n v="138.21"/>
        <n v="156.94999999999999"/>
        <n v="140.27000000000001"/>
        <n v="300.10000000000002"/>
        <n v="116.72"/>
        <n v="284.27"/>
        <n v="150.94999999999999"/>
        <n v="164.57"/>
        <n v="178.48"/>
        <n v="54.05"/>
        <n v="48.99"/>
        <n v="187.05"/>
        <n v="516.65"/>
        <n v="272.35000000000002"/>
        <n v="88.82"/>
        <n v="192.87"/>
        <n v="190.24"/>
        <n v="160.83000000000001"/>
        <n v="237.3"/>
        <n v="187.66"/>
        <n v="86.4"/>
        <n v="174.46"/>
        <n v="79.260000000000005"/>
        <n v="157.03"/>
        <n v="211.77"/>
        <n v="455.71"/>
        <n v="530.46"/>
        <n v="369.62"/>
        <n v="273.25"/>
        <n v="87.11"/>
        <n v="163.51"/>
        <n v="167.44"/>
        <n v="172.25"/>
        <n v="226.68"/>
        <n v="260.67"/>
        <n v="86.12"/>
        <n v="173.74"/>
        <n v="194.87"/>
        <n v="95.48"/>
        <n v="135.41"/>
        <n v="260.33"/>
        <n v="132.24"/>
        <n v="334.63"/>
        <n v="76.790000000000006"/>
        <n v="217.22"/>
        <n v="45.24"/>
        <n v="326.86"/>
        <n v="120.05"/>
        <n v="357.66"/>
        <n v="282.77"/>
        <n v="157.22999999999999"/>
        <n v="439.16"/>
        <n v="199.94"/>
        <n v="75.459999999999994"/>
        <n v="451.43"/>
        <n v="291.66000000000003"/>
        <n v="128.37"/>
        <n v="135.44"/>
        <n v="355.6"/>
        <n v="339.43"/>
        <n v="281.58"/>
        <n v="82.19"/>
        <n v="278.25"/>
        <n v="111.12"/>
        <n v="159.71"/>
        <n v="136.16999999999999"/>
        <n v="422.64"/>
        <n v="150.88"/>
        <n v="194.59"/>
        <n v="119.75"/>
        <n v="233.34"/>
        <n v="283.94"/>
        <n v="73.930000000000007"/>
        <n v="460.89"/>
        <n v="287.95"/>
        <n v="262.38"/>
        <n v="228.25"/>
        <n v="268.14"/>
        <n v="82.39"/>
        <n v="145.06"/>
        <n v="244.44"/>
        <n v="166.04"/>
        <n v="85.06"/>
        <n v="224.66"/>
        <n v="314.24"/>
        <n v="41.51"/>
        <n v="253.32"/>
        <n v="303.82"/>
        <n v="199.46"/>
        <n v="333.82"/>
        <n v="189.77"/>
        <n v="67.680000000000007"/>
        <n v="160.13999999999999"/>
        <n v="171.14"/>
        <n v="198.68"/>
        <n v="315.58"/>
        <n v="137.47999999999999"/>
        <n v="223.93"/>
        <n v="229.25"/>
        <n v="56.97"/>
        <n v="239.46"/>
        <n v="92.26"/>
        <n v="117.03"/>
        <n v="217.79"/>
        <n v="162.44"/>
        <n v="358.57"/>
        <n v="193.74"/>
        <n v="85.96"/>
        <n v="145.55000000000001"/>
        <n v="114.1"/>
        <n v="200.01"/>
        <n v="217.2"/>
        <n v="242.48"/>
        <n v="376.84"/>
        <n v="252.56"/>
        <n v="201.05"/>
        <n v="268.51"/>
        <n v="702.48"/>
        <n v="502.39"/>
        <n v="155.29"/>
        <n v="294.77"/>
        <n v="92.99"/>
        <n v="98.32"/>
        <n v="59.87"/>
        <n v="166.72"/>
        <n v="213.29"/>
        <n v="64.45"/>
        <n v="195.43"/>
        <n v="131.03"/>
        <n v="97.39"/>
        <n v="121.47"/>
        <n v="116.44"/>
        <n v="115.43"/>
        <n v="110.06"/>
        <n v="183.43"/>
        <n v="169.63"/>
        <n v="113.68"/>
        <n v="106.08"/>
        <n v="310.54000000000002"/>
        <n v="215.42"/>
        <n v="62.9"/>
        <n v="199.9"/>
        <n v="106.64"/>
        <n v="157.36000000000001"/>
        <n v="104.7"/>
        <n v="147.08000000000001"/>
        <n v="135.51"/>
        <n v="443.35"/>
        <n v="164.88"/>
        <n v="169.4"/>
        <n v="137.44999999999999"/>
        <n v="618.24"/>
        <n v="365.38"/>
        <n v="153.04"/>
        <n v="253.49"/>
        <n v="94.23"/>
        <n v="381.35"/>
        <n v="252.17"/>
        <n v="93.68"/>
        <n v="369.98"/>
        <n v="159.22"/>
        <n v="176.46"/>
        <n v="125.99"/>
        <n v="230.54"/>
        <n v="170.63"/>
        <n v="61.57"/>
        <n v="270.35000000000002"/>
        <n v="52.69"/>
        <n v="70.56"/>
        <n v="215.03"/>
        <n v="223.05"/>
        <n v="149.79"/>
        <n v="54.63"/>
        <n v="408.72"/>
        <n v="268.72000000000003"/>
        <n v="159.86000000000001"/>
        <n v="196.69"/>
        <n v="208.79"/>
        <n v="215.3"/>
        <n v="80.81"/>
        <n v="241.22"/>
        <n v="269.63"/>
        <n v="170.98"/>
        <n v="135.1"/>
        <n v="226.62"/>
        <n v="216.64"/>
        <n v="125.39"/>
        <n v="274.56"/>
        <n v="67.75"/>
        <n v="387.36"/>
        <n v="195.14"/>
        <n v="212.17"/>
        <n v="463.78"/>
        <n v="484.75"/>
        <n v="379"/>
        <n v="169.3"/>
        <n v="111.98"/>
        <n v="131.47"/>
        <n v="280.85000000000002"/>
        <n v="647.20000000000005"/>
        <n v="89.72"/>
        <n v="632.84"/>
        <n v="240.22"/>
        <n v="462.51"/>
        <n v="335.43"/>
        <n v="133.69"/>
        <n v="65.599999999999994"/>
        <n v="58.79"/>
        <n v="173.05"/>
        <n v="208.13"/>
        <n v="292.75"/>
        <n v="258.25"/>
        <n v="224.77"/>
        <n v="49.67"/>
        <n v="190.84"/>
        <n v="56.91"/>
        <n v="108.9"/>
        <n v="122.19"/>
        <n v="39.1"/>
        <n v="50.87"/>
        <n v="268.06"/>
        <n v="110.75"/>
        <n v="205.99"/>
        <n v="150.47999999999999"/>
        <n v="361.31"/>
        <n v="94"/>
        <n v="78.45"/>
        <n v="157.4"/>
        <n v="208.99"/>
        <n v="447.81"/>
        <n v="204.13"/>
        <n v="53.89"/>
        <n v="110.16"/>
        <n v="217.56"/>
        <n v="39.729999999999997"/>
        <n v="121.66"/>
        <n v="169.14"/>
        <n v="58.76"/>
        <n v="273.07"/>
        <n v="140.87"/>
        <n v="176.27"/>
        <n v="291.89999999999998"/>
        <n v="212.11"/>
        <n v="165.35"/>
        <n v="159.63"/>
        <n v="153.88999999999999"/>
        <n v="523.53"/>
        <n v="252.57"/>
        <n v="58"/>
        <n v="247.73"/>
        <n v="508.9"/>
        <n v="33.590000000000003"/>
        <n v="682.92"/>
        <n v="288.44"/>
        <n v="104.07"/>
        <n v="552.98"/>
        <n v="223.04"/>
        <n v="183.1"/>
        <n v="166.22"/>
        <n v="126.15"/>
        <n v="133.05000000000001"/>
        <n v="218.88"/>
        <n v="49.87"/>
        <n v="133.11000000000001"/>
        <n v="101.47"/>
        <n v="149.86000000000001"/>
        <n v="150.63999999999999"/>
        <n v="193.97"/>
        <n v="209.58"/>
        <n v="51.16"/>
        <n v="99.7"/>
        <n v="94.33"/>
        <n v="105.69"/>
        <n v="439.13"/>
        <n v="62.49"/>
        <n v="468.87"/>
        <n v="254.8"/>
        <n v="185.66"/>
        <n v="325.26"/>
        <n v="302.23"/>
        <n v="32.35"/>
        <n v="183.7"/>
        <n v="257.3"/>
        <n v="182.04"/>
        <n v="205.3"/>
        <n v="117.75"/>
        <n v="215.66"/>
        <n v="139.01"/>
        <n v="111.2"/>
        <n v="151.69999999999999"/>
        <n v="176.67"/>
        <n v="455.6"/>
        <n v="184.77"/>
        <n v="224.83"/>
        <n v="172.76"/>
        <n v="77.38"/>
        <n v="74.099999999999994"/>
        <n v="49.4"/>
        <n v="182.23"/>
        <n v="275.45999999999998"/>
        <n v="329.84"/>
        <n v="41.24"/>
        <n v="247.79"/>
        <n v="132.78"/>
        <n v="182.26"/>
        <n v="61.06"/>
        <n v="68.540000000000006"/>
        <n v="559.1"/>
        <n v="99.39"/>
        <n v="211.75"/>
        <n v="189.29"/>
        <n v="184.23"/>
        <n v="187.93"/>
        <n v="103.11"/>
        <n v="262.77999999999997"/>
        <n v="111.13"/>
        <n v="172.71"/>
        <n v="146.26"/>
        <n v="184.91"/>
        <n v="111.75"/>
        <n v="153.57"/>
        <n v="41.66"/>
        <n v="275.44"/>
        <n v="62.36"/>
        <n v="97.3"/>
        <n v="212.68"/>
        <n v="266.44"/>
        <n v="346.23"/>
        <n v="228.43"/>
        <n v="182.02"/>
        <n v="315.08999999999997"/>
        <n v="215.93"/>
        <n v="164.44"/>
        <n v="325.45"/>
        <n v="55.94"/>
        <n v="406.35"/>
        <n v="301.52"/>
        <n v="691.81"/>
        <n v="192.25"/>
        <n v="106.61"/>
        <n v="124.28"/>
        <n v="58.25"/>
        <n v="159.44999999999999"/>
        <n v="294.64999999999998"/>
        <n v="158.47999999999999"/>
        <n v="182.44"/>
        <n v="205.37"/>
        <n v="237.28"/>
        <n v="35.86"/>
        <n v="200.67"/>
        <n v="51.24"/>
        <n v="307.92"/>
        <n v="53.59"/>
        <n v="294.89"/>
        <n v="211.63"/>
        <n v="415.11"/>
        <n v="80.2"/>
        <n v="214.74"/>
        <n v="78.63"/>
        <n v="157.81"/>
        <n v="181.85"/>
        <n v="79.27"/>
        <n v="115.61"/>
        <n v="173.99"/>
        <n v="319.32"/>
        <n v="168.31"/>
        <n v="238.93"/>
        <n v="204.38"/>
        <n v="243.45"/>
        <n v="67"/>
        <n v="201.25"/>
        <n v="170.26"/>
        <n v="108.07"/>
        <n v="240.3"/>
        <n v="526.29"/>
        <n v="165.91"/>
        <n v="281.31"/>
        <n v="212.95"/>
        <n v="163.57"/>
        <n v="110.35"/>
        <n v="202.63"/>
        <n v="66.39"/>
        <n v="154.63999999999999"/>
        <n v="180.7"/>
        <n v="36.08"/>
        <n v="107.25"/>
        <n v="256.36"/>
        <n v="241.82"/>
        <n v="197.73"/>
        <n v="244.13"/>
        <n v="105.59"/>
        <n v="88.09"/>
        <n v="83.64"/>
        <n v="215.82"/>
        <n v="743.17"/>
        <n v="66.38"/>
        <n v="101.5"/>
        <n v="102.43"/>
        <n v="111.25"/>
        <n v="71.52"/>
        <n v="127.56"/>
        <n v="294.51"/>
      </sharedItems>
    </cacheField>
    <cacheField name="insurance_risk_score" numFmtId="0">
      <sharedItems containsSemiMixedTypes="0" containsString="0" containsNumber="1" minValue="0.1" maxValue="63.5"/>
    </cacheField>
    <cacheField name="maintenance_risk_score" numFmtId="0">
      <sharedItems containsSemiMixedTypes="0" containsString="0" containsNumber="1" minValue="0" maxValue="89.7"/>
    </cacheField>
    <cacheField name="Days (shipping_dat)" numFmtId="0" databaseField="0">
      <fieldGroup base="7">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shipping_dat)" numFmtId="0" databaseField="0">
      <fieldGroup base="7">
        <rangePr groupBy="months" startDate="2025-01-01T00:00:00" endDate="2026-01-01T00:00:00"/>
        <groupItems count="14">
          <s v="&lt;1/1/2025"/>
          <s v="Jan"/>
          <s v="Feb"/>
          <s v="Mar"/>
          <s v="Apr"/>
          <s v="May"/>
          <s v="Jun"/>
          <s v="Jul"/>
          <s v="Aug"/>
          <s v="Sep"/>
          <s v="Oct"/>
          <s v="Nov"/>
          <s v="Dec"/>
          <s v="&gt;1/1/2026"/>
        </groupItems>
      </fieldGroup>
    </cacheField>
    <cacheField name="Days (ship_date_clean)" numFmtId="0" databaseField="0">
      <fieldGroup base="8">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ship_date_clean)" numFmtId="0" databaseField="0">
      <fieldGroup base="8">
        <rangePr groupBy="months" startDate="2025-01-01T00:00:00" endDate="2026-01-01T00:00:00"/>
        <groupItems count="14">
          <s v="&lt;1/1/2025"/>
          <s v="Jan"/>
          <s v="Feb"/>
          <s v="Mar"/>
          <s v="Apr"/>
          <s v="May"/>
          <s v="Jun"/>
          <s v="Jul"/>
          <s v="Aug"/>
          <s v="Sep"/>
          <s v="Oct"/>
          <s v="Nov"/>
          <s v="Dec"/>
          <s v="&gt;1/1/2026"/>
        </groupItems>
      </fieldGroup>
    </cacheField>
    <cacheField name="Days (pickup_datetime)" numFmtId="0" databaseField="0">
      <fieldGroup base="9">
        <rangePr groupBy="days" startDate="2025-01-01T09:00:00" endDate="2025-12-31T16:5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pickup_datetime)" numFmtId="0" databaseField="0">
      <fieldGroup base="9">
        <rangePr groupBy="months" startDate="2025-01-01T09:00:00" endDate="2025-12-31T16:50:00"/>
        <groupItems count="14">
          <s v="&lt;1/1/2025"/>
          <s v="Jan"/>
          <s v="Feb"/>
          <s v="Mar"/>
          <s v="Apr"/>
          <s v="May"/>
          <s v="Jun"/>
          <s v="Jul"/>
          <s v="Aug"/>
          <s v="Sep"/>
          <s v="Oct"/>
          <s v="Nov"/>
          <s v="Dec"/>
          <s v="&gt;12/31/2025"/>
        </groupItems>
      </fieldGroup>
    </cacheField>
    <cacheField name="Months (scheduled_delivery_datetime)" numFmtId="0" databaseField="0">
      <fieldGroup base="10">
        <rangePr groupBy="months" startDate="2025-01-01T20:31:54" endDate="2026-01-01T00:07:43"/>
        <groupItems count="14">
          <s v="&lt;1/1/2025"/>
          <s v="Jan"/>
          <s v="Feb"/>
          <s v="Mar"/>
          <s v="Apr"/>
          <s v="May"/>
          <s v="Jun"/>
          <s v="Jul"/>
          <s v="Aug"/>
          <s v="Sep"/>
          <s v="Oct"/>
          <s v="Nov"/>
          <s v="Dec"/>
          <s v="&gt;1/1/2026"/>
        </groupItems>
      </fieldGroup>
    </cacheField>
    <cacheField name="Quarters (scheduled_delivery_datetime)" numFmtId="0" databaseField="0">
      <fieldGroup base="10">
        <rangePr groupBy="quarters" startDate="2025-01-01T20:31:54" endDate="2026-01-01T00:07:43"/>
        <groupItems count="6">
          <s v="&lt;1/1/2025"/>
          <s v="Qtr1"/>
          <s v="Qtr2"/>
          <s v="Qtr3"/>
          <s v="Qtr4"/>
          <s v="&gt;1/1/2026"/>
        </groupItems>
      </fieldGroup>
    </cacheField>
    <cacheField name="Years (scheduled_delivery_datetime)" numFmtId="0" databaseField="0">
      <fieldGroup base="10">
        <rangePr groupBy="years" startDate="2025-01-01T20:31:54" endDate="2026-01-01T00:07:43"/>
        <groupItems count="4">
          <s v="&lt;1/1/2025"/>
          <s v="2025"/>
          <s v="2026"/>
          <s v="&gt;1/1/2026"/>
        </groupItems>
      </fieldGroup>
    </cacheField>
    <cacheField name="Days (actual_delivery_datetime)" numFmtId="0" databaseField="0">
      <fieldGroup base="11">
        <rangePr groupBy="days" startDate="2025-01-01T19:29:54" endDate="2025-12-31T23:51:43"/>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actual_delivery_datetime)" numFmtId="0" databaseField="0">
      <fieldGroup base="11">
        <rangePr groupBy="months" startDate="2025-01-01T19:29:54" endDate="2025-12-31T23:51:43"/>
        <groupItems count="14">
          <s v="&lt;1/1/2025"/>
          <s v="Jan"/>
          <s v="Feb"/>
          <s v="Mar"/>
          <s v="Apr"/>
          <s v="May"/>
          <s v="Jun"/>
          <s v="Jul"/>
          <s v="Aug"/>
          <s v="Sep"/>
          <s v="Oct"/>
          <s v="Nov"/>
          <s v="Dec"/>
          <s v="&gt;12/31/2025"/>
        </groupItems>
      </fieldGroup>
    </cacheField>
    <cacheField name="Days (delivery_date)" numFmtId="0" databaseField="0">
      <fieldGroup base="12">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elivery_date)" numFmtId="0" databaseField="0">
      <fieldGroup base="12">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238012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45478870"/>
    <n v="220116"/>
    <n v="6933742"/>
    <n v="5218"/>
    <x v="0"/>
    <n v="52666"/>
    <x v="0"/>
    <x v="0"/>
    <x v="0"/>
    <x v="0"/>
    <x v="0"/>
    <x v="0"/>
    <x v="0"/>
    <s v="OH"/>
    <s v="Toledo"/>
    <s v="OH"/>
    <s v="Cleveland"/>
    <x v="0"/>
    <n v="797593"/>
    <s v="101-300"/>
    <n v="224"/>
    <x v="0"/>
    <x v="0"/>
    <n v="218.4"/>
    <n v="248"/>
    <x v="0"/>
    <s v="4.07"/>
    <s v="18:00-23:59"/>
    <x v="0"/>
    <x v="0"/>
    <n v="-27"/>
    <n v="0"/>
    <n v="0"/>
    <n v="30.2"/>
    <n v="0"/>
    <n v="0.80500000000000005"/>
    <n v="0.57599999999999996"/>
    <n v="3050.4"/>
    <x v="0"/>
    <n v="1"/>
    <n v="1"/>
    <n v="0"/>
    <n v="1"/>
    <n v="0"/>
    <n v="1"/>
    <n v="0"/>
    <x v="0"/>
    <x v="0"/>
    <n v="215.13"/>
    <n v="50.82"/>
    <x v="0"/>
    <n v="31.9"/>
    <n v="44.5"/>
  </r>
  <r>
    <n v="803217037"/>
    <n v="974628"/>
    <n v="3641282"/>
    <n v="6892"/>
    <x v="0"/>
    <n v="58655"/>
    <x v="1"/>
    <x v="1"/>
    <x v="1"/>
    <x v="1"/>
    <x v="1"/>
    <x v="1"/>
    <x v="1"/>
    <s v="TN"/>
    <s v="Chattanooga"/>
    <s v="TN"/>
    <s v="Memphis"/>
    <x v="1"/>
    <n v="733303"/>
    <s v="101-300"/>
    <n v="201"/>
    <x v="1"/>
    <x v="1"/>
    <n v="199.4"/>
    <n v="230.8"/>
    <x v="0"/>
    <s v="3.97"/>
    <s v="10:00-13:59"/>
    <x v="1"/>
    <x v="0"/>
    <n v="-31"/>
    <n v="0"/>
    <n v="0"/>
    <n v="27.9"/>
    <n v="0"/>
    <n v="0.87"/>
    <n v="0.77400000000000002"/>
    <n v="2754.27"/>
    <x v="0"/>
    <n v="1"/>
    <n v="1"/>
    <n v="0"/>
    <n v="1"/>
    <n v="0"/>
    <n v="1"/>
    <n v="0"/>
    <x v="1"/>
    <x v="1"/>
    <n v="201.01"/>
    <n v="43.43"/>
    <x v="1"/>
    <n v="1.4"/>
    <n v="13.1"/>
  </r>
  <r>
    <n v="206323670"/>
    <n v="198246"/>
    <n v="9626108"/>
    <n v="5555"/>
    <x v="0"/>
    <n v="55968"/>
    <x v="2"/>
    <x v="2"/>
    <x v="2"/>
    <x v="2"/>
    <x v="2"/>
    <x v="2"/>
    <x v="2"/>
    <s v="CA"/>
    <s v="Fresno"/>
    <s v="TN"/>
    <s v="Chattanooga"/>
    <x v="1"/>
    <n v="747187"/>
    <s v="101-300"/>
    <n v="166"/>
    <x v="2"/>
    <x v="2"/>
    <n v="162.19999999999999"/>
    <n v="208.4"/>
    <x v="1"/>
    <s v="2.72"/>
    <s v="00:00-05:59"/>
    <x v="2"/>
    <x v="0"/>
    <n v="-13"/>
    <n v="0"/>
    <n v="0"/>
    <n v="31.9"/>
    <n v="0"/>
    <n v="0.66400000000000003"/>
    <n v="0.54400000000000004"/>
    <n v="3026.58"/>
    <x v="0"/>
    <n v="1"/>
    <n v="1"/>
    <n v="0"/>
    <n v="1"/>
    <n v="0"/>
    <n v="1"/>
    <n v="0"/>
    <x v="2"/>
    <x v="2"/>
    <n v="183.12"/>
    <n v="29.36"/>
    <x v="2"/>
    <n v="11.5"/>
    <n v="5.4"/>
  </r>
  <r>
    <n v="995171130"/>
    <n v="584714"/>
    <n v="5004485"/>
    <n v="7938"/>
    <x v="1"/>
    <n v="57641"/>
    <x v="1"/>
    <x v="3"/>
    <x v="3"/>
    <x v="3"/>
    <x v="3"/>
    <x v="3"/>
    <x v="3"/>
    <s v="OH"/>
    <s v="Cincinnati"/>
    <s v="AZ"/>
    <s v="Flagstaff"/>
    <x v="2"/>
    <n v="759297"/>
    <s v="0-100"/>
    <n v="46"/>
    <x v="3"/>
    <x v="3"/>
    <n v="49"/>
    <n v="124.2"/>
    <x v="0"/>
    <s v="1.22"/>
    <s v="14:00-17:59"/>
    <x v="3"/>
    <x v="0"/>
    <n v="-17"/>
    <n v="0"/>
    <n v="0"/>
    <n v="49.2"/>
    <n v="0"/>
    <n v="0.65400000000000003"/>
    <n v="0.69899999999999995"/>
    <n v="1358.53"/>
    <x v="0"/>
    <n v="1"/>
    <n v="1"/>
    <n v="0"/>
    <n v="1"/>
    <n v="0"/>
    <n v="1"/>
    <n v="0"/>
    <x v="3"/>
    <x v="3"/>
    <n v="78.37"/>
    <n v="25.85"/>
    <x v="3"/>
    <n v="0.2"/>
    <n v="49.4"/>
  </r>
  <r>
    <n v="625432379"/>
    <n v="835911"/>
    <n v="7774229"/>
    <n v="3454"/>
    <x v="2"/>
    <n v="52181"/>
    <x v="2"/>
    <x v="4"/>
    <x v="4"/>
    <x v="4"/>
    <x v="4"/>
    <x v="4"/>
    <x v="4"/>
    <s v="FL"/>
    <s v="Orlando"/>
    <s v="FL"/>
    <s v="Jacksonville"/>
    <x v="1"/>
    <n v="758654"/>
    <s v="101-300"/>
    <n v="187"/>
    <x v="4"/>
    <x v="4"/>
    <n v="191.8"/>
    <n v="243.1"/>
    <x v="2"/>
    <s v="4.63"/>
    <s v="06:00-09:59"/>
    <x v="3"/>
    <x v="0"/>
    <n v="-22"/>
    <n v="37"/>
    <n v="0"/>
    <n v="49.4"/>
    <n v="0"/>
    <n v="0.67800000000000005"/>
    <n v="0.31900000000000001"/>
    <n v="4480.1099999999997"/>
    <x v="0"/>
    <n v="1"/>
    <n v="1"/>
    <n v="0"/>
    <n v="1"/>
    <n v="0"/>
    <n v="1"/>
    <n v="0"/>
    <x v="4"/>
    <x v="4"/>
    <n v="223.18"/>
    <n v="47.37"/>
    <x v="4"/>
    <n v="11.7"/>
    <n v="55.9"/>
  </r>
  <r>
    <n v="761051532"/>
    <n v="972064"/>
    <n v="2818692"/>
    <n v="8158"/>
    <x v="1"/>
    <n v="59834"/>
    <x v="3"/>
    <x v="5"/>
    <x v="5"/>
    <x v="5"/>
    <x v="5"/>
    <x v="5"/>
    <x v="5"/>
    <s v="CA"/>
    <s v="Fresno"/>
    <s v="OH"/>
    <s v="Columbus"/>
    <x v="0"/>
    <n v="752047"/>
    <s v="101-300"/>
    <n v="284"/>
    <x v="5"/>
    <x v="5"/>
    <n v="279.8"/>
    <n v="320"/>
    <x v="2"/>
    <s v="7.63"/>
    <s v="14:00-17:59"/>
    <x v="3"/>
    <x v="0"/>
    <n v="-34"/>
    <n v="0"/>
    <n v="0"/>
    <n v="87"/>
    <n v="0"/>
    <n v="0.77700000000000002"/>
    <n v="0.48399999999999999"/>
    <n v="5631.22"/>
    <x v="0"/>
    <n v="1"/>
    <n v="1"/>
    <n v="0"/>
    <n v="1"/>
    <n v="0"/>
    <n v="1"/>
    <n v="0"/>
    <x v="5"/>
    <x v="5"/>
    <n v="246.65"/>
    <n v="48.5"/>
    <x v="5"/>
    <n v="10"/>
    <n v="36.6"/>
  </r>
  <r>
    <n v="538211092"/>
    <n v="145561"/>
    <n v="2564689"/>
    <n v="1161"/>
    <x v="3"/>
    <n v="53888"/>
    <x v="4"/>
    <x v="6"/>
    <x v="6"/>
    <x v="6"/>
    <x v="6"/>
    <x v="6"/>
    <x v="6"/>
    <s v="AZ"/>
    <s v="Flagstaff"/>
    <s v="GA"/>
    <s v="Macon"/>
    <x v="1"/>
    <n v="700025"/>
    <s v="101-300"/>
    <n v="312"/>
    <x v="6"/>
    <x v="6"/>
    <n v="306.8"/>
    <n v="327.3"/>
    <x v="0"/>
    <s v="5.72"/>
    <s v="06:00-09:59"/>
    <x v="2"/>
    <x v="0"/>
    <n v="-24"/>
    <n v="0"/>
    <n v="0"/>
    <n v="9"/>
    <n v="0"/>
    <n v="0.52300000000000002"/>
    <n v="0.79100000000000004"/>
    <n v="5672.69"/>
    <x v="0"/>
    <n v="1"/>
    <n v="1"/>
    <n v="0"/>
    <n v="1"/>
    <n v="0"/>
    <n v="1"/>
    <n v="0"/>
    <x v="4"/>
    <x v="6"/>
    <n v="288.62"/>
    <n v="65.739999999999995"/>
    <x v="6"/>
    <n v="5.6"/>
    <n v="0"/>
  </r>
  <r>
    <n v="400368694"/>
    <n v="891952"/>
    <n v="3135534"/>
    <n v="2218"/>
    <x v="4"/>
    <n v="50840"/>
    <x v="5"/>
    <x v="7"/>
    <x v="7"/>
    <x v="7"/>
    <x v="7"/>
    <x v="7"/>
    <x v="7"/>
    <s v="AZ"/>
    <s v="Tucson"/>
    <s v="CO"/>
    <s v="Denver"/>
    <x v="2"/>
    <n v="795199"/>
    <s v="301-500"/>
    <n v="390"/>
    <x v="7"/>
    <x v="7"/>
    <n v="395.1"/>
    <n v="446.1"/>
    <x v="3"/>
    <s v="7.73"/>
    <s v="10:00-13:59"/>
    <x v="1"/>
    <x v="0"/>
    <n v="-12"/>
    <n v="0"/>
    <n v="0"/>
    <n v="35.9"/>
    <n v="0"/>
    <n v="0.51500000000000001"/>
    <n v="0.54"/>
    <n v="9867.64"/>
    <x v="1"/>
    <n v="1"/>
    <n v="1"/>
    <n v="0"/>
    <n v="1"/>
    <n v="0"/>
    <n v="1"/>
    <n v="0"/>
    <x v="6"/>
    <x v="7"/>
    <n v="397.71"/>
    <n v="59.15"/>
    <x v="7"/>
    <n v="4.0999999999999996"/>
    <n v="57.6"/>
  </r>
  <r>
    <n v="135128844"/>
    <n v="322086"/>
    <n v="7751158"/>
    <n v="4987"/>
    <x v="2"/>
    <n v="55899"/>
    <x v="6"/>
    <x v="8"/>
    <x v="8"/>
    <x v="8"/>
    <x v="8"/>
    <x v="8"/>
    <x v="8"/>
    <s v="NJ"/>
    <s v="Jersey City"/>
    <s v="CO"/>
    <s v="Pueblo"/>
    <x v="2"/>
    <n v="704543"/>
    <s v="101-300"/>
    <n v="189"/>
    <x v="8"/>
    <x v="8"/>
    <n v="183.1"/>
    <n v="228.9"/>
    <x v="1"/>
    <s v="10.83"/>
    <s v="14:00-17:59"/>
    <x v="2"/>
    <x v="1"/>
    <n v="381"/>
    <n v="0"/>
    <n v="0"/>
    <n v="38.5"/>
    <n v="1"/>
    <n v="0.72499999999999998"/>
    <n v="0.59499999999999997"/>
    <n v="2362.61"/>
    <x v="0"/>
    <n v="1"/>
    <n v="0"/>
    <n v="1"/>
    <n v="0"/>
    <n v="1"/>
    <n v="0"/>
    <n v="1"/>
    <x v="7"/>
    <x v="8"/>
    <n v="177.25"/>
    <n v="552.41"/>
    <x v="8"/>
    <n v="23.2"/>
    <n v="66.3"/>
  </r>
  <r>
    <n v="841183219"/>
    <n v="145561"/>
    <n v="2564689"/>
    <n v="1161"/>
    <x v="3"/>
    <n v="54118"/>
    <x v="5"/>
    <x v="9"/>
    <x v="9"/>
    <x v="9"/>
    <x v="9"/>
    <x v="9"/>
    <x v="9"/>
    <s v="TN"/>
    <s v="Chattanooga"/>
    <s v="NY"/>
    <s v="Buffalo"/>
    <x v="3"/>
    <n v="737287"/>
    <s v="0-100"/>
    <n v="96"/>
    <x v="9"/>
    <x v="9"/>
    <n v="94.3"/>
    <n v="133.80000000000001"/>
    <x v="0"/>
    <s v="1.62"/>
    <s v="18:00-23:59"/>
    <x v="4"/>
    <x v="0"/>
    <n v="7"/>
    <n v="0"/>
    <n v="0"/>
    <n v="68.8"/>
    <n v="0"/>
    <n v="0.8"/>
    <n v="0.57499999999999996"/>
    <n v="849.69"/>
    <x v="0"/>
    <n v="1"/>
    <n v="1"/>
    <n v="0"/>
    <n v="1"/>
    <n v="0"/>
    <n v="1"/>
    <n v="0"/>
    <x v="8"/>
    <x v="9"/>
    <n v="85.01"/>
    <n v="15.22"/>
    <x v="9"/>
    <n v="5.6"/>
    <n v="0"/>
  </r>
  <r>
    <n v="497853519"/>
    <n v="996865"/>
    <n v="2022698"/>
    <n v="6463"/>
    <x v="5"/>
    <n v="50565"/>
    <x v="7"/>
    <x v="10"/>
    <x v="10"/>
    <x v="10"/>
    <x v="10"/>
    <x v="10"/>
    <x v="10"/>
    <s v="NJ"/>
    <s v="Paterson"/>
    <s v="PA"/>
    <s v="Erie"/>
    <x v="3"/>
    <n v="778087"/>
    <s v="101-300"/>
    <n v="196"/>
    <x v="10"/>
    <x v="10"/>
    <n v="189.9"/>
    <n v="231.5"/>
    <x v="0"/>
    <s v="5.45"/>
    <s v="06:00-09:59"/>
    <x v="4"/>
    <x v="0"/>
    <n v="-1"/>
    <n v="0"/>
    <n v="0"/>
    <n v="69.5"/>
    <n v="0"/>
    <n v="0.434"/>
    <n v="0.77600000000000002"/>
    <n v="7849.3"/>
    <x v="1"/>
    <n v="1"/>
    <n v="1"/>
    <n v="0"/>
    <n v="1"/>
    <n v="0"/>
    <n v="1"/>
    <n v="0"/>
    <x v="9"/>
    <x v="10"/>
    <n v="185.02"/>
    <n v="47.2"/>
    <x v="10"/>
    <n v="8.8000000000000007"/>
    <n v="26.7"/>
  </r>
  <r>
    <n v="333291547"/>
    <n v="955662"/>
    <n v="8315831"/>
    <n v="9445"/>
    <x v="1"/>
    <n v="56005"/>
    <x v="5"/>
    <x v="11"/>
    <x v="11"/>
    <x v="11"/>
    <x v="11"/>
    <x v="11"/>
    <x v="11"/>
    <s v="MI"/>
    <s v="Detroit"/>
    <s v="NC"/>
    <s v="Greensboro"/>
    <x v="1"/>
    <n v="702136"/>
    <s v="101-300"/>
    <n v="223"/>
    <x v="11"/>
    <x v="11"/>
    <n v="219.4"/>
    <n v="250.3"/>
    <x v="1"/>
    <s v="4.45"/>
    <s v="06:00-09:59"/>
    <x v="5"/>
    <x v="0"/>
    <n v="6"/>
    <n v="0"/>
    <n v="0"/>
    <n v="44.4"/>
    <n v="0"/>
    <n v="0.89400000000000002"/>
    <n v="0.54100000000000004"/>
    <n v="2594.62"/>
    <x v="0"/>
    <n v="1"/>
    <n v="1"/>
    <n v="0"/>
    <n v="1"/>
    <n v="0"/>
    <n v="1"/>
    <n v="0"/>
    <x v="10"/>
    <x v="11"/>
    <n v="180.27"/>
    <n v="46.94"/>
    <x v="11"/>
    <n v="18.100000000000001"/>
    <n v="35.9"/>
  </r>
  <r>
    <n v="576078963"/>
    <n v="891952"/>
    <n v="3135534"/>
    <n v="2218"/>
    <x v="4"/>
    <n v="59156"/>
    <x v="1"/>
    <x v="12"/>
    <x v="12"/>
    <x v="12"/>
    <x v="12"/>
    <x v="12"/>
    <x v="12"/>
    <s v="TN"/>
    <s v="Nashville"/>
    <s v="NJ"/>
    <s v="Trenton"/>
    <x v="3"/>
    <n v="767844"/>
    <s v="501-1000"/>
    <n v="611"/>
    <x v="12"/>
    <x v="12"/>
    <n v="602"/>
    <n v="661.1"/>
    <x v="3"/>
    <s v="11.56"/>
    <s v="10:00-13:59"/>
    <x v="1"/>
    <x v="0"/>
    <n v="12"/>
    <n v="0"/>
    <n v="0"/>
    <n v="87.2"/>
    <n v="0"/>
    <n v="0.56899999999999995"/>
    <n v="0.65300000000000002"/>
    <n v="4362.57"/>
    <x v="0"/>
    <n v="1"/>
    <n v="1"/>
    <n v="0"/>
    <n v="1"/>
    <n v="0"/>
    <n v="1"/>
    <n v="0"/>
    <x v="11"/>
    <x v="12"/>
    <n v="450.89"/>
    <n v="78.209999999999994"/>
    <x v="12"/>
    <n v="4.0999999999999996"/>
    <n v="61.1"/>
  </r>
  <r>
    <n v="577488537"/>
    <n v="660086"/>
    <n v="6307805"/>
    <n v="2028"/>
    <x v="6"/>
    <n v="59187"/>
    <x v="1"/>
    <x v="13"/>
    <x v="13"/>
    <x v="13"/>
    <x v="13"/>
    <x v="13"/>
    <x v="13"/>
    <s v="NY"/>
    <s v="Albany"/>
    <s v="FL"/>
    <s v="Tampa"/>
    <x v="1"/>
    <n v="717705"/>
    <s v="101-300"/>
    <n v="264"/>
    <x v="13"/>
    <x v="13"/>
    <n v="271.7"/>
    <n v="368"/>
    <x v="2"/>
    <s v="7.3"/>
    <s v="18:00-23:59"/>
    <x v="0"/>
    <x v="0"/>
    <n v="-14"/>
    <n v="0"/>
    <n v="0"/>
    <n v="27.9"/>
    <n v="0"/>
    <n v="0.877"/>
    <n v="0.85299999999999998"/>
    <n v="2758.69"/>
    <x v="0"/>
    <n v="1"/>
    <n v="1"/>
    <n v="0"/>
    <n v="1"/>
    <n v="0"/>
    <n v="1"/>
    <n v="0"/>
    <x v="12"/>
    <x v="12"/>
    <n v="248.31"/>
    <n v="37.74"/>
    <x v="13"/>
    <n v="15.8"/>
    <n v="12.3"/>
  </r>
  <r>
    <n v="353524015"/>
    <n v="301629"/>
    <n v="8633773"/>
    <n v="7331"/>
    <x v="1"/>
    <n v="57226"/>
    <x v="8"/>
    <x v="14"/>
    <x v="14"/>
    <x v="14"/>
    <x v="14"/>
    <x v="14"/>
    <x v="14"/>
    <s v="CA"/>
    <s v="Oakland"/>
    <s v="CA"/>
    <s v="Fresno"/>
    <x v="2"/>
    <n v="739562"/>
    <s v="101-300"/>
    <n v="219"/>
    <x v="14"/>
    <x v="14"/>
    <n v="225.1"/>
    <n v="294.60000000000002"/>
    <x v="3"/>
    <s v="5.37"/>
    <s v="18:00-23:59"/>
    <x v="0"/>
    <x v="0"/>
    <n v="1"/>
    <n v="36"/>
    <n v="0"/>
    <n v="35.5"/>
    <n v="0"/>
    <n v="0.51100000000000001"/>
    <n v="0.66200000000000003"/>
    <n v="7206.36"/>
    <x v="1"/>
    <n v="1"/>
    <n v="1"/>
    <n v="0"/>
    <n v="1"/>
    <n v="0"/>
    <n v="1"/>
    <n v="0"/>
    <x v="13"/>
    <x v="13"/>
    <n v="232.08"/>
    <n v="43.24"/>
    <x v="14"/>
    <n v="63.5"/>
    <n v="7.8"/>
  </r>
  <r>
    <n v="489431174"/>
    <n v="321231"/>
    <n v="3646552"/>
    <n v="5636"/>
    <x v="1"/>
    <n v="59379"/>
    <x v="9"/>
    <x v="15"/>
    <x v="15"/>
    <x v="15"/>
    <x v="15"/>
    <x v="15"/>
    <x v="15"/>
    <s v="TX"/>
    <s v="San Antonio"/>
    <s v="TN"/>
    <s v="Knoxville"/>
    <x v="1"/>
    <n v="700860"/>
    <s v="101-300"/>
    <n v="278"/>
    <x v="15"/>
    <x v="15"/>
    <n v="273.2"/>
    <n v="316.7"/>
    <x v="0"/>
    <s v="4.8"/>
    <s v="06:00-09:59"/>
    <x v="6"/>
    <x v="0"/>
    <n v="-11"/>
    <n v="0"/>
    <n v="0"/>
    <n v="24.3"/>
    <n v="0"/>
    <n v="0.48"/>
    <n v="0.51700000000000002"/>
    <n v="93625.04"/>
    <x v="2"/>
    <n v="1"/>
    <n v="1"/>
    <n v="0"/>
    <n v="1"/>
    <n v="0"/>
    <n v="1"/>
    <n v="0"/>
    <x v="14"/>
    <x v="14"/>
    <n v="206.28"/>
    <n v="57.33"/>
    <x v="15"/>
    <n v="37.799999999999997"/>
    <n v="13.1"/>
  </r>
  <r>
    <n v="206681214"/>
    <n v="724834"/>
    <n v="1701771"/>
    <n v="6249"/>
    <x v="6"/>
    <n v="55890"/>
    <x v="7"/>
    <x v="16"/>
    <x v="16"/>
    <x v="16"/>
    <x v="16"/>
    <x v="16"/>
    <x v="16"/>
    <s v="PA"/>
    <s v="Pittsburgh"/>
    <s v="PA"/>
    <s v="Harrisburg"/>
    <x v="3"/>
    <n v="739365"/>
    <s v="501-1000"/>
    <n v="925"/>
    <x v="16"/>
    <x v="16"/>
    <n v="927.8"/>
    <n v="952.9"/>
    <x v="2"/>
    <s v="20.64"/>
    <s v="06:00-09:59"/>
    <x v="3"/>
    <x v="0"/>
    <n v="11"/>
    <n v="0"/>
    <n v="1.3"/>
    <n v="57.4"/>
    <n v="0"/>
    <n v="0.65"/>
    <n v="0.75800000000000001"/>
    <n v="4470.16"/>
    <x v="0"/>
    <n v="1"/>
    <n v="1"/>
    <n v="0"/>
    <n v="1"/>
    <n v="0"/>
    <n v="1"/>
    <n v="0"/>
    <x v="15"/>
    <x v="15"/>
    <n v="825.68"/>
    <n v="127.67"/>
    <x v="16"/>
    <n v="4.4000000000000004"/>
    <n v="14.8"/>
  </r>
  <r>
    <n v="836243579"/>
    <n v="496922"/>
    <n v="9075854"/>
    <n v="8869"/>
    <x v="1"/>
    <n v="54311"/>
    <x v="1"/>
    <x v="17"/>
    <x v="17"/>
    <x v="17"/>
    <x v="17"/>
    <x v="17"/>
    <x v="17"/>
    <s v="TX"/>
    <s v="Dallas"/>
    <s v="GA"/>
    <s v="Macon"/>
    <x v="1"/>
    <n v="729083"/>
    <s v="301-500"/>
    <n v="339"/>
    <x v="17"/>
    <x v="17"/>
    <n v="330.4"/>
    <n v="369.3"/>
    <x v="3"/>
    <s v="6.06"/>
    <s v="10:00-13:59"/>
    <x v="4"/>
    <x v="0"/>
    <n v="-57"/>
    <n v="0"/>
    <n v="0"/>
    <n v="42"/>
    <n v="0"/>
    <n v="0.69599999999999995"/>
    <n v="0.7"/>
    <n v="3499.83"/>
    <x v="0"/>
    <n v="1"/>
    <n v="1"/>
    <n v="0"/>
    <n v="1"/>
    <n v="0"/>
    <n v="1"/>
    <n v="0"/>
    <x v="16"/>
    <x v="16"/>
    <n v="254.15"/>
    <n v="80.06"/>
    <x v="17"/>
    <n v="9.3000000000000007"/>
    <n v="24.7"/>
  </r>
  <r>
    <n v="494422907"/>
    <n v="456699"/>
    <n v="1415846"/>
    <n v="1197"/>
    <x v="4"/>
    <n v="57736"/>
    <x v="3"/>
    <x v="18"/>
    <x v="18"/>
    <x v="18"/>
    <x v="18"/>
    <x v="18"/>
    <x v="18"/>
    <s v="CO"/>
    <s v="Aurora"/>
    <s v="PA"/>
    <s v="Philadelphia"/>
    <x v="3"/>
    <n v="728157"/>
    <s v="101-300"/>
    <n v="258"/>
    <x v="18"/>
    <x v="18"/>
    <n v="261.7"/>
    <n v="312.8"/>
    <x v="2"/>
    <s v="4.95"/>
    <s v="06:00-09:59"/>
    <x v="3"/>
    <x v="0"/>
    <n v="-25"/>
    <n v="0"/>
    <n v="0"/>
    <n v="74.2"/>
    <n v="0"/>
    <n v="0.80900000000000005"/>
    <n v="0.64900000000000002"/>
    <n v="4543.2299999999996"/>
    <x v="0"/>
    <n v="1"/>
    <n v="1"/>
    <n v="0"/>
    <n v="1"/>
    <n v="0"/>
    <n v="1"/>
    <n v="0"/>
    <x v="17"/>
    <x v="17"/>
    <n v="245.48"/>
    <n v="66.36"/>
    <x v="18"/>
    <n v="15.2"/>
    <n v="14.2"/>
  </r>
  <r>
    <n v="684615760"/>
    <n v="872246"/>
    <n v="4860684"/>
    <n v="6578"/>
    <x v="5"/>
    <n v="58848"/>
    <x v="10"/>
    <x v="19"/>
    <x v="19"/>
    <x v="19"/>
    <x v="19"/>
    <x v="19"/>
    <x v="19"/>
    <s v="NJ"/>
    <s v="Jersey City"/>
    <s v="AZ"/>
    <s v="Tucson"/>
    <x v="2"/>
    <n v="741275"/>
    <s v="101-300"/>
    <n v="277"/>
    <x v="19"/>
    <x v="19"/>
    <n v="271.7"/>
    <n v="325.2"/>
    <x v="2"/>
    <s v="6.22"/>
    <s v="10:00-13:59"/>
    <x v="5"/>
    <x v="0"/>
    <n v="-9"/>
    <n v="0"/>
    <n v="0.8"/>
    <n v="81.400000000000006"/>
    <n v="0"/>
    <n v="0.81299999999999994"/>
    <n v="0.20200000000000001"/>
    <n v="4572.32"/>
    <x v="0"/>
    <n v="1"/>
    <n v="1"/>
    <n v="0"/>
    <n v="1"/>
    <n v="0"/>
    <n v="1"/>
    <n v="0"/>
    <x v="18"/>
    <x v="18"/>
    <n v="213.86"/>
    <n v="55.85"/>
    <x v="19"/>
    <n v="41.8"/>
    <n v="16.600000000000001"/>
  </r>
  <r>
    <n v="792377512"/>
    <n v="872246"/>
    <n v="4860684"/>
    <n v="6578"/>
    <x v="5"/>
    <n v="52982"/>
    <x v="6"/>
    <x v="20"/>
    <x v="20"/>
    <x v="20"/>
    <x v="20"/>
    <x v="20"/>
    <x v="20"/>
    <s v="CA"/>
    <s v="Sacramento"/>
    <s v="OH"/>
    <s v="Dayton"/>
    <x v="0"/>
    <n v="752047"/>
    <s v="101-300"/>
    <n v="179"/>
    <x v="18"/>
    <x v="20"/>
    <n v="186.3"/>
    <n v="244.1"/>
    <x v="2"/>
    <s v="2.78"/>
    <s v="06:00-09:59"/>
    <x v="4"/>
    <x v="0"/>
    <n v="-5"/>
    <n v="0"/>
    <n v="0"/>
    <n v="74.8"/>
    <n v="0"/>
    <n v="0.44700000000000001"/>
    <n v="0.79"/>
    <n v="21829.52"/>
    <x v="1"/>
    <n v="1"/>
    <n v="1"/>
    <n v="0"/>
    <n v="1"/>
    <n v="0"/>
    <n v="1"/>
    <n v="0"/>
    <x v="13"/>
    <x v="7"/>
    <n v="214.29"/>
    <n v="33.65"/>
    <x v="20"/>
    <n v="41.8"/>
    <n v="16.5"/>
  </r>
  <r>
    <n v="485123110"/>
    <n v="482554"/>
    <n v="1954280"/>
    <n v="4561"/>
    <x v="1"/>
    <n v="59305"/>
    <x v="10"/>
    <x v="21"/>
    <x v="21"/>
    <x v="21"/>
    <x v="21"/>
    <x v="21"/>
    <x v="21"/>
    <s v="NY"/>
    <s v="Albany"/>
    <s v="OH"/>
    <s v="Toledo"/>
    <x v="0"/>
    <n v="702844"/>
    <s v="101-300"/>
    <n v="142"/>
    <x v="20"/>
    <x v="21"/>
    <n v="145.1"/>
    <n v="190.3"/>
    <x v="1"/>
    <s v="3.14"/>
    <s v="14:00-17:59"/>
    <x v="2"/>
    <x v="0"/>
    <n v="-18"/>
    <n v="0"/>
    <n v="0"/>
    <n v="26"/>
    <n v="0"/>
    <n v="0.623"/>
    <n v="0.66700000000000004"/>
    <n v="76268.33"/>
    <x v="2"/>
    <n v="1"/>
    <n v="1"/>
    <n v="0"/>
    <n v="1"/>
    <n v="0"/>
    <n v="1"/>
    <n v="0"/>
    <x v="19"/>
    <x v="19"/>
    <n v="157.5"/>
    <n v="39.5"/>
    <x v="21"/>
    <n v="16.100000000000001"/>
    <n v="34.9"/>
  </r>
  <r>
    <n v="165015165"/>
    <n v="391476"/>
    <n v="8999183"/>
    <n v="6618"/>
    <x v="2"/>
    <n v="56083"/>
    <x v="10"/>
    <x v="22"/>
    <x v="22"/>
    <x v="22"/>
    <x v="22"/>
    <x v="22"/>
    <x v="22"/>
    <s v="MO"/>
    <s v="Springfield"/>
    <s v="NC"/>
    <s v="Wilmington"/>
    <x v="1"/>
    <n v="790402"/>
    <s v="301-500"/>
    <n v="290"/>
    <x v="21"/>
    <x v="22"/>
    <n v="287.8"/>
    <n v="337.1"/>
    <x v="2"/>
    <s v="3.58"/>
    <s v="18:00-23:59"/>
    <x v="3"/>
    <x v="0"/>
    <n v="-55"/>
    <n v="0"/>
    <n v="0"/>
    <n v="49"/>
    <n v="0"/>
    <n v="0.68700000000000006"/>
    <n v="0.74399999999999999"/>
    <n v="80968.17"/>
    <x v="2"/>
    <n v="1"/>
    <n v="1"/>
    <n v="0"/>
    <n v="1"/>
    <n v="0"/>
    <n v="1"/>
    <n v="0"/>
    <x v="1"/>
    <x v="17"/>
    <n v="229.89"/>
    <n v="66.209999999999994"/>
    <x v="22"/>
    <n v="51.7"/>
    <n v="57.8"/>
  </r>
  <r>
    <n v="527499187"/>
    <n v="301629"/>
    <n v="8633773"/>
    <n v="7331"/>
    <x v="1"/>
    <n v="50556"/>
    <x v="9"/>
    <x v="23"/>
    <x v="23"/>
    <x v="23"/>
    <x v="23"/>
    <x v="23"/>
    <x v="23"/>
    <s v="OH"/>
    <s v="Columbus"/>
    <s v="TN"/>
    <s v="Memphis"/>
    <x v="1"/>
    <n v="736170"/>
    <s v="101-300"/>
    <n v="201"/>
    <x v="22"/>
    <x v="23"/>
    <n v="198.6"/>
    <n v="259.3"/>
    <x v="3"/>
    <s v="3.59"/>
    <s v="18:00-23:59"/>
    <x v="4"/>
    <x v="0"/>
    <n v="-22"/>
    <n v="0"/>
    <n v="0"/>
    <n v="61.9"/>
    <n v="0"/>
    <n v="0.84"/>
    <n v="0.63600000000000001"/>
    <n v="11977"/>
    <x v="1"/>
    <n v="1"/>
    <n v="1"/>
    <n v="0"/>
    <n v="1"/>
    <n v="0"/>
    <n v="1"/>
    <n v="0"/>
    <x v="20"/>
    <x v="20"/>
    <n v="216.44"/>
    <n v="28.61"/>
    <x v="23"/>
    <n v="63.5"/>
    <n v="13.1"/>
  </r>
  <r>
    <n v="396225446"/>
    <n v="905635"/>
    <n v="2677407"/>
    <n v="3790"/>
    <x v="4"/>
    <n v="53019"/>
    <x v="11"/>
    <x v="24"/>
    <x v="24"/>
    <x v="24"/>
    <x v="24"/>
    <x v="24"/>
    <x v="24"/>
    <s v="OH"/>
    <s v="Cincinnati"/>
    <s v="WA"/>
    <s v="Spokane"/>
    <x v="2"/>
    <n v="772569"/>
    <s v="0-100"/>
    <n v="51"/>
    <x v="23"/>
    <x v="24"/>
    <n v="51.9"/>
    <n v="126.6"/>
    <x v="0"/>
    <s v="2.01"/>
    <s v="10:00-13:59"/>
    <x v="1"/>
    <x v="0"/>
    <n v="0"/>
    <n v="0"/>
    <n v="0"/>
    <n v="60"/>
    <n v="0"/>
    <n v="0.501"/>
    <n v="0.83199999999999996"/>
    <n v="1229.68"/>
    <x v="0"/>
    <n v="1"/>
    <n v="1"/>
    <n v="0"/>
    <n v="1"/>
    <n v="0"/>
    <n v="1"/>
    <n v="0"/>
    <x v="21"/>
    <x v="2"/>
    <n v="81.64"/>
    <n v="19.899999999999999"/>
    <x v="24"/>
    <n v="27.7"/>
    <n v="8.6"/>
  </r>
  <r>
    <n v="303805386"/>
    <n v="301629"/>
    <n v="8633773"/>
    <n v="7331"/>
    <x v="1"/>
    <n v="52580"/>
    <x v="2"/>
    <x v="25"/>
    <x v="25"/>
    <x v="25"/>
    <x v="25"/>
    <x v="25"/>
    <x v="25"/>
    <s v="AZ"/>
    <s v="Tucson"/>
    <s v="NY"/>
    <s v="Syracuse"/>
    <x v="3"/>
    <n v="767013"/>
    <s v="301-500"/>
    <n v="417"/>
    <x v="24"/>
    <x v="15"/>
    <n v="411.5"/>
    <n v="482.9"/>
    <x v="3"/>
    <s v="7.56"/>
    <s v="10:00-13:59"/>
    <x v="4"/>
    <x v="0"/>
    <n v="-25"/>
    <n v="0"/>
    <n v="0"/>
    <n v="98"/>
    <n v="0"/>
    <n v="0.39800000000000002"/>
    <n v="0.66900000000000004"/>
    <n v="3028.42"/>
    <x v="0"/>
    <n v="1"/>
    <n v="1"/>
    <n v="0"/>
    <n v="1"/>
    <n v="0"/>
    <n v="1"/>
    <n v="0"/>
    <x v="22"/>
    <x v="17"/>
    <n v="411.27"/>
    <n v="105.15"/>
    <x v="25"/>
    <n v="63.5"/>
    <n v="5"/>
  </r>
  <r>
    <n v="231167999"/>
    <n v="197251"/>
    <n v="4078418"/>
    <n v="2585"/>
    <x v="4"/>
    <n v="58146"/>
    <x v="0"/>
    <x v="26"/>
    <x v="26"/>
    <x v="26"/>
    <x v="26"/>
    <x v="26"/>
    <x v="26"/>
    <s v="AZ"/>
    <s v="Flagstaff"/>
    <s v="MI"/>
    <s v="Lansing"/>
    <x v="0"/>
    <n v="772918"/>
    <s v="301-500"/>
    <n v="333"/>
    <x v="25"/>
    <x v="25"/>
    <n v="339.7"/>
    <n v="392.3"/>
    <x v="0"/>
    <s v="8.26"/>
    <s v="14:00-17:59"/>
    <x v="0"/>
    <x v="0"/>
    <n v="-16"/>
    <n v="0"/>
    <n v="0"/>
    <n v="44"/>
    <n v="0"/>
    <n v="0.82"/>
    <n v="0.91200000000000003"/>
    <n v="20794.23"/>
    <x v="1"/>
    <n v="1"/>
    <n v="1"/>
    <n v="0"/>
    <n v="1"/>
    <n v="0"/>
    <n v="1"/>
    <n v="0"/>
    <x v="23"/>
    <x v="21"/>
    <n v="300.93"/>
    <n v="60.6"/>
    <x v="26"/>
    <n v="11.9"/>
    <n v="23"/>
  </r>
  <r>
    <n v="984968439"/>
    <n v="705397"/>
    <n v="5449368"/>
    <n v="5859"/>
    <x v="1"/>
    <n v="58243"/>
    <x v="2"/>
    <x v="27"/>
    <x v="27"/>
    <x v="27"/>
    <x v="27"/>
    <x v="27"/>
    <x v="27"/>
    <s v="MO"/>
    <s v="Springfield"/>
    <s v="MO"/>
    <s v="Columbia"/>
    <x v="0"/>
    <n v="774798"/>
    <s v="101-300"/>
    <n v="289"/>
    <x v="26"/>
    <x v="26"/>
    <n v="290.8"/>
    <n v="332.1"/>
    <x v="2"/>
    <s v="5.96"/>
    <s v="06:00-09:59"/>
    <x v="0"/>
    <x v="0"/>
    <n v="24"/>
    <n v="0"/>
    <n v="0"/>
    <n v="49.4"/>
    <n v="0"/>
    <n v="0.39400000000000002"/>
    <n v="0.27600000000000002"/>
    <n v="18352.919999999998"/>
    <x v="1"/>
    <n v="1"/>
    <n v="0"/>
    <n v="1"/>
    <n v="0"/>
    <n v="1"/>
    <n v="0"/>
    <n v="1"/>
    <x v="24"/>
    <x v="22"/>
    <n v="217.88"/>
    <n v="70.39"/>
    <x v="27"/>
    <n v="11.4"/>
    <n v="38.5"/>
  </r>
  <r>
    <n v="588249062"/>
    <n v="847581"/>
    <n v="3919694"/>
    <n v="9050"/>
    <x v="7"/>
    <n v="59553"/>
    <x v="7"/>
    <x v="28"/>
    <x v="28"/>
    <x v="28"/>
    <x v="28"/>
    <x v="28"/>
    <x v="28"/>
    <s v="OH"/>
    <s v="Cleveland"/>
    <s v="MI"/>
    <s v="Flint"/>
    <x v="0"/>
    <n v="774922"/>
    <s v="301-500"/>
    <n v="349"/>
    <x v="27"/>
    <x v="5"/>
    <n v="354.8"/>
    <n v="384.8"/>
    <x v="0"/>
    <s v="11.58"/>
    <s v="14:00-17:59"/>
    <x v="4"/>
    <x v="2"/>
    <n v="188"/>
    <n v="47"/>
    <n v="5"/>
    <n v="88.3"/>
    <n v="0"/>
    <n v="0.60899999999999999"/>
    <n v="0.79900000000000004"/>
    <n v="3349.14"/>
    <x v="0"/>
    <n v="1"/>
    <n v="0"/>
    <n v="1"/>
    <n v="0"/>
    <n v="1"/>
    <n v="0"/>
    <n v="1"/>
    <x v="3"/>
    <x v="23"/>
    <n v="302.12"/>
    <n v="83.61"/>
    <x v="28"/>
    <n v="12.5"/>
    <n v="30.6"/>
  </r>
  <r>
    <n v="198433586"/>
    <n v="816751"/>
    <n v="3011363"/>
    <n v="9996"/>
    <x v="7"/>
    <n v="59386"/>
    <x v="6"/>
    <x v="29"/>
    <x v="29"/>
    <x v="29"/>
    <x v="29"/>
    <x v="29"/>
    <x v="29"/>
    <s v="MO"/>
    <s v="Springfield"/>
    <s v="MO"/>
    <s v="Independence"/>
    <x v="0"/>
    <n v="774798"/>
    <s v="101-300"/>
    <n v="153"/>
    <x v="28"/>
    <x v="27"/>
    <n v="138.30000000000001"/>
    <n v="193"/>
    <x v="0"/>
    <s v="2.51"/>
    <s v="10:00-13:59"/>
    <x v="2"/>
    <x v="0"/>
    <n v="-21"/>
    <n v="0"/>
    <n v="0"/>
    <n v="55.6"/>
    <n v="0"/>
    <n v="0.79500000000000004"/>
    <n v="0.95799999999999996"/>
    <n v="4028.59"/>
    <x v="0"/>
    <n v="1"/>
    <n v="1"/>
    <n v="0"/>
    <n v="1"/>
    <n v="0"/>
    <n v="1"/>
    <n v="0"/>
    <x v="25"/>
    <x v="24"/>
    <n v="131.29"/>
    <n v="28.27"/>
    <x v="29"/>
    <n v="13.3"/>
    <n v="41.1"/>
  </r>
  <r>
    <n v="811642514"/>
    <n v="660086"/>
    <n v="6307805"/>
    <n v="2028"/>
    <x v="6"/>
    <n v="54019"/>
    <x v="10"/>
    <x v="30"/>
    <x v="30"/>
    <x v="30"/>
    <x v="30"/>
    <x v="30"/>
    <x v="12"/>
    <s v="NC"/>
    <s v="Wilmington"/>
    <s v="FL"/>
    <s v="Jacksonville"/>
    <x v="1"/>
    <n v="720278"/>
    <s v="501-1000"/>
    <n v="754"/>
    <x v="29"/>
    <x v="11"/>
    <n v="754.1"/>
    <n v="778"/>
    <x v="2"/>
    <s v="15.55"/>
    <s v="06:00-09:59"/>
    <x v="3"/>
    <x v="3"/>
    <n v="104"/>
    <n v="0"/>
    <n v="0"/>
    <n v="59.6"/>
    <n v="0"/>
    <n v="0.69499999999999995"/>
    <n v="0.82299999999999995"/>
    <n v="16146.9"/>
    <x v="1"/>
    <n v="1"/>
    <n v="0"/>
    <n v="1"/>
    <n v="0"/>
    <n v="1"/>
    <n v="0"/>
    <n v="1"/>
    <x v="17"/>
    <x v="25"/>
    <n v="639.39"/>
    <n v="167.85"/>
    <x v="30"/>
    <n v="15.8"/>
    <n v="14.4"/>
  </r>
  <r>
    <n v="327746886"/>
    <n v="581141"/>
    <n v="2936571"/>
    <n v="6592"/>
    <x v="0"/>
    <n v="53138"/>
    <x v="6"/>
    <x v="31"/>
    <x v="31"/>
    <x v="31"/>
    <x v="31"/>
    <x v="31"/>
    <x v="30"/>
    <s v="MO"/>
    <s v="Independence"/>
    <s v="CO"/>
    <s v="Fort Collins"/>
    <x v="2"/>
    <n v="712358"/>
    <s v="301-500"/>
    <n v="404"/>
    <x v="30"/>
    <x v="28"/>
    <n v="405.5"/>
    <n v="436.6"/>
    <x v="0"/>
    <s v="6.31"/>
    <s v="10:00-13:59"/>
    <x v="0"/>
    <x v="0"/>
    <n v="-13"/>
    <n v="0"/>
    <n v="0"/>
    <n v="30.5"/>
    <n v="0"/>
    <n v="0.49399999999999999"/>
    <n v="0.46899999999999997"/>
    <n v="20598.45"/>
    <x v="1"/>
    <n v="1"/>
    <n v="1"/>
    <n v="0"/>
    <n v="1"/>
    <n v="0"/>
    <n v="1"/>
    <n v="0"/>
    <x v="26"/>
    <x v="23"/>
    <n v="363.51"/>
    <n v="50.89"/>
    <x v="31"/>
    <n v="27"/>
    <n v="51.7"/>
  </r>
  <r>
    <n v="789024924"/>
    <n v="518373"/>
    <n v="7812810"/>
    <n v="2045"/>
    <x v="4"/>
    <n v="59840"/>
    <x v="9"/>
    <x v="27"/>
    <x v="27"/>
    <x v="32"/>
    <x v="32"/>
    <x v="32"/>
    <x v="27"/>
    <s v="NY"/>
    <s v="New York"/>
    <s v="TX"/>
    <s v="El Paso"/>
    <x v="1"/>
    <n v="704946"/>
    <s v="101-300"/>
    <n v="151"/>
    <x v="28"/>
    <x v="29"/>
    <n v="151"/>
    <n v="202.8"/>
    <x v="0"/>
    <s v="4.97"/>
    <s v="00:00-05:59"/>
    <x v="0"/>
    <x v="0"/>
    <n v="-15"/>
    <n v="0"/>
    <n v="0"/>
    <n v="51.8"/>
    <n v="0"/>
    <n v="0.65600000000000003"/>
    <n v="0.40899999999999997"/>
    <n v="1964.01"/>
    <x v="0"/>
    <n v="1"/>
    <n v="1"/>
    <n v="0"/>
    <n v="1"/>
    <n v="0"/>
    <n v="1"/>
    <n v="0"/>
    <x v="27"/>
    <x v="26"/>
    <n v="172.03"/>
    <n v="24.18"/>
    <x v="32"/>
    <n v="21.7"/>
    <n v="3.7"/>
  </r>
  <r>
    <n v="786650291"/>
    <n v="946335"/>
    <n v="1247595"/>
    <n v="6675"/>
    <x v="1"/>
    <n v="50671"/>
    <x v="11"/>
    <x v="32"/>
    <x v="32"/>
    <x v="33"/>
    <x v="33"/>
    <x v="33"/>
    <x v="31"/>
    <s v="NC"/>
    <s v="Wilmington"/>
    <s v="CO"/>
    <s v="Colorado Springs"/>
    <x v="2"/>
    <n v="760341"/>
    <s v="301-500"/>
    <n v="352"/>
    <x v="31"/>
    <x v="30"/>
    <n v="352.1"/>
    <n v="398.1"/>
    <x v="0"/>
    <s v="8.15"/>
    <s v="14:00-17:59"/>
    <x v="5"/>
    <x v="0"/>
    <n v="-9"/>
    <n v="43"/>
    <n v="0"/>
    <n v="67.2"/>
    <n v="0"/>
    <n v="0.69199999999999995"/>
    <n v="0.98899999999999999"/>
    <n v="20218.98"/>
    <x v="1"/>
    <n v="1"/>
    <n v="1"/>
    <n v="0"/>
    <n v="1"/>
    <n v="0"/>
    <n v="1"/>
    <n v="0"/>
    <x v="28"/>
    <x v="27"/>
    <n v="353.7"/>
    <n v="53.02"/>
    <x v="33"/>
    <n v="32.6"/>
    <n v="7.9"/>
  </r>
  <r>
    <n v="741180590"/>
    <n v="724834"/>
    <n v="1701771"/>
    <n v="6249"/>
    <x v="6"/>
    <n v="50777"/>
    <x v="6"/>
    <x v="33"/>
    <x v="33"/>
    <x v="34"/>
    <x v="34"/>
    <x v="34"/>
    <x v="32"/>
    <s v="IL"/>
    <s v="Rockford"/>
    <s v="NY"/>
    <s v="Buffalo"/>
    <x v="3"/>
    <n v="746616"/>
    <s v="501-1000"/>
    <n v="576"/>
    <x v="32"/>
    <x v="31"/>
    <n v="574.1"/>
    <n v="613.70000000000005"/>
    <x v="2"/>
    <s v="9.96"/>
    <s v="06:00-09:59"/>
    <x v="3"/>
    <x v="3"/>
    <n v="41"/>
    <n v="0"/>
    <n v="0.8"/>
    <n v="89.2"/>
    <n v="0"/>
    <n v="0.69399999999999995"/>
    <n v="0.54500000000000004"/>
    <n v="5481.45"/>
    <x v="0"/>
    <n v="1"/>
    <n v="0"/>
    <n v="1"/>
    <n v="0"/>
    <n v="1"/>
    <n v="0"/>
    <n v="1"/>
    <x v="29"/>
    <x v="28"/>
    <n v="501.07"/>
    <n v="95.8"/>
    <x v="34"/>
    <n v="4.4000000000000004"/>
    <n v="4.7"/>
  </r>
  <r>
    <n v="122932394"/>
    <n v="220116"/>
    <n v="6933742"/>
    <n v="5218"/>
    <x v="0"/>
    <n v="54927"/>
    <x v="12"/>
    <x v="5"/>
    <x v="5"/>
    <x v="35"/>
    <x v="35"/>
    <x v="35"/>
    <x v="5"/>
    <s v="CA"/>
    <s v="Fresno"/>
    <s v="GA"/>
    <s v="Augusta"/>
    <x v="1"/>
    <n v="720461"/>
    <s v="101-300"/>
    <n v="259"/>
    <x v="33"/>
    <x v="32"/>
    <n v="272.5"/>
    <n v="300.5"/>
    <x v="0"/>
    <s v="14.34"/>
    <s v="06:00-09:59"/>
    <x v="3"/>
    <x v="4"/>
    <n v="490"/>
    <n v="253"/>
    <n v="0"/>
    <n v="32.299999999999997"/>
    <n v="0"/>
    <n v="0.65500000000000003"/>
    <n v="0.70899999999999996"/>
    <n v="1464.28"/>
    <x v="0"/>
    <n v="1"/>
    <n v="0"/>
    <n v="1"/>
    <n v="0"/>
    <n v="1"/>
    <n v="0"/>
    <n v="1"/>
    <x v="16"/>
    <x v="29"/>
    <n v="230.64"/>
    <n v="36.58"/>
    <x v="35"/>
    <n v="31.9"/>
    <n v="31.5"/>
  </r>
  <r>
    <n v="154308262"/>
    <n v="883300"/>
    <n v="9479356"/>
    <n v="5413"/>
    <x v="1"/>
    <n v="53022"/>
    <x v="13"/>
    <x v="34"/>
    <x v="34"/>
    <x v="36"/>
    <x v="36"/>
    <x v="36"/>
    <x v="33"/>
    <s v="TX"/>
    <s v="El Paso"/>
    <s v="CO"/>
    <s v="Fort Collins"/>
    <x v="2"/>
    <n v="718141"/>
    <s v="101-300"/>
    <n v="270"/>
    <x v="34"/>
    <x v="33"/>
    <n v="271.5"/>
    <n v="323.60000000000002"/>
    <x v="0"/>
    <s v="4.4"/>
    <s v="06:00-09:59"/>
    <x v="6"/>
    <x v="0"/>
    <n v="-25"/>
    <n v="0"/>
    <n v="0"/>
    <n v="49.9"/>
    <n v="0"/>
    <n v="0.70399999999999996"/>
    <n v="0.60899999999999999"/>
    <n v="58446.66"/>
    <x v="2"/>
    <n v="1"/>
    <n v="1"/>
    <n v="0"/>
    <n v="1"/>
    <n v="0"/>
    <n v="1"/>
    <n v="0"/>
    <x v="30"/>
    <x v="30"/>
    <n v="283.56"/>
    <n v="45.57"/>
    <x v="36"/>
    <n v="29.3"/>
    <n v="20.6"/>
  </r>
  <r>
    <n v="944814262"/>
    <n v="198246"/>
    <n v="9626108"/>
    <n v="5555"/>
    <x v="0"/>
    <n v="51860"/>
    <x v="9"/>
    <x v="35"/>
    <x v="35"/>
    <x v="37"/>
    <x v="37"/>
    <x v="37"/>
    <x v="34"/>
    <s v="PA"/>
    <s v="Pittsburgh"/>
    <s v="TX"/>
    <s v="El Paso"/>
    <x v="1"/>
    <n v="734732"/>
    <s v="301-500"/>
    <n v="396"/>
    <x v="35"/>
    <x v="34"/>
    <n v="396.7"/>
    <n v="439.6"/>
    <x v="1"/>
    <s v="8.2"/>
    <s v="18:00-23:59"/>
    <x v="4"/>
    <x v="0"/>
    <n v="-42"/>
    <n v="0"/>
    <n v="0"/>
    <n v="39.9"/>
    <n v="0"/>
    <n v="0.72699999999999998"/>
    <n v="0.70099999999999996"/>
    <n v="12980.78"/>
    <x v="1"/>
    <n v="1"/>
    <n v="1"/>
    <n v="0"/>
    <n v="1"/>
    <n v="0"/>
    <n v="1"/>
    <n v="0"/>
    <x v="22"/>
    <x v="9"/>
    <n v="391.22"/>
    <n v="49.43"/>
    <x v="37"/>
    <n v="11.5"/>
    <n v="8.6999999999999993"/>
  </r>
  <r>
    <n v="458102728"/>
    <n v="724834"/>
    <n v="1701771"/>
    <n v="6249"/>
    <x v="6"/>
    <n v="53139"/>
    <x v="5"/>
    <x v="36"/>
    <x v="36"/>
    <x v="38"/>
    <x v="38"/>
    <x v="38"/>
    <x v="35"/>
    <s v="AZ"/>
    <s v="Tucson"/>
    <s v="CO"/>
    <s v="Pueblo"/>
    <x v="2"/>
    <n v="795199"/>
    <s v="101-300"/>
    <n v="258"/>
    <x v="36"/>
    <x v="35"/>
    <n v="263.60000000000002"/>
    <n v="314.2"/>
    <x v="2"/>
    <s v="5.02 hrs"/>
    <s v="10:00-13:59"/>
    <x v="1"/>
    <x v="0"/>
    <n v="-22"/>
    <n v="55"/>
    <n v="0"/>
    <n v="45.3"/>
    <n v="0"/>
    <n v="0.438"/>
    <n v="0.78500000000000003"/>
    <n v="1457.01"/>
    <x v="0"/>
    <n v="1"/>
    <n v="1"/>
    <n v="0"/>
    <n v="1"/>
    <n v="0"/>
    <n v="1"/>
    <n v="0"/>
    <x v="31"/>
    <x v="31"/>
    <n v="268.49"/>
    <n v="47.63"/>
    <x v="38"/>
    <n v="4.4000000000000004"/>
    <n v="19"/>
  </r>
  <r>
    <n v="361530104"/>
    <n v="719176"/>
    <n v="2130789"/>
    <n v="6311"/>
    <x v="8"/>
    <n v="51074"/>
    <x v="8"/>
    <x v="37"/>
    <x v="37"/>
    <x v="39"/>
    <x v="39"/>
    <x v="39"/>
    <x v="36"/>
    <s v="NJ"/>
    <s v="Paterson"/>
    <s v="NJ"/>
    <s v="Elizabeth"/>
    <x v="3"/>
    <n v="748114"/>
    <s v="101-300"/>
    <n v="263"/>
    <x v="37"/>
    <x v="36"/>
    <n v="259.60000000000002"/>
    <n v="303.7"/>
    <x v="0"/>
    <s v="4.54"/>
    <s v="10:00-13:59"/>
    <x v="6"/>
    <x v="0"/>
    <n v="-8"/>
    <n v="0"/>
    <n v="0"/>
    <n v="76.3"/>
    <n v="0"/>
    <n v="0.67600000000000005"/>
    <n v="0.67"/>
    <n v="3681.84"/>
    <x v="0"/>
    <n v="1"/>
    <n v="1"/>
    <n v="0"/>
    <n v="1"/>
    <n v="0"/>
    <n v="1"/>
    <n v="0"/>
    <x v="17"/>
    <x v="3"/>
    <n v="274.16000000000003"/>
    <n v="60.53"/>
    <x v="39"/>
    <n v="17"/>
    <n v="47.9"/>
  </r>
  <r>
    <n v="235209737"/>
    <n v="358607"/>
    <n v="5727085"/>
    <n v="6864"/>
    <x v="1"/>
    <n v="59908"/>
    <x v="11"/>
    <x v="38"/>
    <x v="38"/>
    <x v="40"/>
    <x v="40"/>
    <x v="40"/>
    <x v="37"/>
    <s v="PA"/>
    <s v="Harrisburg"/>
    <s v="CO"/>
    <s v="Denver"/>
    <x v="2"/>
    <n v="776304"/>
    <s v="301-500"/>
    <n v="321"/>
    <x v="38"/>
    <x v="37"/>
    <n v="313.3"/>
    <n v="352.1"/>
    <x v="0"/>
    <s v="8.9"/>
    <s v="10:00-13:59"/>
    <x v="5"/>
    <x v="3"/>
    <n v="107"/>
    <n v="0"/>
    <n v="0"/>
    <n v="55.7"/>
    <n v="0"/>
    <n v="0.81699999999999995"/>
    <n v="0.60599999999999998"/>
    <n v="2148.69"/>
    <x v="0"/>
    <n v="1"/>
    <n v="0"/>
    <n v="1"/>
    <n v="0"/>
    <n v="1"/>
    <n v="0"/>
    <n v="1"/>
    <x v="32"/>
    <x v="7"/>
    <n v="321.76"/>
    <n v="60.35"/>
    <x v="40"/>
    <n v="7.3"/>
    <n v="46"/>
  </r>
  <r>
    <n v="945011302"/>
    <n v="407757"/>
    <n v="6573147"/>
    <n v="2930"/>
    <x v="3"/>
    <n v="59475"/>
    <x v="8"/>
    <x v="39"/>
    <x v="39"/>
    <x v="41"/>
    <x v="41"/>
    <x v="41"/>
    <x v="38"/>
    <s v="NJ"/>
    <s v="Elizabeth"/>
    <s v="OH"/>
    <s v="Dayton"/>
    <x v="0"/>
    <n v="732749"/>
    <s v="301-500"/>
    <n v="512"/>
    <x v="31"/>
    <x v="38"/>
    <n v="517.4"/>
    <n v="543.6"/>
    <x v="4"/>
    <s v="7.32"/>
    <s v="10:00-13:59"/>
    <x v="3"/>
    <x v="0"/>
    <n v="-43"/>
    <n v="0"/>
    <n v="0"/>
    <n v="59.7"/>
    <n v="0"/>
    <n v="0.47199999999999998"/>
    <n v="0.45300000000000001"/>
    <n v="3182.26"/>
    <x v="0"/>
    <n v="1"/>
    <n v="1"/>
    <n v="0"/>
    <n v="1"/>
    <n v="0"/>
    <n v="1"/>
    <n v="0"/>
    <x v="33"/>
    <x v="3"/>
    <n v="378.02"/>
    <n v="107.21"/>
    <x v="41"/>
    <n v="13.8"/>
    <n v="49.4"/>
  </r>
  <r>
    <n v="706210987"/>
    <n v="733052"/>
    <n v="2642635"/>
    <n v="8989"/>
    <x v="1"/>
    <n v="56763"/>
    <x v="8"/>
    <x v="15"/>
    <x v="15"/>
    <x v="42"/>
    <x v="42"/>
    <x v="42"/>
    <x v="15"/>
    <s v="CO"/>
    <s v="Pueblo"/>
    <s v="FL"/>
    <s v="Miami"/>
    <x v="1"/>
    <n v="730539"/>
    <s v="101-300"/>
    <n v="281"/>
    <x v="39"/>
    <x v="39"/>
    <n v="279"/>
    <n v="368"/>
    <x v="2"/>
    <s v="5.55"/>
    <s v="06:00-09:59"/>
    <x v="6"/>
    <x v="0"/>
    <n v="-46"/>
    <n v="44"/>
    <n v="0"/>
    <n v="60.3"/>
    <n v="0"/>
    <n v="0.57099999999999995"/>
    <n v="0.67800000000000005"/>
    <n v="4610.82"/>
    <x v="0"/>
    <n v="1"/>
    <n v="1"/>
    <n v="0"/>
    <n v="1"/>
    <n v="0"/>
    <n v="1"/>
    <n v="0"/>
    <x v="34"/>
    <x v="32"/>
    <n v="248.44"/>
    <n v="42.79"/>
    <x v="42"/>
    <n v="11.9"/>
    <n v="15.7"/>
  </r>
  <r>
    <n v="320337809"/>
    <n v="217301"/>
    <n v="5453786"/>
    <n v="5548"/>
    <x v="6"/>
    <n v="51986"/>
    <x v="7"/>
    <x v="2"/>
    <x v="2"/>
    <x v="43"/>
    <x v="43"/>
    <x v="43"/>
    <x v="2"/>
    <s v="CA"/>
    <s v="Los Angeles"/>
    <s v="TN"/>
    <s v="Memphis"/>
    <x v="1"/>
    <n v="747187"/>
    <s v="101-300"/>
    <n v="148"/>
    <x v="40"/>
    <x v="40"/>
    <n v="156.19999999999999"/>
    <n v="216.7"/>
    <x v="3"/>
    <s v="2.9"/>
    <s v="14:00-17:59"/>
    <x v="2"/>
    <x v="0"/>
    <n v="-9"/>
    <n v="0"/>
    <n v="0"/>
    <n v="37"/>
    <n v="0"/>
    <n v="0.69599999999999995"/>
    <n v="0.59099999999999997"/>
    <n v="14346.79"/>
    <x v="1"/>
    <n v="1"/>
    <n v="1"/>
    <n v="0"/>
    <n v="1"/>
    <n v="0"/>
    <n v="1"/>
    <n v="0"/>
    <x v="26"/>
    <x v="6"/>
    <n v="163.52000000000001"/>
    <n v="32.06"/>
    <x v="43"/>
    <n v="13"/>
    <n v="29.1"/>
  </r>
  <r>
    <n v="173669588"/>
    <n v="246316"/>
    <n v="1352896"/>
    <n v="5426"/>
    <x v="7"/>
    <n v="59193"/>
    <x v="7"/>
    <x v="40"/>
    <x v="40"/>
    <x v="44"/>
    <x v="44"/>
    <x v="44"/>
    <x v="39"/>
    <s v="MO"/>
    <s v="St. Louis"/>
    <s v="CA"/>
    <s v="San Diego"/>
    <x v="2"/>
    <n v="733586"/>
    <s v="101-300"/>
    <n v="145"/>
    <x v="41"/>
    <x v="41"/>
    <n v="152.80000000000001"/>
    <n v="166.3"/>
    <x v="0"/>
    <s v="2.18"/>
    <s v="06:00-09:59"/>
    <x v="5"/>
    <x v="0"/>
    <n v="-4"/>
    <n v="0"/>
    <n v="0"/>
    <n v="70.099999999999994"/>
    <n v="0"/>
    <n v="0.78"/>
    <n v="0.60299999999999998"/>
    <n v="5200.28"/>
    <x v="0"/>
    <n v="1"/>
    <n v="1"/>
    <n v="0"/>
    <n v="1"/>
    <n v="0"/>
    <n v="1"/>
    <n v="0"/>
    <x v="27"/>
    <x v="9"/>
    <n v="152.84"/>
    <n v="17.41"/>
    <x v="44"/>
    <n v="28.1"/>
    <n v="13.6"/>
  </r>
  <r>
    <n v="991010113"/>
    <n v="217301"/>
    <n v="5453786"/>
    <n v="5548"/>
    <x v="6"/>
    <n v="56327"/>
    <x v="8"/>
    <x v="41"/>
    <x v="41"/>
    <x v="45"/>
    <x v="45"/>
    <x v="45"/>
    <x v="40"/>
    <s v="CA"/>
    <s v="Los Angeles"/>
    <s v="MI"/>
    <s v="Detroit"/>
    <x v="0"/>
    <n v="739361"/>
    <s v="101-300"/>
    <n v="132"/>
    <x v="42"/>
    <x v="42"/>
    <n v="118.1"/>
    <n v="168.4"/>
    <x v="3"/>
    <s v="2.47"/>
    <s v="06:00-09:59"/>
    <x v="4"/>
    <x v="0"/>
    <n v="-29"/>
    <n v="0"/>
    <n v="0"/>
    <n v="28.3"/>
    <n v="0"/>
    <n v="0.60899999999999999"/>
    <n v="0.94199999999999995"/>
    <n v="18492.18"/>
    <x v="1"/>
    <n v="1"/>
    <n v="1"/>
    <n v="0"/>
    <n v="1"/>
    <n v="0"/>
    <n v="1"/>
    <n v="0"/>
    <x v="11"/>
    <x v="33"/>
    <n v="108.88"/>
    <n v="24.32"/>
    <x v="45"/>
    <n v="13"/>
    <n v="42.5"/>
  </r>
  <r>
    <n v="921581473"/>
    <n v="497887"/>
    <n v="5456272"/>
    <n v="5488"/>
    <x v="9"/>
    <n v="51046"/>
    <x v="6"/>
    <x v="42"/>
    <x v="42"/>
    <x v="46"/>
    <x v="46"/>
    <x v="46"/>
    <x v="41"/>
    <s v="MI"/>
    <s v="Detroit"/>
    <s v="TX"/>
    <s v="Dallas"/>
    <x v="1"/>
    <n v="712046"/>
    <s v="0-100"/>
    <n v="32"/>
    <x v="43"/>
    <x v="43"/>
    <n v="32.4"/>
    <n v="91.9"/>
    <x v="2"/>
    <s v="0.27"/>
    <s v="14:00-17:59"/>
    <x v="0"/>
    <x v="0"/>
    <n v="-74"/>
    <n v="0"/>
    <n v="0"/>
    <n v="25.3"/>
    <n v="0"/>
    <n v="0.71599999999999997"/>
    <n v="0.79100000000000004"/>
    <n v="7071.45"/>
    <x v="0"/>
    <n v="1"/>
    <n v="1"/>
    <n v="0"/>
    <n v="1"/>
    <n v="0"/>
    <n v="1"/>
    <n v="0"/>
    <x v="33"/>
    <x v="34"/>
    <n v="76.61"/>
    <n v="15.97"/>
    <x v="46"/>
    <n v="34.9"/>
    <n v="63.2"/>
  </r>
  <r>
    <n v="695076080"/>
    <n v="733052"/>
    <n v="2642635"/>
    <n v="8989"/>
    <x v="1"/>
    <n v="52176"/>
    <x v="7"/>
    <x v="43"/>
    <x v="43"/>
    <x v="47"/>
    <x v="47"/>
    <x v="47"/>
    <x v="42"/>
    <s v="WA"/>
    <s v="Everett"/>
    <s v="AZ"/>
    <s v="Flagstaff"/>
    <x v="2"/>
    <n v="774774"/>
    <s v="301-500"/>
    <n v="462"/>
    <x v="44"/>
    <x v="44"/>
    <n v="468.5"/>
    <n v="542.4"/>
    <x v="2"/>
    <s v="7.79"/>
    <s v="06:00-09:59"/>
    <x v="1"/>
    <x v="0"/>
    <n v="-43"/>
    <n v="0"/>
    <n v="0"/>
    <n v="39.4"/>
    <n v="0"/>
    <n v="0.66200000000000003"/>
    <n v="0.96299999999999997"/>
    <n v="5520.27"/>
    <x v="0"/>
    <n v="1"/>
    <n v="1"/>
    <n v="0"/>
    <n v="1"/>
    <n v="0"/>
    <n v="1"/>
    <n v="0"/>
    <x v="20"/>
    <x v="35"/>
    <n v="474.74"/>
    <n v="91.27"/>
    <x v="47"/>
    <n v="11.9"/>
    <n v="17.100000000000001"/>
  </r>
  <r>
    <n v="322433532"/>
    <n v="331148"/>
    <n v="8231838"/>
    <n v="8734"/>
    <x v="1"/>
    <n v="52338"/>
    <x v="13"/>
    <x v="44"/>
    <x v="44"/>
    <x v="48"/>
    <x v="48"/>
    <x v="48"/>
    <x v="43"/>
    <s v="TX"/>
    <s v="San Antonio"/>
    <s v="MI"/>
    <s v="Ann Arbor"/>
    <x v="0"/>
    <n v="752402"/>
    <s v="101-300"/>
    <n v="205"/>
    <x v="33"/>
    <x v="45"/>
    <n v="194.5"/>
    <n v="204.5"/>
    <x v="0"/>
    <s v="4.68"/>
    <s v="06:00-09:59"/>
    <x v="1"/>
    <x v="0"/>
    <n v="4"/>
    <n v="0"/>
    <n v="0"/>
    <n v="30.4"/>
    <n v="0"/>
    <n v="0.60099999999999998"/>
    <n v="0.72599999999999998"/>
    <n v="82348.899999999994"/>
    <x v="2"/>
    <n v="1"/>
    <n v="1"/>
    <n v="0"/>
    <n v="1"/>
    <n v="0"/>
    <n v="1"/>
    <n v="0"/>
    <x v="6"/>
    <x v="36"/>
    <n v="187.92"/>
    <n v="21.93"/>
    <x v="48"/>
    <n v="5.8"/>
    <n v="11.6"/>
  </r>
  <r>
    <n v="729624046"/>
    <n v="736059"/>
    <n v="7851696"/>
    <n v="5493"/>
    <x v="8"/>
    <n v="50500"/>
    <x v="7"/>
    <x v="45"/>
    <x v="45"/>
    <x v="49"/>
    <x v="49"/>
    <x v="49"/>
    <x v="44"/>
    <s v="FL"/>
    <s v="Orlando"/>
    <s v="IL"/>
    <s v="Aurora"/>
    <x v="0"/>
    <n v="774588"/>
    <s v="101-300"/>
    <n v="273"/>
    <x v="45"/>
    <x v="46"/>
    <n v="275.2"/>
    <n v="335.7"/>
    <x v="2"/>
    <s v="5.18"/>
    <s v="10:00-13:59"/>
    <x v="2"/>
    <x v="0"/>
    <n v="-34"/>
    <n v="0"/>
    <n v="0"/>
    <n v="58.9"/>
    <n v="0"/>
    <n v="0.69499999999999995"/>
    <n v="0.75900000000000001"/>
    <n v="5363.16"/>
    <x v="0"/>
    <n v="1"/>
    <n v="1"/>
    <n v="0"/>
    <n v="1"/>
    <n v="0"/>
    <n v="1"/>
    <n v="0"/>
    <x v="35"/>
    <x v="37"/>
    <n v="270.55"/>
    <n v="36.07"/>
    <x v="49"/>
    <n v="11.5"/>
    <n v="20"/>
  </r>
  <r>
    <n v="331875999"/>
    <n v="542417"/>
    <n v="1527021"/>
    <n v="6051"/>
    <x v="0"/>
    <n v="52233"/>
    <x v="12"/>
    <x v="42"/>
    <x v="42"/>
    <x v="50"/>
    <x v="50"/>
    <x v="50"/>
    <x v="41"/>
    <s v="NJ"/>
    <s v="Paterson"/>
    <s v="GA"/>
    <s v="Savannah"/>
    <x v="1"/>
    <n v="728499"/>
    <s v="101-300"/>
    <n v="265"/>
    <x v="46"/>
    <x v="47"/>
    <n v="268.89999999999998"/>
    <n v="320.5"/>
    <x v="3"/>
    <s v="6.05"/>
    <s v="10:00-13:59"/>
    <x v="0"/>
    <x v="0"/>
    <n v="-26"/>
    <n v="0"/>
    <n v="0"/>
    <n v="94.1"/>
    <n v="0"/>
    <n v="0.76800000000000002"/>
    <n v="0.52800000000000002"/>
    <n v="4529.54"/>
    <x v="0"/>
    <n v="1"/>
    <n v="1"/>
    <n v="0"/>
    <n v="1"/>
    <n v="0"/>
    <n v="1"/>
    <n v="0"/>
    <x v="27"/>
    <x v="36"/>
    <n v="235.26"/>
    <n v="43.78"/>
    <x v="50"/>
    <n v="27.6"/>
    <n v="38.299999999999997"/>
  </r>
  <r>
    <n v="973008988"/>
    <n v="476417"/>
    <n v="5191056"/>
    <n v="4073"/>
    <x v="8"/>
    <n v="54608"/>
    <x v="8"/>
    <x v="46"/>
    <x v="46"/>
    <x v="51"/>
    <x v="51"/>
    <x v="51"/>
    <x v="45"/>
    <s v="MO"/>
    <s v="Columbia"/>
    <s v="MO"/>
    <s v="Independence"/>
    <x v="0"/>
    <n v="774798"/>
    <s v="501-1000"/>
    <n v="824"/>
    <x v="47"/>
    <x v="48"/>
    <n v="823.7"/>
    <n v="901.6"/>
    <x v="4"/>
    <s v="18.96"/>
    <s v="14:00-17:59"/>
    <x v="0"/>
    <x v="0"/>
    <n v="-6"/>
    <n v="0"/>
    <n v="0"/>
    <n v="68.3"/>
    <n v="0"/>
    <n v="0.51800000000000002"/>
    <n v="0.8"/>
    <n v="1865.46"/>
    <x v="0"/>
    <n v="1"/>
    <n v="1"/>
    <n v="0"/>
    <n v="1"/>
    <n v="0"/>
    <n v="1"/>
    <n v="0"/>
    <x v="36"/>
    <x v="28"/>
    <n v="604.03"/>
    <n v="173.62"/>
    <x v="51"/>
    <n v="11.7"/>
    <n v="16.2"/>
  </r>
  <r>
    <n v="350180427"/>
    <n v="996865"/>
    <n v="2022698"/>
    <n v="6463"/>
    <x v="5"/>
    <n v="57234"/>
    <x v="14"/>
    <x v="47"/>
    <x v="47"/>
    <x v="52"/>
    <x v="52"/>
    <x v="52"/>
    <x v="46"/>
    <s v="GA"/>
    <s v="Columbus"/>
    <s v="NY"/>
    <s v="Albany"/>
    <x v="3"/>
    <n v="796241"/>
    <s v="101-300"/>
    <n v="252"/>
    <x v="9"/>
    <x v="49"/>
    <n v="251.7"/>
    <n v="291.60000000000002"/>
    <x v="0"/>
    <s v="4.71"/>
    <s v="14:00-17:59"/>
    <x v="1"/>
    <x v="0"/>
    <n v="-25"/>
    <n v="0"/>
    <n v="0"/>
    <n v="45.3"/>
    <n v="0"/>
    <n v="0.69299999999999995"/>
    <n v="0.67700000000000005"/>
    <n v="3270.96"/>
    <x v="0"/>
    <n v="1"/>
    <n v="1"/>
    <n v="0"/>
    <n v="1"/>
    <n v="0"/>
    <n v="1"/>
    <n v="0"/>
    <x v="37"/>
    <x v="24"/>
    <n v="266.68"/>
    <n v="29.88"/>
    <x v="52"/>
    <n v="8.8000000000000007"/>
    <n v="19.399999999999999"/>
  </r>
  <r>
    <n v="452788129"/>
    <n v="518801"/>
    <n v="2548511"/>
    <n v="8994"/>
    <x v="6"/>
    <n v="57972"/>
    <x v="2"/>
    <x v="48"/>
    <x v="48"/>
    <x v="53"/>
    <x v="53"/>
    <x v="53"/>
    <x v="47"/>
    <s v="FL"/>
    <s v="Miami"/>
    <s v="NY"/>
    <s v="Rochester"/>
    <x v="3"/>
    <n v="710118"/>
    <s v="0-100"/>
    <n v="21"/>
    <x v="48"/>
    <x v="50"/>
    <n v="28.2"/>
    <n v="48.4"/>
    <x v="0"/>
    <s v="1.72"/>
    <s v="14:00-17:59"/>
    <x v="6"/>
    <x v="0"/>
    <n v="13"/>
    <n v="0"/>
    <n v="0"/>
    <n v="42"/>
    <n v="0"/>
    <n v="0.66600000000000004"/>
    <n v="0.441"/>
    <n v="17426.77"/>
    <x v="1"/>
    <n v="1"/>
    <n v="1"/>
    <n v="0"/>
    <n v="1"/>
    <n v="0"/>
    <n v="1"/>
    <n v="0"/>
    <x v="38"/>
    <x v="38"/>
    <n v="43.43"/>
    <n v="8.42"/>
    <x v="53"/>
    <n v="7.3"/>
    <n v="74.7"/>
  </r>
  <r>
    <n v="931471931"/>
    <n v="787277"/>
    <n v="6022741"/>
    <n v="3693"/>
    <x v="4"/>
    <n v="56610"/>
    <x v="7"/>
    <x v="49"/>
    <x v="49"/>
    <x v="54"/>
    <x v="54"/>
    <x v="54"/>
    <x v="48"/>
    <s v="OH"/>
    <s v="Toledo"/>
    <s v="PA"/>
    <s v="Harrisburg"/>
    <x v="3"/>
    <n v="794841"/>
    <s v="0-100"/>
    <n v="48"/>
    <x v="49"/>
    <x v="48"/>
    <n v="39"/>
    <n v="90.1"/>
    <x v="0"/>
    <s v="2.8"/>
    <s v="14:00-17:59"/>
    <x v="2"/>
    <x v="3"/>
    <n v="78"/>
    <n v="0"/>
    <n v="0"/>
    <n v="92.3"/>
    <n v="0"/>
    <n v="0.63800000000000001"/>
    <n v="0.91600000000000004"/>
    <n v="18446.060000000001"/>
    <x v="1"/>
    <n v="1"/>
    <n v="0"/>
    <n v="1"/>
    <n v="0"/>
    <n v="1"/>
    <n v="0"/>
    <n v="1"/>
    <x v="39"/>
    <x v="39"/>
    <n v="77.61"/>
    <n v="11"/>
    <x v="54"/>
    <n v="3.4"/>
    <n v="14.8"/>
  </r>
  <r>
    <n v="258435089"/>
    <n v="308496"/>
    <n v="5076817"/>
    <n v="3747"/>
    <x v="5"/>
    <n v="50600"/>
    <x v="8"/>
    <x v="32"/>
    <x v="32"/>
    <x v="55"/>
    <x v="55"/>
    <x v="55"/>
    <x v="49"/>
    <s v="MO"/>
    <s v="Independence"/>
    <s v="MO"/>
    <s v="St. Louis"/>
    <x v="0"/>
    <n v="774798"/>
    <s v="101-300"/>
    <n v="242"/>
    <x v="50"/>
    <x v="51"/>
    <n v="247"/>
    <n v="295.5"/>
    <x v="1"/>
    <s v="5.27"/>
    <s v="06:00-09:59"/>
    <x v="5"/>
    <x v="0"/>
    <n v="-37"/>
    <n v="0"/>
    <n v="0"/>
    <n v="26.7"/>
    <n v="0"/>
    <n v="0.63300000000000001"/>
    <n v="0.56599999999999995"/>
    <n v="9967.2000000000007"/>
    <x v="1"/>
    <n v="1"/>
    <n v="1"/>
    <n v="0"/>
    <n v="1"/>
    <n v="0"/>
    <n v="1"/>
    <n v="0"/>
    <x v="28"/>
    <x v="40"/>
    <n v="266.88"/>
    <n v="63.04"/>
    <x v="55"/>
    <n v="15.5"/>
    <n v="57.4"/>
  </r>
  <r>
    <n v="946799779"/>
    <n v="705397"/>
    <n v="5449368"/>
    <n v="5859"/>
    <x v="1"/>
    <n v="54284"/>
    <x v="3"/>
    <x v="18"/>
    <x v="18"/>
    <x v="56"/>
    <x v="56"/>
    <x v="56"/>
    <x v="18"/>
    <s v="PA"/>
    <s v="Allentown"/>
    <s v="CO"/>
    <s v="Fort Collins"/>
    <x v="2"/>
    <n v="776304"/>
    <s v="101-300"/>
    <n v="107"/>
    <x v="51"/>
    <x v="52"/>
    <n v="109.8"/>
    <n v="196.9"/>
    <x v="2"/>
    <s v="3.24"/>
    <s v="06:00-09:59"/>
    <x v="3"/>
    <x v="0"/>
    <n v="8"/>
    <n v="0"/>
    <n v="0"/>
    <n v="30.3"/>
    <n v="0"/>
    <n v="0.65600000000000003"/>
    <n v="0.70299999999999996"/>
    <n v="2000.59"/>
    <x v="0"/>
    <n v="1"/>
    <n v="1"/>
    <n v="0"/>
    <n v="1"/>
    <n v="0"/>
    <n v="1"/>
    <n v="0"/>
    <x v="18"/>
    <x v="16"/>
    <n v="125.67"/>
    <n v="29.86"/>
    <x v="56"/>
    <n v="11.4"/>
    <n v="31.5"/>
  </r>
  <r>
    <n v="739930411"/>
    <n v="946335"/>
    <n v="1247595"/>
    <n v="6675"/>
    <x v="1"/>
    <n v="59180"/>
    <x v="0"/>
    <x v="47"/>
    <x v="47"/>
    <x v="57"/>
    <x v="57"/>
    <x v="57"/>
    <x v="46"/>
    <s v="AZ"/>
    <s v="Mesa"/>
    <s v="AZ"/>
    <s v="Mesa"/>
    <x v="2"/>
    <n v="742558"/>
    <s v="101-300"/>
    <n v="112"/>
    <x v="52"/>
    <x v="39"/>
    <n v="119.8"/>
    <n v="165"/>
    <x v="0"/>
    <s v="3.75"/>
    <s v="10:00-13:59"/>
    <x v="1"/>
    <x v="0"/>
    <n v="-17"/>
    <n v="0"/>
    <n v="0"/>
    <n v="54.6"/>
    <n v="0"/>
    <n v="0.37"/>
    <n v="0.52500000000000002"/>
    <n v="2300.38"/>
    <x v="0"/>
    <n v="1"/>
    <n v="1"/>
    <n v="0"/>
    <n v="1"/>
    <n v="0"/>
    <n v="1"/>
    <n v="0"/>
    <x v="24"/>
    <x v="41"/>
    <n v="133.56"/>
    <n v="17.45"/>
    <x v="57"/>
    <n v="32.6"/>
    <n v="14.8"/>
  </r>
  <r>
    <n v="103044648"/>
    <n v="733052"/>
    <n v="2642635"/>
    <n v="8989"/>
    <x v="1"/>
    <n v="54483"/>
    <x v="10"/>
    <x v="50"/>
    <x v="50"/>
    <x v="58"/>
    <x v="58"/>
    <x v="58"/>
    <x v="50"/>
    <s v="TN"/>
    <s v="Chattanooga"/>
    <s v="TN"/>
    <s v="Memphis"/>
    <x v="1"/>
    <n v="733303"/>
    <s v="101-300"/>
    <n v="288"/>
    <x v="53"/>
    <x v="53"/>
    <n v="282.3"/>
    <n v="316.39999999999998"/>
    <x v="2"/>
    <s v="4.47"/>
    <s v="06:00-09:59"/>
    <x v="0"/>
    <x v="0"/>
    <n v="-42"/>
    <n v="0"/>
    <n v="0"/>
    <n v="38.200000000000003"/>
    <n v="0"/>
    <n v="0.54700000000000004"/>
    <n v="0.84199999999999997"/>
    <n v="5790.99"/>
    <x v="0"/>
    <n v="1"/>
    <n v="1"/>
    <n v="0"/>
    <n v="1"/>
    <n v="0"/>
    <n v="1"/>
    <n v="0"/>
    <x v="17"/>
    <x v="36"/>
    <n v="222.25"/>
    <n v="58.74"/>
    <x v="58"/>
    <n v="11.9"/>
    <n v="31"/>
  </r>
  <r>
    <n v="397721596"/>
    <n v="816751"/>
    <n v="3011363"/>
    <n v="9996"/>
    <x v="7"/>
    <n v="55901"/>
    <x v="1"/>
    <x v="51"/>
    <x v="51"/>
    <x v="59"/>
    <x v="59"/>
    <x v="59"/>
    <x v="51"/>
    <s v="TN"/>
    <s v="Memphis"/>
    <s v="IL"/>
    <s v="Rockford"/>
    <x v="0"/>
    <n v="763246"/>
    <s v="0-100"/>
    <n v="81"/>
    <x v="54"/>
    <x v="38"/>
    <n v="89.9"/>
    <n v="104.7"/>
    <x v="0"/>
    <s v="4.06"/>
    <s v="18:00-23:59"/>
    <x v="1"/>
    <x v="0"/>
    <n v="-8"/>
    <n v="0"/>
    <n v="0"/>
    <n v="50.1"/>
    <n v="0"/>
    <n v="0.48099999999999998"/>
    <n v="0.86799999999999999"/>
    <n v="8065.93"/>
    <x v="1"/>
    <n v="1"/>
    <n v="1"/>
    <n v="0"/>
    <n v="1"/>
    <n v="0"/>
    <n v="1"/>
    <n v="0"/>
    <x v="18"/>
    <x v="42"/>
    <n v="88.96"/>
    <n v="16.559999999999999"/>
    <x v="59"/>
    <n v="13.3"/>
    <n v="36.700000000000003"/>
  </r>
  <r>
    <n v="255357534"/>
    <n v="680099"/>
    <n v="7003042"/>
    <n v="6535"/>
    <x v="3"/>
    <n v="56129"/>
    <x v="5"/>
    <x v="52"/>
    <x v="52"/>
    <x v="60"/>
    <x v="60"/>
    <x v="60"/>
    <x v="52"/>
    <s v="CA"/>
    <s v="San Diego"/>
    <s v="FL"/>
    <s v="Orlando"/>
    <x v="1"/>
    <n v="722662"/>
    <s v="101-300"/>
    <n v="162"/>
    <x v="55"/>
    <x v="54"/>
    <n v="153.69999999999999"/>
    <n v="162.9"/>
    <x v="2"/>
    <s v="4.14"/>
    <s v="14:00-17:59"/>
    <x v="1"/>
    <x v="0"/>
    <n v="-24"/>
    <n v="0"/>
    <n v="0"/>
    <n v="42.1"/>
    <n v="0"/>
    <n v="0.88300000000000001"/>
    <n v="0.85699999999999998"/>
    <n v="7873.73"/>
    <x v="0"/>
    <n v="1"/>
    <n v="1"/>
    <n v="0"/>
    <n v="1"/>
    <n v="0"/>
    <n v="1"/>
    <n v="0"/>
    <x v="40"/>
    <x v="43"/>
    <n v="105.68"/>
    <n v="33.520000000000003"/>
    <x v="60"/>
    <n v="28.3"/>
    <n v="26.3"/>
  </r>
  <r>
    <n v="239577989"/>
    <n v="733052"/>
    <n v="2642635"/>
    <n v="8989"/>
    <x v="1"/>
    <n v="51754"/>
    <x v="6"/>
    <x v="53"/>
    <x v="53"/>
    <x v="61"/>
    <x v="61"/>
    <x v="61"/>
    <x v="53"/>
    <s v="MO"/>
    <s v="Springfield"/>
    <s v="NC"/>
    <s v="Durham"/>
    <x v="1"/>
    <n v="790402"/>
    <s v="101-300"/>
    <n v="252"/>
    <x v="56"/>
    <x v="55"/>
    <n v="250"/>
    <n v="265.89999999999998"/>
    <x v="2"/>
    <s v="5.93"/>
    <s v="06:00-09:59"/>
    <x v="5"/>
    <x v="0"/>
    <n v="-43"/>
    <n v="0"/>
    <n v="0"/>
    <n v="47.5"/>
    <n v="0"/>
    <n v="0.45400000000000001"/>
    <n v="0.64"/>
    <n v="6754.03"/>
    <x v="0"/>
    <n v="1"/>
    <n v="1"/>
    <n v="0"/>
    <n v="1"/>
    <n v="0"/>
    <n v="1"/>
    <n v="0"/>
    <x v="41"/>
    <x v="44"/>
    <n v="185.5"/>
    <n v="47.39"/>
    <x v="61"/>
    <n v="11.9"/>
    <n v="9.5"/>
  </r>
  <r>
    <n v="680051935"/>
    <n v="766563"/>
    <n v="9910817"/>
    <n v="1391"/>
    <x v="7"/>
    <n v="52464"/>
    <x v="12"/>
    <x v="54"/>
    <x v="54"/>
    <x v="62"/>
    <x v="62"/>
    <x v="62"/>
    <x v="54"/>
    <s v="GA"/>
    <s v="Augusta"/>
    <s v="NC"/>
    <s v="Greensboro"/>
    <x v="1"/>
    <n v="763999"/>
    <s v="0-100"/>
    <n v="91"/>
    <x v="57"/>
    <x v="56"/>
    <n v="84"/>
    <n v="115"/>
    <x v="1"/>
    <s v="2.66"/>
    <s v="00:00-05:59"/>
    <x v="2"/>
    <x v="0"/>
    <n v="-16"/>
    <n v="0"/>
    <n v="0"/>
    <n v="63.7"/>
    <n v="0"/>
    <n v="0.39900000000000002"/>
    <n v="0.55900000000000005"/>
    <n v="4873.91"/>
    <x v="0"/>
    <n v="1"/>
    <n v="1"/>
    <n v="0"/>
    <n v="1"/>
    <n v="0"/>
    <n v="1"/>
    <n v="0"/>
    <x v="42"/>
    <x v="8"/>
    <n v="100.63"/>
    <n v="21.06"/>
    <x v="62"/>
    <n v="10"/>
    <n v="28.3"/>
  </r>
  <r>
    <n v="369137895"/>
    <n v="319684"/>
    <n v="2149597"/>
    <n v="9392"/>
    <x v="7"/>
    <n v="54482"/>
    <x v="10"/>
    <x v="55"/>
    <x v="55"/>
    <x v="63"/>
    <x v="63"/>
    <x v="63"/>
    <x v="55"/>
    <s v="NJ"/>
    <s v="Newark"/>
    <s v="FL"/>
    <s v="Jacksonville"/>
    <x v="1"/>
    <n v="790386"/>
    <s v="0-100"/>
    <n v="47"/>
    <x v="58"/>
    <x v="57"/>
    <n v="51.3"/>
    <n v="117.7"/>
    <x v="4"/>
    <s v="1.15"/>
    <s v="00:00-05:59"/>
    <x v="5"/>
    <x v="0"/>
    <n v="-21"/>
    <n v="0"/>
    <n v="2.5"/>
    <n v="59.2"/>
    <n v="0"/>
    <n v="0.64600000000000002"/>
    <n v="0.58199999999999996"/>
    <n v="4754.2"/>
    <x v="0"/>
    <n v="1"/>
    <n v="1"/>
    <n v="0"/>
    <n v="1"/>
    <n v="0"/>
    <n v="1"/>
    <n v="0"/>
    <x v="43"/>
    <x v="35"/>
    <n v="99.44"/>
    <n v="22.61"/>
    <x v="63"/>
    <n v="39.1"/>
    <n v="12.7"/>
  </r>
  <r>
    <n v="957397689"/>
    <n v="847581"/>
    <n v="3919694"/>
    <n v="9050"/>
    <x v="7"/>
    <n v="59686"/>
    <x v="7"/>
    <x v="52"/>
    <x v="52"/>
    <x v="64"/>
    <x v="64"/>
    <x v="64"/>
    <x v="52"/>
    <s v="MO"/>
    <s v="St. Louis"/>
    <s v="AZ"/>
    <s v="Phoenix"/>
    <x v="2"/>
    <n v="792123"/>
    <s v="0-100"/>
    <n v="23"/>
    <x v="59"/>
    <x v="0"/>
    <n v="18.399999999999999"/>
    <n v="44.4"/>
    <x v="0"/>
    <s v="0.6"/>
    <s v="06:00-09:59"/>
    <x v="1"/>
    <x v="0"/>
    <n v="-55"/>
    <n v="0"/>
    <n v="0"/>
    <n v="64.5"/>
    <n v="0"/>
    <n v="0.93400000000000005"/>
    <n v="0.86699999999999999"/>
    <n v="5757.09"/>
    <x v="0"/>
    <n v="1"/>
    <n v="1"/>
    <n v="0"/>
    <n v="1"/>
    <n v="0"/>
    <n v="1"/>
    <n v="0"/>
    <x v="27"/>
    <x v="9"/>
    <n v="40.74"/>
    <n v="6.68"/>
    <x v="64"/>
    <n v="12.5"/>
    <n v="26.5"/>
  </r>
  <r>
    <n v="287364857"/>
    <n v="543692"/>
    <n v="6472441"/>
    <n v="5911"/>
    <x v="3"/>
    <n v="59044"/>
    <x v="1"/>
    <x v="56"/>
    <x v="56"/>
    <x v="65"/>
    <x v="65"/>
    <x v="65"/>
    <x v="56"/>
    <s v="IL"/>
    <s v="Rockford"/>
    <s v="AZ"/>
    <s v="Mesa"/>
    <x v="2"/>
    <n v="775527"/>
    <s v="0-100"/>
    <n v="103"/>
    <x v="60"/>
    <x v="58"/>
    <n v="109.8"/>
    <n v="193.8"/>
    <x v="0"/>
    <s v="1.53"/>
    <s v="06:00-09:59"/>
    <x v="2"/>
    <x v="0"/>
    <n v="-41"/>
    <n v="0"/>
    <n v="0"/>
    <n v="59.5"/>
    <n v="0"/>
    <n v="0.47499999999999998"/>
    <n v="0.77500000000000002"/>
    <n v="50472.46"/>
    <x v="2"/>
    <n v="1"/>
    <n v="1"/>
    <n v="0"/>
    <n v="1"/>
    <n v="0"/>
    <n v="1"/>
    <n v="0"/>
    <x v="44"/>
    <x v="45"/>
    <n v="157.6"/>
    <n v="37.81"/>
    <x v="65"/>
    <n v="20.5"/>
    <n v="57.1"/>
  </r>
  <r>
    <n v="218032515"/>
    <n v="260263"/>
    <n v="5674183"/>
    <n v="5736"/>
    <x v="7"/>
    <n v="57400"/>
    <x v="6"/>
    <x v="57"/>
    <x v="57"/>
    <x v="66"/>
    <x v="66"/>
    <x v="66"/>
    <x v="57"/>
    <s v="NJ"/>
    <s v="Trenton"/>
    <s v="MO"/>
    <s v="Springfield"/>
    <x v="0"/>
    <n v="712499"/>
    <s v="101-300"/>
    <n v="179"/>
    <x v="61"/>
    <x v="59"/>
    <n v="168.9"/>
    <n v="185.4"/>
    <x v="2"/>
    <s v="4.03"/>
    <s v="10:00-13:59"/>
    <x v="5"/>
    <x v="0"/>
    <n v="23"/>
    <n v="0"/>
    <n v="0"/>
    <n v="60.8"/>
    <n v="0"/>
    <n v="0.70499999999999996"/>
    <n v="0.84399999999999997"/>
    <n v="2807.25"/>
    <x v="0"/>
    <n v="1"/>
    <n v="0"/>
    <n v="1"/>
    <n v="0"/>
    <n v="1"/>
    <n v="0"/>
    <n v="1"/>
    <x v="6"/>
    <x v="46"/>
    <n v="131.81"/>
    <n v="19.670000000000002"/>
    <x v="66"/>
    <n v="30.8"/>
    <n v="27.3"/>
  </r>
  <r>
    <n v="809805235"/>
    <n v="946335"/>
    <n v="1247595"/>
    <n v="6675"/>
    <x v="1"/>
    <n v="56806"/>
    <x v="4"/>
    <x v="58"/>
    <x v="58"/>
    <x v="67"/>
    <x v="67"/>
    <x v="67"/>
    <x v="58"/>
    <s v="MI"/>
    <s v="Flint"/>
    <s v="OH"/>
    <s v="Cincinnati"/>
    <x v="0"/>
    <n v="778018"/>
    <s v="101-300"/>
    <n v="127"/>
    <x v="62"/>
    <x v="36"/>
    <n v="124.3"/>
    <n v="149"/>
    <x v="0"/>
    <s v="3.26"/>
    <s v="14:00-17:59"/>
    <x v="3"/>
    <x v="0"/>
    <n v="-16"/>
    <n v="0"/>
    <n v="0"/>
    <n v="48"/>
    <n v="0"/>
    <n v="0.78700000000000003"/>
    <n v="0.76100000000000001"/>
    <n v="102663.84"/>
    <x v="2"/>
    <n v="1"/>
    <n v="1"/>
    <n v="0"/>
    <n v="1"/>
    <n v="0"/>
    <n v="1"/>
    <n v="0"/>
    <x v="2"/>
    <x v="36"/>
    <n v="116.87"/>
    <n v="28.59"/>
    <x v="67"/>
    <n v="32.6"/>
    <n v="9.9"/>
  </r>
  <r>
    <n v="127681228"/>
    <n v="719176"/>
    <n v="2130789"/>
    <n v="6311"/>
    <x v="8"/>
    <n v="58643"/>
    <x v="9"/>
    <x v="59"/>
    <x v="59"/>
    <x v="68"/>
    <x v="68"/>
    <x v="68"/>
    <x v="26"/>
    <s v="TN"/>
    <s v="Chattanooga"/>
    <s v="MI"/>
    <s v="Detroit"/>
    <x v="0"/>
    <n v="784181"/>
    <s v="101-300"/>
    <n v="210"/>
    <x v="63"/>
    <x v="60"/>
    <n v="220.7"/>
    <n v="240.8"/>
    <x v="0"/>
    <s v="4.57"/>
    <s v="14:00-17:59"/>
    <x v="4"/>
    <x v="0"/>
    <n v="12"/>
    <n v="0"/>
    <n v="0"/>
    <n v="21.8"/>
    <n v="0"/>
    <n v="0.86799999999999999"/>
    <n v="0.622"/>
    <n v="8734.8799999999992"/>
    <x v="1"/>
    <n v="1"/>
    <n v="1"/>
    <n v="0"/>
    <n v="1"/>
    <n v="0"/>
    <n v="1"/>
    <n v="0"/>
    <x v="45"/>
    <x v="47"/>
    <n v="217.49"/>
    <n v="42.47"/>
    <x v="68"/>
    <n v="17"/>
    <n v="43.7"/>
  </r>
  <r>
    <n v="241522640"/>
    <n v="301629"/>
    <n v="8633773"/>
    <n v="7331"/>
    <x v="1"/>
    <n v="57396"/>
    <x v="6"/>
    <x v="60"/>
    <x v="60"/>
    <x v="69"/>
    <x v="69"/>
    <x v="69"/>
    <x v="59"/>
    <s v="PA"/>
    <s v="Erie"/>
    <s v="WA"/>
    <s v="Spokane"/>
    <x v="2"/>
    <n v="739373"/>
    <s v="0-100"/>
    <n v="89"/>
    <x v="64"/>
    <x v="61"/>
    <n v="84.4"/>
    <n v="131.30000000000001"/>
    <x v="3"/>
    <s v="3.07"/>
    <s v="06:00-09:59"/>
    <x v="0"/>
    <x v="0"/>
    <n v="-11"/>
    <n v="41"/>
    <n v="0"/>
    <n v="46.1"/>
    <n v="0"/>
    <n v="0.58799999999999997"/>
    <n v="0.70399999999999996"/>
    <n v="6726.56"/>
    <x v="1"/>
    <n v="1"/>
    <n v="1"/>
    <n v="0"/>
    <n v="1"/>
    <n v="0"/>
    <n v="1"/>
    <n v="0"/>
    <x v="41"/>
    <x v="48"/>
    <n v="107.08"/>
    <n v="22.06"/>
    <x v="69"/>
    <n v="63.5"/>
    <n v="6.1"/>
  </r>
  <r>
    <n v="115956152"/>
    <n v="230889"/>
    <n v="9147706"/>
    <n v="2016"/>
    <x v="1"/>
    <n v="57338"/>
    <x v="11"/>
    <x v="61"/>
    <x v="61"/>
    <x v="70"/>
    <x v="70"/>
    <x v="70"/>
    <x v="60"/>
    <s v="NJ"/>
    <s v="Jersey City"/>
    <s v="NJ"/>
    <s v="Paterson"/>
    <x v="3"/>
    <n v="748114"/>
    <s v="501-1000"/>
    <n v="606"/>
    <x v="65"/>
    <x v="20"/>
    <n v="612.4"/>
    <n v="684.2"/>
    <x v="2"/>
    <s v="12.71"/>
    <s v="10:00-13:59"/>
    <x v="4"/>
    <x v="0"/>
    <n v="9"/>
    <n v="0"/>
    <n v="0"/>
    <n v="65.7"/>
    <n v="0"/>
    <n v="0.53600000000000003"/>
    <n v="0.38500000000000001"/>
    <n v="2334.9899999999998"/>
    <x v="0"/>
    <n v="1"/>
    <n v="1"/>
    <n v="0"/>
    <n v="1"/>
    <n v="0"/>
    <n v="1"/>
    <n v="0"/>
    <x v="46"/>
    <x v="22"/>
    <n v="605.14"/>
    <n v="94.54"/>
    <x v="70"/>
    <n v="28.3"/>
    <n v="0"/>
  </r>
  <r>
    <n v="484659715"/>
    <n v="944151"/>
    <n v="6855396"/>
    <n v="8574"/>
    <x v="9"/>
    <n v="59950"/>
    <x v="7"/>
    <x v="62"/>
    <x v="62"/>
    <x v="71"/>
    <x v="71"/>
    <x v="71"/>
    <x v="61"/>
    <s v="AZ"/>
    <s v="Mesa"/>
    <s v="FL"/>
    <s v="Orlando"/>
    <x v="1"/>
    <n v="704898"/>
    <s v="301-500"/>
    <n v="351"/>
    <x v="66"/>
    <x v="62"/>
    <n v="355.2"/>
    <n v="385.3"/>
    <x v="3"/>
    <s v="9.28"/>
    <s v="10:00-13:59"/>
    <x v="3"/>
    <x v="0"/>
    <n v="-6"/>
    <n v="0"/>
    <n v="0"/>
    <n v="49.3"/>
    <n v="0"/>
    <n v="0.48099999999999998"/>
    <n v="0.79200000000000004"/>
    <n v="3077.11"/>
    <x v="0"/>
    <n v="1"/>
    <n v="1"/>
    <n v="0"/>
    <n v="1"/>
    <n v="0"/>
    <n v="1"/>
    <n v="0"/>
    <x v="18"/>
    <x v="49"/>
    <n v="241.53"/>
    <n v="43.81"/>
    <x v="71"/>
    <n v="12.8"/>
    <n v="31.8"/>
  </r>
  <r>
    <n v="948239575"/>
    <n v="287330"/>
    <n v="4348276"/>
    <n v="9338"/>
    <x v="3"/>
    <n v="55241"/>
    <x v="8"/>
    <x v="63"/>
    <x v="63"/>
    <x v="72"/>
    <x v="72"/>
    <x v="72"/>
    <x v="62"/>
    <s v="NJ"/>
    <s v="Paterson"/>
    <s v="NY"/>
    <s v="Rochester"/>
    <x v="3"/>
    <n v="795786"/>
    <s v="101-300"/>
    <n v="157"/>
    <x v="67"/>
    <x v="63"/>
    <n v="149.19999999999999"/>
    <n v="204.3"/>
    <x v="2"/>
    <s v="4.3"/>
    <s v="14:00-17:59"/>
    <x v="1"/>
    <x v="4"/>
    <n v="94"/>
    <n v="117"/>
    <n v="0"/>
    <n v="67.599999999999994"/>
    <n v="0"/>
    <n v="0.39"/>
    <n v="0.68700000000000006"/>
    <n v="14525.67"/>
    <x v="1"/>
    <n v="1"/>
    <n v="0"/>
    <n v="1"/>
    <n v="0"/>
    <n v="1"/>
    <n v="0"/>
    <n v="1"/>
    <x v="47"/>
    <x v="33"/>
    <n v="149.32"/>
    <n v="36.299999999999997"/>
    <x v="72"/>
    <n v="17.5"/>
    <n v="70.7"/>
  </r>
  <r>
    <n v="946571918"/>
    <n v="972064"/>
    <n v="2818692"/>
    <n v="8158"/>
    <x v="1"/>
    <n v="57394"/>
    <x v="7"/>
    <x v="64"/>
    <x v="64"/>
    <x v="73"/>
    <x v="73"/>
    <x v="73"/>
    <x v="63"/>
    <s v="AZ"/>
    <s v="Tucson"/>
    <s v="NJ"/>
    <s v="Jersey City"/>
    <x v="3"/>
    <n v="775534"/>
    <s v="101-300"/>
    <n v="318"/>
    <x v="40"/>
    <x v="64"/>
    <n v="319.3"/>
    <n v="381.5"/>
    <x v="2"/>
    <s v="7.99"/>
    <s v="14:00-17:59"/>
    <x v="4"/>
    <x v="4"/>
    <n v="202"/>
    <n v="129"/>
    <n v="0"/>
    <n v="97.1"/>
    <n v="0"/>
    <n v="0.63100000000000001"/>
    <n v="0.873"/>
    <n v="1449.3"/>
    <x v="0"/>
    <n v="1"/>
    <n v="0"/>
    <n v="1"/>
    <n v="0"/>
    <n v="1"/>
    <n v="0"/>
    <n v="1"/>
    <x v="41"/>
    <x v="50"/>
    <n v="343.58"/>
    <n v="59.74"/>
    <x v="73"/>
    <n v="10"/>
    <n v="21.8"/>
  </r>
  <r>
    <n v="355477113"/>
    <n v="217301"/>
    <n v="5453786"/>
    <n v="5548"/>
    <x v="6"/>
    <n v="56437"/>
    <x v="9"/>
    <x v="65"/>
    <x v="65"/>
    <x v="74"/>
    <x v="74"/>
    <x v="74"/>
    <x v="64"/>
    <s v="NY"/>
    <s v="Rochester"/>
    <s v="WA"/>
    <s v="Spokane"/>
    <x v="2"/>
    <n v="750010"/>
    <s v="101-300"/>
    <n v="147"/>
    <x v="68"/>
    <x v="65"/>
    <n v="156.19999999999999"/>
    <n v="254.7"/>
    <x v="3"/>
    <s v="3.8"/>
    <s v="18:00-23:59"/>
    <x v="3"/>
    <x v="0"/>
    <n v="-39"/>
    <n v="0"/>
    <n v="0"/>
    <n v="39"/>
    <n v="0"/>
    <n v="0.25"/>
    <n v="0.81"/>
    <n v="65452.65"/>
    <x v="2"/>
    <n v="1"/>
    <n v="1"/>
    <n v="0"/>
    <n v="1"/>
    <n v="0"/>
    <n v="1"/>
    <n v="0"/>
    <x v="1"/>
    <x v="38"/>
    <n v="160.91999999999999"/>
    <n v="32.130000000000003"/>
    <x v="74"/>
    <n v="13"/>
    <n v="45.5"/>
  </r>
  <r>
    <n v="732276010"/>
    <n v="391476"/>
    <n v="8999183"/>
    <n v="6618"/>
    <x v="2"/>
    <n v="54695"/>
    <x v="11"/>
    <x v="66"/>
    <x v="66"/>
    <x v="75"/>
    <x v="75"/>
    <x v="75"/>
    <x v="65"/>
    <s v="TX"/>
    <s v="San Antonio"/>
    <s v="TX"/>
    <s v="Houston"/>
    <x v="1"/>
    <n v="710286"/>
    <s v="101-300"/>
    <n v="228"/>
    <x v="69"/>
    <x v="66"/>
    <n v="225.5"/>
    <n v="304.2"/>
    <x v="2"/>
    <s v="6.1"/>
    <s v="10:00-13:59"/>
    <x v="4"/>
    <x v="0"/>
    <n v="2"/>
    <n v="0"/>
    <n v="0"/>
    <n v="40.700000000000003"/>
    <n v="0"/>
    <n v="0.33"/>
    <n v="0.66200000000000003"/>
    <n v="4716.9399999999996"/>
    <x v="0"/>
    <n v="1"/>
    <n v="1"/>
    <n v="0"/>
    <n v="1"/>
    <n v="0"/>
    <n v="1"/>
    <n v="0"/>
    <x v="33"/>
    <x v="16"/>
    <n v="235.98"/>
    <n v="32"/>
    <x v="75"/>
    <n v="51.7"/>
    <n v="54.7"/>
  </r>
  <r>
    <n v="447646966"/>
    <n v="724834"/>
    <n v="1701771"/>
    <n v="6249"/>
    <x v="6"/>
    <n v="52588"/>
    <x v="4"/>
    <x v="67"/>
    <x v="67"/>
    <x v="76"/>
    <x v="76"/>
    <x v="76"/>
    <x v="66"/>
    <s v="FL"/>
    <s v="Tampa"/>
    <s v="TN"/>
    <s v="Chattanooga"/>
    <x v="1"/>
    <n v="707329"/>
    <s v="0-100"/>
    <n v="103"/>
    <x v="70"/>
    <x v="67"/>
    <n v="98.9"/>
    <n v="126.9"/>
    <x v="2"/>
    <s v="2.6"/>
    <s v="14:00-17:59"/>
    <x v="1"/>
    <x v="0"/>
    <n v="-13"/>
    <n v="0"/>
    <n v="0"/>
    <n v="69.8"/>
    <n v="0"/>
    <n v="0.39200000000000002"/>
    <n v="0.7"/>
    <n v="21463.06"/>
    <x v="1"/>
    <n v="1"/>
    <n v="1"/>
    <n v="0"/>
    <n v="1"/>
    <n v="0"/>
    <n v="1"/>
    <n v="0"/>
    <x v="48"/>
    <x v="51"/>
    <n v="91.87"/>
    <n v="20.89"/>
    <x v="76"/>
    <n v="4.4000000000000004"/>
    <n v="0.6"/>
  </r>
  <r>
    <n v="116944811"/>
    <n v="301629"/>
    <n v="8633773"/>
    <n v="7331"/>
    <x v="1"/>
    <n v="51782"/>
    <x v="3"/>
    <x v="68"/>
    <x v="68"/>
    <x v="77"/>
    <x v="77"/>
    <x v="77"/>
    <x v="67"/>
    <s v="AZ"/>
    <s v="Tempe"/>
    <s v="MO"/>
    <s v="Kansas City"/>
    <x v="0"/>
    <n v="743829"/>
    <s v="301-500"/>
    <n v="323"/>
    <x v="71"/>
    <x v="68"/>
    <n v="325"/>
    <n v="367.1"/>
    <x v="3"/>
    <s v="6.54"/>
    <s v="06:00-09:59"/>
    <x v="5"/>
    <x v="0"/>
    <n v="-18"/>
    <n v="0"/>
    <n v="0"/>
    <n v="50.2"/>
    <n v="0"/>
    <n v="0.58099999999999996"/>
    <n v="0.69499999999999995"/>
    <n v="9637.11"/>
    <x v="1"/>
    <n v="1"/>
    <n v="1"/>
    <n v="0"/>
    <n v="1"/>
    <n v="0"/>
    <n v="1"/>
    <n v="0"/>
    <x v="49"/>
    <x v="22"/>
    <n v="298.77"/>
    <n v="42.27"/>
    <x v="77"/>
    <n v="63.5"/>
    <n v="18.399999999999999"/>
  </r>
  <r>
    <n v="287095435"/>
    <n v="671858"/>
    <n v="1987737"/>
    <n v="7949"/>
    <x v="8"/>
    <n v="55947"/>
    <x v="4"/>
    <x v="69"/>
    <x v="69"/>
    <x v="78"/>
    <x v="78"/>
    <x v="78"/>
    <x v="68"/>
    <s v="IL"/>
    <s v="Rockford"/>
    <s v="CA"/>
    <s v="San Diego"/>
    <x v="2"/>
    <n v="745603"/>
    <s v="101-300"/>
    <n v="313"/>
    <x v="27"/>
    <x v="69"/>
    <n v="311.7"/>
    <n v="343.6"/>
    <x v="2"/>
    <s v="7.47"/>
    <s v="10:00-13:59"/>
    <x v="2"/>
    <x v="0"/>
    <n v="-28"/>
    <n v="0"/>
    <n v="0"/>
    <n v="56.2"/>
    <n v="0"/>
    <n v="0.85099999999999998"/>
    <n v="0.79300000000000004"/>
    <n v="3555.28"/>
    <x v="0"/>
    <n v="1"/>
    <n v="1"/>
    <n v="0"/>
    <n v="1"/>
    <n v="0"/>
    <n v="1"/>
    <n v="0"/>
    <x v="50"/>
    <x v="52"/>
    <n v="229.75"/>
    <n v="72.680000000000007"/>
    <x v="78"/>
    <n v="14.1"/>
    <n v="58.6"/>
  </r>
  <r>
    <n v="384936197"/>
    <n v="680099"/>
    <n v="7003042"/>
    <n v="6535"/>
    <x v="3"/>
    <n v="56594"/>
    <x v="14"/>
    <x v="49"/>
    <x v="49"/>
    <x v="79"/>
    <x v="79"/>
    <x v="79"/>
    <x v="50"/>
    <s v="MI"/>
    <s v="Lansing"/>
    <s v="TN"/>
    <s v="Memphis"/>
    <x v="1"/>
    <n v="756925"/>
    <s v="501-1000"/>
    <n v="1020"/>
    <x v="72"/>
    <x v="70"/>
    <n v="1011"/>
    <n v="1043.0999999999999"/>
    <x v="2"/>
    <s v="21.22"/>
    <s v="06:00-09:59"/>
    <x v="2"/>
    <x v="0"/>
    <n v="0"/>
    <n v="0"/>
    <n v="0"/>
    <n v="37.299999999999997"/>
    <n v="0"/>
    <n v="0.78800000000000003"/>
    <n v="0.65800000000000003"/>
    <n v="62139.49"/>
    <x v="2"/>
    <n v="1"/>
    <n v="1"/>
    <n v="0"/>
    <n v="1"/>
    <n v="0"/>
    <n v="1"/>
    <n v="0"/>
    <x v="51"/>
    <x v="47"/>
    <n v="851.16"/>
    <n v="123.16"/>
    <x v="79"/>
    <n v="28.3"/>
    <n v="30"/>
  </r>
  <r>
    <n v="156263020"/>
    <n v="770487"/>
    <n v="9683481"/>
    <n v="8270"/>
    <x v="8"/>
    <n v="53520"/>
    <x v="13"/>
    <x v="70"/>
    <x v="70"/>
    <x v="80"/>
    <x v="80"/>
    <x v="80"/>
    <x v="69"/>
    <s v="CA"/>
    <s v="Fresno"/>
    <s v="CA"/>
    <s v="Sacramento"/>
    <x v="2"/>
    <n v="739562"/>
    <s v="0-100"/>
    <n v="99"/>
    <x v="35"/>
    <x v="71"/>
    <n v="97.7"/>
    <n v="153.5"/>
    <x v="4"/>
    <s v="2.64"/>
    <s v="10:00-13:59"/>
    <x v="1"/>
    <x v="0"/>
    <n v="-21"/>
    <n v="0"/>
    <n v="0"/>
    <n v="34.799999999999997"/>
    <n v="0"/>
    <n v="0.754"/>
    <n v="0.78500000000000003"/>
    <n v="5915"/>
    <x v="0"/>
    <n v="1"/>
    <n v="1"/>
    <n v="0"/>
    <n v="1"/>
    <n v="0"/>
    <n v="1"/>
    <n v="0"/>
    <x v="52"/>
    <x v="16"/>
    <n v="140.84"/>
    <n v="15.94"/>
    <x v="80"/>
    <n v="20"/>
    <n v="0"/>
  </r>
  <r>
    <n v="236105947"/>
    <n v="816751"/>
    <n v="3011363"/>
    <n v="9996"/>
    <x v="7"/>
    <n v="59971"/>
    <x v="9"/>
    <x v="71"/>
    <x v="71"/>
    <x v="81"/>
    <x v="81"/>
    <x v="81"/>
    <x v="70"/>
    <s v="NJ"/>
    <s v="Paterson"/>
    <s v="MO"/>
    <s v="Springfield"/>
    <x v="0"/>
    <n v="712499"/>
    <s v="301-500"/>
    <n v="339"/>
    <x v="73"/>
    <x v="72"/>
    <n v="336.1"/>
    <n v="352"/>
    <x v="0"/>
    <s v="6.98"/>
    <s v="14:00-17:59"/>
    <x v="0"/>
    <x v="0"/>
    <n v="-60"/>
    <n v="0"/>
    <n v="0"/>
    <n v="26.3"/>
    <n v="0"/>
    <n v="0.55500000000000005"/>
    <n v="0.73"/>
    <n v="11379.6"/>
    <x v="1"/>
    <n v="1"/>
    <n v="1"/>
    <n v="0"/>
    <n v="1"/>
    <n v="0"/>
    <n v="1"/>
    <n v="0"/>
    <x v="37"/>
    <x v="10"/>
    <n v="246.87"/>
    <n v="46.27"/>
    <x v="81"/>
    <n v="13.3"/>
    <n v="16.600000000000001"/>
  </r>
  <r>
    <n v="896413702"/>
    <n v="301629"/>
    <n v="8633773"/>
    <n v="7331"/>
    <x v="1"/>
    <n v="53218"/>
    <x v="8"/>
    <x v="72"/>
    <x v="72"/>
    <x v="82"/>
    <x v="82"/>
    <x v="82"/>
    <x v="71"/>
    <s v="IL"/>
    <s v="Chicago"/>
    <s v="FL"/>
    <s v="Tampa"/>
    <x v="1"/>
    <n v="754594"/>
    <s v="301-500"/>
    <n v="435"/>
    <x v="74"/>
    <x v="73"/>
    <n v="434.2"/>
    <n v="482.1"/>
    <x v="3"/>
    <s v="7.67"/>
    <s v="06:00-09:59"/>
    <x v="3"/>
    <x v="0"/>
    <n v="-56"/>
    <n v="0"/>
    <n v="0"/>
    <n v="51.1"/>
    <n v="0"/>
    <n v="0.752"/>
    <n v="0.45900000000000002"/>
    <n v="6701.89"/>
    <x v="1"/>
    <n v="1"/>
    <n v="1"/>
    <n v="0"/>
    <n v="1"/>
    <n v="0"/>
    <n v="1"/>
    <n v="0"/>
    <x v="53"/>
    <x v="53"/>
    <n v="365.64"/>
    <n v="58.33"/>
    <x v="82"/>
    <n v="63.5"/>
    <n v="8"/>
  </r>
  <r>
    <n v="552002959"/>
    <n v="590785"/>
    <n v="6171716"/>
    <n v="6172"/>
    <x v="6"/>
    <n v="53757"/>
    <x v="7"/>
    <x v="73"/>
    <x v="73"/>
    <x v="83"/>
    <x v="83"/>
    <x v="83"/>
    <x v="72"/>
    <s v="WA"/>
    <s v="Spokane"/>
    <s v="TN"/>
    <s v="Memphis"/>
    <x v="1"/>
    <n v="715799"/>
    <s v="0-100"/>
    <n v="88"/>
    <x v="75"/>
    <x v="12"/>
    <n v="73.599999999999994"/>
    <n v="119.8"/>
    <x v="2"/>
    <s v="1.22"/>
    <s v="00:00-05:59"/>
    <x v="1"/>
    <x v="0"/>
    <n v="-46"/>
    <n v="0"/>
    <n v="0"/>
    <n v="30.4"/>
    <n v="0"/>
    <n v="0.76200000000000001"/>
    <n v="0.33100000000000002"/>
    <n v="4661.8599999999997"/>
    <x v="0"/>
    <n v="1"/>
    <n v="1"/>
    <n v="0"/>
    <n v="1"/>
    <n v="0"/>
    <n v="1"/>
    <n v="0"/>
    <x v="54"/>
    <x v="15"/>
    <n v="75.34"/>
    <n v="23.35"/>
    <x v="83"/>
    <n v="24.4"/>
    <n v="52.8"/>
  </r>
  <r>
    <n v="664880035"/>
    <n v="624902"/>
    <n v="8896868"/>
    <n v="7546"/>
    <x v="3"/>
    <n v="54016"/>
    <x v="8"/>
    <x v="74"/>
    <x v="74"/>
    <x v="84"/>
    <x v="84"/>
    <x v="84"/>
    <x v="73"/>
    <s v="NJ"/>
    <s v="Jersey City"/>
    <s v="TN"/>
    <s v="Knoxville"/>
    <x v="1"/>
    <n v="729716"/>
    <s v="101-300"/>
    <n v="316"/>
    <x v="76"/>
    <x v="74"/>
    <n v="318.2"/>
    <n v="343"/>
    <x v="2"/>
    <s v="8.14"/>
    <s v="00:00-05:59"/>
    <x v="5"/>
    <x v="0"/>
    <n v="-1"/>
    <n v="0"/>
    <n v="0"/>
    <n v="28.2"/>
    <n v="0"/>
    <n v="0.73299999999999998"/>
    <n v="0.83499999999999996"/>
    <n v="4264.12"/>
    <x v="0"/>
    <n v="1"/>
    <n v="1"/>
    <n v="0"/>
    <n v="1"/>
    <n v="0"/>
    <n v="1"/>
    <n v="0"/>
    <x v="40"/>
    <x v="20"/>
    <n v="257.32"/>
    <n v="46.21"/>
    <x v="84"/>
    <n v="21.6"/>
    <n v="13.3"/>
  </r>
  <r>
    <n v="222030010"/>
    <n v="705397"/>
    <n v="5449368"/>
    <n v="5859"/>
    <x v="1"/>
    <n v="52837"/>
    <x v="7"/>
    <x v="75"/>
    <x v="75"/>
    <x v="85"/>
    <x v="85"/>
    <x v="85"/>
    <x v="74"/>
    <s v="NC"/>
    <s v="Durham"/>
    <s v="CO"/>
    <s v="Colorado Springs"/>
    <x v="2"/>
    <n v="760341"/>
    <s v="0-100"/>
    <n v="36"/>
    <x v="77"/>
    <x v="75"/>
    <n v="26.2"/>
    <n v="87.7"/>
    <x v="2"/>
    <s v="2.64"/>
    <s v="00:00-05:59"/>
    <x v="5"/>
    <x v="0"/>
    <n v="1"/>
    <n v="0"/>
    <n v="0"/>
    <n v="59.9"/>
    <n v="0"/>
    <n v="0.72499999999999998"/>
    <n v="0.41599999999999998"/>
    <n v="4152.2700000000004"/>
    <x v="0"/>
    <n v="1"/>
    <n v="1"/>
    <n v="0"/>
    <n v="1"/>
    <n v="0"/>
    <n v="1"/>
    <n v="0"/>
    <x v="39"/>
    <x v="48"/>
    <n v="65.06"/>
    <n v="11.35"/>
    <x v="85"/>
    <n v="11.4"/>
    <n v="24.2"/>
  </r>
  <r>
    <n v="900651998"/>
    <n v="260263"/>
    <n v="5674183"/>
    <n v="5736"/>
    <x v="7"/>
    <n v="56000"/>
    <x v="12"/>
    <x v="76"/>
    <x v="76"/>
    <x v="86"/>
    <x v="86"/>
    <x v="86"/>
    <x v="75"/>
    <s v="NC"/>
    <s v="Charlotte"/>
    <s v="TX"/>
    <s v="Houston"/>
    <x v="1"/>
    <n v="797999"/>
    <s v="101-300"/>
    <n v="269"/>
    <x v="78"/>
    <x v="76"/>
    <n v="273.5"/>
    <n v="327.8"/>
    <x v="2"/>
    <s v="4.05"/>
    <s v="00:00-05:59"/>
    <x v="3"/>
    <x v="0"/>
    <n v="-11"/>
    <n v="0"/>
    <n v="0"/>
    <n v="36.6"/>
    <n v="0"/>
    <n v="0.83"/>
    <n v="0.93200000000000005"/>
    <n v="7257.02"/>
    <x v="0"/>
    <n v="1"/>
    <n v="1"/>
    <n v="0"/>
    <n v="1"/>
    <n v="0"/>
    <n v="1"/>
    <n v="0"/>
    <x v="32"/>
    <x v="42"/>
    <n v="258.77"/>
    <n v="71.91"/>
    <x v="86"/>
    <n v="30.8"/>
    <n v="37.9"/>
  </r>
  <r>
    <n v="168244921"/>
    <n v="705397"/>
    <n v="5449368"/>
    <n v="5859"/>
    <x v="1"/>
    <n v="57034"/>
    <x v="2"/>
    <x v="77"/>
    <x v="77"/>
    <x v="87"/>
    <x v="87"/>
    <x v="87"/>
    <x v="76"/>
    <s v="MI"/>
    <s v="Lansing"/>
    <s v="OH"/>
    <s v="Columbus"/>
    <x v="0"/>
    <n v="778018"/>
    <s v="101-300"/>
    <n v="177"/>
    <x v="79"/>
    <x v="77"/>
    <n v="183.4"/>
    <n v="248.5"/>
    <x v="2"/>
    <s v="3.05"/>
    <s v="06:00-09:59"/>
    <x v="6"/>
    <x v="0"/>
    <n v="-11"/>
    <n v="0"/>
    <n v="0"/>
    <n v="26.4"/>
    <n v="0"/>
    <n v="0.76200000000000001"/>
    <n v="0.80900000000000005"/>
    <n v="4647.9399999999996"/>
    <x v="0"/>
    <n v="1"/>
    <n v="1"/>
    <n v="0"/>
    <n v="1"/>
    <n v="0"/>
    <n v="1"/>
    <n v="0"/>
    <x v="55"/>
    <x v="36"/>
    <n v="173.21"/>
    <n v="29.32"/>
    <x v="87"/>
    <n v="11.4"/>
    <n v="42.8"/>
  </r>
  <r>
    <n v="611365210"/>
    <n v="864544"/>
    <n v="5374922"/>
    <n v="8385"/>
    <x v="1"/>
    <n v="57309"/>
    <x v="12"/>
    <x v="78"/>
    <x v="78"/>
    <x v="88"/>
    <x v="88"/>
    <x v="88"/>
    <x v="77"/>
    <s v="NY"/>
    <s v="Syracuse"/>
    <s v="GA"/>
    <s v="Columbus"/>
    <x v="1"/>
    <n v="785561"/>
    <s v="101-300"/>
    <n v="142"/>
    <x v="80"/>
    <x v="78"/>
    <n v="130.1"/>
    <n v="147.4"/>
    <x v="0"/>
    <s v="2.73 hrs"/>
    <s v="06:00-09:59"/>
    <x v="3"/>
    <x v="0"/>
    <n v="14"/>
    <n v="0"/>
    <n v="0"/>
    <n v="24.5"/>
    <n v="0"/>
    <n v="0.51500000000000001"/>
    <n v="0.40200000000000002"/>
    <n v="3709.18"/>
    <x v="0"/>
    <n v="1"/>
    <n v="1"/>
    <n v="0"/>
    <n v="1"/>
    <n v="0"/>
    <n v="1"/>
    <n v="0"/>
    <x v="56"/>
    <x v="32"/>
    <n v="105.92"/>
    <n v="16.239999999999998"/>
    <x v="88"/>
    <n v="24.5"/>
    <n v="50.6"/>
  </r>
  <r>
    <n v="581331845"/>
    <n v="814825"/>
    <n v="7817881"/>
    <n v="9958"/>
    <x v="1"/>
    <n v="54239"/>
    <x v="7"/>
    <x v="79"/>
    <x v="79"/>
    <x v="89"/>
    <x v="89"/>
    <x v="89"/>
    <x v="78"/>
    <s v="NC"/>
    <s v="Raleigh"/>
    <s v="CA"/>
    <s v="Los Angeles"/>
    <x v="2"/>
    <n v="778944"/>
    <s v="101-300"/>
    <n v="195"/>
    <x v="81"/>
    <x v="79"/>
    <n v="202.8"/>
    <n v="245.9"/>
    <x v="0"/>
    <s v="4.39"/>
    <s v="06:00-09:59"/>
    <x v="1"/>
    <x v="0"/>
    <n v="-10"/>
    <n v="0"/>
    <n v="0"/>
    <n v="64.400000000000006"/>
    <n v="0"/>
    <n v="0.317"/>
    <n v="0.77300000000000002"/>
    <n v="2479.5700000000002"/>
    <x v="0"/>
    <n v="1"/>
    <n v="1"/>
    <n v="0"/>
    <n v="1"/>
    <n v="0"/>
    <n v="1"/>
    <n v="0"/>
    <x v="55"/>
    <x v="45"/>
    <n v="197.45"/>
    <n v="33.61"/>
    <x v="89"/>
    <n v="11.6"/>
    <n v="15.9"/>
  </r>
  <r>
    <n v="935389432"/>
    <n v="590785"/>
    <n v="6171716"/>
    <n v="6172"/>
    <x v="6"/>
    <n v="54428"/>
    <x v="6"/>
    <x v="80"/>
    <x v="80"/>
    <x v="90"/>
    <x v="90"/>
    <x v="90"/>
    <x v="79"/>
    <s v="NY"/>
    <s v="Buffalo"/>
    <s v="MI"/>
    <s v="Detroit"/>
    <x v="0"/>
    <n v="701498"/>
    <s v="501-1000"/>
    <n v="932"/>
    <x v="82"/>
    <x v="78"/>
    <n v="931.3"/>
    <n v="984.3"/>
    <x v="2"/>
    <s v="18.21"/>
    <s v="18:00-23:59"/>
    <x v="5"/>
    <x v="0"/>
    <n v="-4"/>
    <n v="0"/>
    <n v="0"/>
    <n v="46.1"/>
    <n v="0"/>
    <n v="0.73599999999999999"/>
    <n v="0.44700000000000001"/>
    <n v="4042.71"/>
    <x v="0"/>
    <n v="1"/>
    <n v="1"/>
    <n v="0"/>
    <n v="1"/>
    <n v="0"/>
    <n v="1"/>
    <n v="0"/>
    <x v="33"/>
    <x v="31"/>
    <n v="878.53"/>
    <n v="146.28"/>
    <x v="90"/>
    <n v="24.4"/>
    <n v="50.6"/>
  </r>
  <r>
    <n v="488736388"/>
    <n v="781446"/>
    <n v="6098175"/>
    <n v="2693"/>
    <x v="8"/>
    <n v="59611"/>
    <x v="2"/>
    <x v="81"/>
    <x v="81"/>
    <x v="91"/>
    <x v="91"/>
    <x v="91"/>
    <x v="80"/>
    <s v="GA"/>
    <s v="Atlanta"/>
    <s v="GA"/>
    <s v="Augusta"/>
    <x v="1"/>
    <n v="783084"/>
    <s v="0-100"/>
    <n v="61"/>
    <x v="83"/>
    <x v="80"/>
    <n v="67.5"/>
    <n v="97.7"/>
    <x v="1"/>
    <s v="1.2"/>
    <s v="06:00-09:59"/>
    <x v="6"/>
    <x v="0"/>
    <n v="-18"/>
    <n v="0"/>
    <n v="0.1"/>
    <n v="40.799999999999997"/>
    <n v="0"/>
    <n v="0.57999999999999996"/>
    <n v="0.626"/>
    <n v="82327.89"/>
    <x v="2"/>
    <n v="1"/>
    <n v="1"/>
    <n v="0"/>
    <n v="1"/>
    <n v="0"/>
    <n v="1"/>
    <n v="0"/>
    <x v="57"/>
    <x v="54"/>
    <n v="67.47"/>
    <n v="18.690000000000001"/>
    <x v="91"/>
    <n v="13.3"/>
    <n v="9.1"/>
  </r>
  <r>
    <n v="651085057"/>
    <n v="733052"/>
    <n v="2642635"/>
    <n v="8989"/>
    <x v="1"/>
    <n v="54150"/>
    <x v="14"/>
    <x v="82"/>
    <x v="82"/>
    <x v="92"/>
    <x v="92"/>
    <x v="92"/>
    <x v="81"/>
    <s v="MI"/>
    <s v="Detroit"/>
    <s v="OH"/>
    <s v="Columbus"/>
    <x v="0"/>
    <n v="778018"/>
    <s v="501-1000"/>
    <n v="786"/>
    <x v="26"/>
    <x v="20"/>
    <n v="791.6"/>
    <n v="841.7"/>
    <x v="2"/>
    <s v="15.98"/>
    <s v="06:00-09:59"/>
    <x v="3"/>
    <x v="0"/>
    <n v="-28"/>
    <n v="0"/>
    <n v="0"/>
    <n v="51.1"/>
    <n v="0"/>
    <n v="0.86099999999999999"/>
    <n v="0.36799999999999999"/>
    <n v="11249.38"/>
    <x v="1"/>
    <n v="1"/>
    <n v="1"/>
    <n v="0"/>
    <n v="1"/>
    <n v="0"/>
    <n v="1"/>
    <n v="0"/>
    <x v="12"/>
    <x v="38"/>
    <n v="692.92"/>
    <n v="180.67"/>
    <x v="92"/>
    <n v="11.9"/>
    <n v="12.1"/>
  </r>
  <r>
    <n v="737444033"/>
    <n v="813536"/>
    <n v="3500715"/>
    <n v="5737"/>
    <x v="0"/>
    <n v="59522"/>
    <x v="10"/>
    <x v="64"/>
    <x v="64"/>
    <x v="93"/>
    <x v="93"/>
    <x v="93"/>
    <x v="82"/>
    <s v="OH"/>
    <s v="Cincinnati"/>
    <s v="TX"/>
    <s v="Houston"/>
    <x v="1"/>
    <n v="782862"/>
    <s v="101-300"/>
    <n v="318"/>
    <x v="84"/>
    <x v="81"/>
    <n v="309.3"/>
    <n v="323.10000000000002"/>
    <x v="2"/>
    <s v="7.41"/>
    <s v="10:00-13:59"/>
    <x v="4"/>
    <x v="0"/>
    <n v="-24"/>
    <n v="0"/>
    <n v="0"/>
    <n v="49.4"/>
    <n v="0"/>
    <n v="0.77500000000000002"/>
    <n v="0.67300000000000004"/>
    <n v="5316.17"/>
    <x v="0"/>
    <n v="1"/>
    <n v="1"/>
    <n v="0"/>
    <n v="1"/>
    <n v="0"/>
    <n v="1"/>
    <n v="0"/>
    <x v="43"/>
    <x v="55"/>
    <n v="251.1"/>
    <n v="61.92"/>
    <x v="93"/>
    <n v="6.9"/>
    <n v="34"/>
  </r>
  <r>
    <n v="217095851"/>
    <n v="883300"/>
    <n v="9479356"/>
    <n v="5413"/>
    <x v="1"/>
    <n v="51446"/>
    <x v="10"/>
    <x v="83"/>
    <x v="83"/>
    <x v="94"/>
    <x v="94"/>
    <x v="94"/>
    <x v="69"/>
    <s v="PA"/>
    <s v="Erie"/>
    <s v="FL"/>
    <s v="Tampa"/>
    <x v="1"/>
    <n v="750133"/>
    <s v="301-500"/>
    <n v="381"/>
    <x v="85"/>
    <x v="82"/>
    <n v="375.9"/>
    <n v="401.4"/>
    <x v="0"/>
    <s v="8.84"/>
    <s v="14:00-17:59"/>
    <x v="6"/>
    <x v="0"/>
    <n v="27"/>
    <n v="0"/>
    <n v="0"/>
    <n v="38.5"/>
    <n v="0"/>
    <n v="0.66300000000000003"/>
    <n v="0.40899999999999997"/>
    <n v="12286.93"/>
    <x v="1"/>
    <n v="1"/>
    <n v="0"/>
    <n v="1"/>
    <n v="0"/>
    <n v="1"/>
    <n v="0"/>
    <n v="1"/>
    <x v="58"/>
    <x v="56"/>
    <n v="261.47000000000003"/>
    <n v="75.14"/>
    <x v="94"/>
    <n v="29.3"/>
    <n v="17.3"/>
  </r>
  <r>
    <n v="585337126"/>
    <n v="903035"/>
    <n v="7110622"/>
    <n v="3200"/>
    <x v="2"/>
    <n v="59632"/>
    <x v="13"/>
    <x v="79"/>
    <x v="79"/>
    <x v="95"/>
    <x v="95"/>
    <x v="95"/>
    <x v="78"/>
    <s v="FL"/>
    <s v="Fort Lauderdale"/>
    <s v="CO"/>
    <s v="Colorado Springs"/>
    <x v="2"/>
    <n v="707094"/>
    <s v="101-300"/>
    <n v="237"/>
    <x v="86"/>
    <x v="83"/>
    <n v="246.7"/>
    <n v="294.8"/>
    <x v="2"/>
    <s v="3.79"/>
    <s v="14:00-17:59"/>
    <x v="1"/>
    <x v="0"/>
    <n v="-42"/>
    <n v="0"/>
    <n v="0"/>
    <n v="42"/>
    <n v="0"/>
    <n v="0.73799999999999999"/>
    <n v="0.83599999999999997"/>
    <n v="20300.3"/>
    <x v="1"/>
    <n v="1"/>
    <n v="1"/>
    <n v="0"/>
    <n v="1"/>
    <n v="0"/>
    <n v="1"/>
    <n v="0"/>
    <x v="49"/>
    <x v="7"/>
    <n v="232.78"/>
    <n v="64.55"/>
    <x v="95"/>
    <n v="26.8"/>
    <n v="7"/>
  </r>
  <r>
    <n v="640992677"/>
    <n v="263032"/>
    <n v="4191175"/>
    <n v="6486"/>
    <x v="9"/>
    <n v="56468"/>
    <x v="12"/>
    <x v="84"/>
    <x v="84"/>
    <x v="96"/>
    <x v="96"/>
    <x v="96"/>
    <x v="83"/>
    <s v="WA"/>
    <s v="Vancouver"/>
    <s v="TN"/>
    <s v="Memphis"/>
    <x v="1"/>
    <n v="715799"/>
    <s v="0-100"/>
    <n v="52"/>
    <x v="87"/>
    <x v="84"/>
    <n v="44.6"/>
    <n v="111.4"/>
    <x v="4"/>
    <s v="2.26"/>
    <s v="06:00-09:59"/>
    <x v="4"/>
    <x v="0"/>
    <n v="-11"/>
    <n v="0"/>
    <n v="0"/>
    <n v="61.2"/>
    <n v="0"/>
    <n v="0.72"/>
    <n v="0.432"/>
    <n v="1724.1"/>
    <x v="0"/>
    <n v="1"/>
    <n v="1"/>
    <n v="0"/>
    <n v="1"/>
    <n v="0"/>
    <n v="1"/>
    <n v="0"/>
    <x v="48"/>
    <x v="34"/>
    <n v="92.76"/>
    <n v="21.37"/>
    <x v="96"/>
    <n v="13.2"/>
    <n v="22.6"/>
  </r>
  <r>
    <n v="337887233"/>
    <n v="103402"/>
    <n v="3670896"/>
    <n v="3511"/>
    <x v="6"/>
    <n v="55790"/>
    <x v="1"/>
    <x v="85"/>
    <x v="85"/>
    <x v="97"/>
    <x v="97"/>
    <x v="97"/>
    <x v="84"/>
    <s v="AZ"/>
    <s v="Tucson"/>
    <s v="NJ"/>
    <s v="Newark"/>
    <x v="3"/>
    <n v="775534"/>
    <s v="301-500"/>
    <n v="380"/>
    <x v="88"/>
    <x v="85"/>
    <n v="382.2"/>
    <n v="431.6"/>
    <x v="1"/>
    <s v="6.8"/>
    <s v="10:00-13:59"/>
    <x v="5"/>
    <x v="0"/>
    <n v="-51"/>
    <n v="58"/>
    <n v="0"/>
    <n v="74.8"/>
    <n v="0"/>
    <n v="0.58899999999999997"/>
    <n v="0.61299999999999999"/>
    <n v="16504.330000000002"/>
    <x v="1"/>
    <n v="1"/>
    <n v="1"/>
    <n v="0"/>
    <n v="1"/>
    <n v="0"/>
    <n v="1"/>
    <n v="0"/>
    <x v="50"/>
    <x v="13"/>
    <n v="345.05"/>
    <n v="50.39"/>
    <x v="97"/>
    <n v="15.9"/>
    <n v="24"/>
  </r>
  <r>
    <n v="760465943"/>
    <n v="623481"/>
    <n v="2737893"/>
    <n v="4627"/>
    <x v="3"/>
    <n v="54175"/>
    <x v="10"/>
    <x v="86"/>
    <x v="86"/>
    <x v="98"/>
    <x v="98"/>
    <x v="98"/>
    <x v="85"/>
    <s v="AZ"/>
    <s v="Tucson"/>
    <s v="IL"/>
    <s v="Springfield"/>
    <x v="0"/>
    <n v="739948"/>
    <s v="101-300"/>
    <n v="254"/>
    <x v="28"/>
    <x v="86"/>
    <n v="249.5"/>
    <n v="277.10000000000002"/>
    <x v="0"/>
    <s v="3.64 hrs"/>
    <s v="14:00-17:59"/>
    <x v="2"/>
    <x v="0"/>
    <n v="-31"/>
    <n v="107"/>
    <n v="0"/>
    <n v="32.9"/>
    <n v="0"/>
    <n v="0.748"/>
    <n v="0.79"/>
    <n v="6430.13"/>
    <x v="1"/>
    <n v="1"/>
    <n v="1"/>
    <n v="0"/>
    <n v="1"/>
    <n v="0"/>
    <n v="1"/>
    <n v="0"/>
    <x v="59"/>
    <x v="44"/>
    <n v="180.48"/>
    <n v="43.06"/>
    <x v="98"/>
    <n v="22.3"/>
    <n v="68"/>
  </r>
  <r>
    <n v="146562851"/>
    <n v="496922"/>
    <n v="9075854"/>
    <n v="8869"/>
    <x v="1"/>
    <n v="55080"/>
    <x v="6"/>
    <x v="69"/>
    <x v="69"/>
    <x v="99"/>
    <x v="99"/>
    <x v="99"/>
    <x v="68"/>
    <s v="MO"/>
    <s v="Springfield"/>
    <s v="GA"/>
    <s v="Savannah"/>
    <x v="1"/>
    <n v="768731"/>
    <s v="301-500"/>
    <n v="505"/>
    <x v="89"/>
    <x v="87"/>
    <n v="499.6"/>
    <n v="536.5"/>
    <x v="3"/>
    <s v="9.5"/>
    <s v="14:00-17:59"/>
    <x v="2"/>
    <x v="0"/>
    <n v="-1"/>
    <n v="0"/>
    <n v="0"/>
    <n v="71"/>
    <n v="0"/>
    <n v="0.54200000000000004"/>
    <n v="0.47899999999999998"/>
    <n v="8543.4500000000007"/>
    <x v="1"/>
    <n v="1"/>
    <n v="1"/>
    <n v="0"/>
    <n v="1"/>
    <n v="0"/>
    <n v="1"/>
    <n v="0"/>
    <x v="60"/>
    <x v="44"/>
    <n v="470.17"/>
    <n v="86.07"/>
    <x v="99"/>
    <n v="9.3000000000000007"/>
    <n v="26.6"/>
  </r>
  <r>
    <n v="880871219"/>
    <n v="440035"/>
    <n v="1156287"/>
    <n v="8858"/>
    <x v="0"/>
    <n v="50864"/>
    <x v="14"/>
    <x v="87"/>
    <x v="87"/>
    <x v="100"/>
    <x v="100"/>
    <x v="100"/>
    <x v="86"/>
    <s v="CO"/>
    <s v="Pueblo"/>
    <s v="CO"/>
    <s v="Pueblo"/>
    <x v="2"/>
    <n v="705397"/>
    <s v="101-300"/>
    <n v="221"/>
    <x v="90"/>
    <x v="88"/>
    <n v="220.9"/>
    <n v="242"/>
    <x v="0"/>
    <s v="4.1"/>
    <s v="14:00-17:59"/>
    <x v="3"/>
    <x v="0"/>
    <n v="-58"/>
    <n v="0"/>
    <n v="0"/>
    <n v="84.2"/>
    <n v="0"/>
    <n v="0.61599999999999999"/>
    <n v="0.91900000000000004"/>
    <n v="20257.93"/>
    <x v="1"/>
    <n v="1"/>
    <n v="1"/>
    <n v="0"/>
    <n v="1"/>
    <n v="0"/>
    <n v="1"/>
    <n v="0"/>
    <x v="44"/>
    <x v="37"/>
    <n v="153.02000000000001"/>
    <n v="33.049999999999997"/>
    <x v="100"/>
    <n v="8.3000000000000007"/>
    <n v="27.1"/>
  </r>
  <r>
    <n v="940983577"/>
    <n v="172933"/>
    <n v="8096887"/>
    <n v="9684"/>
    <x v="3"/>
    <n v="56860"/>
    <x v="7"/>
    <x v="88"/>
    <x v="88"/>
    <x v="101"/>
    <x v="101"/>
    <x v="101"/>
    <x v="87"/>
    <s v="MO"/>
    <s v="Springfield"/>
    <s v="CO"/>
    <s v="Colorado Springs"/>
    <x v="2"/>
    <n v="712358"/>
    <s v="101-300"/>
    <n v="270"/>
    <x v="91"/>
    <x v="89"/>
    <n v="283.10000000000002"/>
    <n v="317.3"/>
    <x v="0"/>
    <s v="5.07"/>
    <s v="18:00-23:59"/>
    <x v="1"/>
    <x v="0"/>
    <n v="2"/>
    <n v="0"/>
    <n v="0"/>
    <n v="42.8"/>
    <n v="0"/>
    <n v="0.41099999999999998"/>
    <n v="0.68600000000000005"/>
    <n v="13383.55"/>
    <x v="1"/>
    <n v="1"/>
    <n v="1"/>
    <n v="0"/>
    <n v="1"/>
    <n v="0"/>
    <n v="1"/>
    <n v="0"/>
    <x v="56"/>
    <x v="25"/>
    <n v="219.19"/>
    <n v="37.979999999999997"/>
    <x v="101"/>
    <n v="12.2"/>
    <n v="45.6"/>
  </r>
  <r>
    <n v="807491789"/>
    <n v="249811"/>
    <n v="2795765"/>
    <n v="8392"/>
    <x v="2"/>
    <n v="58663"/>
    <x v="10"/>
    <x v="89"/>
    <x v="89"/>
    <x v="102"/>
    <x v="102"/>
    <x v="102"/>
    <x v="88"/>
    <s v="MO"/>
    <s v="Kansas City"/>
    <s v="TX"/>
    <s v="Dallas"/>
    <x v="1"/>
    <n v="741853"/>
    <s v="101-300"/>
    <n v="124"/>
    <x v="92"/>
    <x v="90"/>
    <n v="128.6"/>
    <n v="189.2"/>
    <x v="0"/>
    <s v="3.15"/>
    <s v="18:00-23:59"/>
    <x v="1"/>
    <x v="0"/>
    <n v="27"/>
    <n v="0"/>
    <n v="0"/>
    <n v="42.3"/>
    <n v="0"/>
    <n v="0.52500000000000002"/>
    <n v="0.76200000000000001"/>
    <n v="3440.89"/>
    <x v="0"/>
    <n v="1"/>
    <n v="0"/>
    <n v="1"/>
    <n v="0"/>
    <n v="1"/>
    <n v="0"/>
    <n v="1"/>
    <x v="23"/>
    <x v="57"/>
    <n v="152.25"/>
    <n v="35.08"/>
    <x v="102"/>
    <n v="11.1"/>
    <n v="23.8"/>
  </r>
  <r>
    <n v="659903980"/>
    <n v="955662"/>
    <n v="8315831"/>
    <n v="9445"/>
    <x v="1"/>
    <n v="56217"/>
    <x v="7"/>
    <x v="90"/>
    <x v="90"/>
    <x v="103"/>
    <x v="103"/>
    <x v="103"/>
    <x v="89"/>
    <s v="PA"/>
    <s v="Pittsburgh"/>
    <s v="NC"/>
    <s v="Durham"/>
    <x v="1"/>
    <n v="770769"/>
    <s v="301-500"/>
    <n v="338"/>
    <x v="93"/>
    <x v="91"/>
    <n v="331.7"/>
    <n v="367.5"/>
    <x v="1"/>
    <s v="6.96 hrs"/>
    <s v="10:00-13:59"/>
    <x v="1"/>
    <x v="0"/>
    <n v="-10"/>
    <n v="0"/>
    <n v="0"/>
    <n v="31.8"/>
    <n v="0"/>
    <n v="0.44700000000000001"/>
    <n v="0.71699999999999997"/>
    <n v="5519.4"/>
    <x v="0"/>
    <n v="1"/>
    <n v="1"/>
    <n v="0"/>
    <n v="1"/>
    <n v="0"/>
    <n v="1"/>
    <n v="0"/>
    <x v="8"/>
    <x v="4"/>
    <n v="251.89"/>
    <n v="48.99"/>
    <x v="103"/>
    <n v="18.100000000000001"/>
    <n v="21.3"/>
  </r>
  <r>
    <n v="423873102"/>
    <n v="623481"/>
    <n v="2737893"/>
    <n v="4627"/>
    <x v="3"/>
    <n v="55672"/>
    <x v="6"/>
    <x v="91"/>
    <x v="91"/>
    <x v="104"/>
    <x v="104"/>
    <x v="104"/>
    <x v="90"/>
    <s v="NC"/>
    <s v="Durham"/>
    <s v="FL"/>
    <s v="Tampa"/>
    <x v="1"/>
    <n v="720278"/>
    <s v="0-100"/>
    <n v="65"/>
    <x v="94"/>
    <x v="92"/>
    <n v="66.2"/>
    <n v="96.1"/>
    <x v="0"/>
    <s v="1.67"/>
    <s v="10:00-13:59"/>
    <x v="6"/>
    <x v="0"/>
    <n v="10"/>
    <n v="0"/>
    <n v="0"/>
    <n v="36"/>
    <n v="0"/>
    <n v="0.55000000000000004"/>
    <n v="0.44500000000000001"/>
    <n v="3321.65"/>
    <x v="0"/>
    <n v="1"/>
    <n v="1"/>
    <n v="0"/>
    <n v="1"/>
    <n v="0"/>
    <n v="1"/>
    <n v="0"/>
    <x v="61"/>
    <x v="38"/>
    <n v="62.52"/>
    <n v="16.809999999999999"/>
    <x v="104"/>
    <n v="22.3"/>
    <n v="65.099999999999994"/>
  </r>
  <r>
    <n v="591819409"/>
    <n v="245051"/>
    <n v="1739653"/>
    <n v="4763"/>
    <x v="7"/>
    <n v="51502"/>
    <x v="11"/>
    <x v="92"/>
    <x v="92"/>
    <x v="105"/>
    <x v="105"/>
    <x v="105"/>
    <x v="91"/>
    <s v="CO"/>
    <s v="Pueblo"/>
    <s v="CO"/>
    <s v="Colorado Springs"/>
    <x v="2"/>
    <n v="705397"/>
    <s v="301-500"/>
    <n v="294"/>
    <x v="95"/>
    <x v="75"/>
    <n v="282.8"/>
    <n v="334.8"/>
    <x v="0"/>
    <s v="7.39"/>
    <s v="14:00-17:59"/>
    <x v="0"/>
    <x v="3"/>
    <n v="106"/>
    <n v="0"/>
    <n v="0"/>
    <n v="73.400000000000006"/>
    <n v="0"/>
    <n v="0.86"/>
    <n v="0.76400000000000001"/>
    <n v="4203.8599999999997"/>
    <x v="0"/>
    <n v="1"/>
    <n v="0"/>
    <n v="1"/>
    <n v="0"/>
    <n v="1"/>
    <n v="0"/>
    <n v="1"/>
    <x v="24"/>
    <x v="58"/>
    <n v="258.99"/>
    <n v="46.44"/>
    <x v="105"/>
    <n v="12.9"/>
    <n v="68.099999999999994"/>
  </r>
  <r>
    <n v="790781796"/>
    <n v="380746"/>
    <n v="7199635"/>
    <n v="2678"/>
    <x v="1"/>
    <n v="54684"/>
    <x v="6"/>
    <x v="93"/>
    <x v="93"/>
    <x v="106"/>
    <x v="106"/>
    <x v="106"/>
    <x v="92"/>
    <s v="PA"/>
    <s v="Erie"/>
    <s v="TX"/>
    <s v="Dallas"/>
    <x v="1"/>
    <n v="734732"/>
    <s v="501-1000"/>
    <n v="624"/>
    <x v="96"/>
    <x v="93"/>
    <n v="610.5"/>
    <n v="630.1"/>
    <x v="1"/>
    <s v="13.98"/>
    <s v="14:00-17:59"/>
    <x v="4"/>
    <x v="0"/>
    <n v="-2"/>
    <n v="0"/>
    <n v="0"/>
    <n v="89.7"/>
    <n v="0"/>
    <n v="0.90400000000000003"/>
    <n v="0.28599999999999998"/>
    <n v="1954.17"/>
    <x v="0"/>
    <n v="1"/>
    <n v="1"/>
    <n v="0"/>
    <n v="1"/>
    <n v="0"/>
    <n v="1"/>
    <n v="0"/>
    <x v="26"/>
    <x v="59"/>
    <n v="527.23"/>
    <n v="101.29"/>
    <x v="106"/>
    <n v="22.1"/>
    <n v="80.400000000000006"/>
  </r>
  <r>
    <n v="133447745"/>
    <n v="872246"/>
    <n v="4860684"/>
    <n v="6578"/>
    <x v="5"/>
    <n v="51410"/>
    <x v="7"/>
    <x v="65"/>
    <x v="65"/>
    <x v="107"/>
    <x v="107"/>
    <x v="107"/>
    <x v="64"/>
    <s v="CO"/>
    <s v="Fort Collins"/>
    <s v="NJ"/>
    <s v="Paterson"/>
    <x v="3"/>
    <n v="774044"/>
    <s v="0-100"/>
    <n v="66"/>
    <x v="97"/>
    <x v="43"/>
    <n v="67"/>
    <n v="84.7"/>
    <x v="2"/>
    <s v="1.42"/>
    <s v="00:00-05:59"/>
    <x v="3"/>
    <x v="0"/>
    <n v="-8"/>
    <n v="0"/>
    <n v="0"/>
    <n v="73.099999999999994"/>
    <n v="0"/>
    <n v="0.66900000000000004"/>
    <n v="0.55700000000000005"/>
    <n v="2546.4299999999998"/>
    <x v="0"/>
    <n v="1"/>
    <n v="1"/>
    <n v="0"/>
    <n v="1"/>
    <n v="0"/>
    <n v="1"/>
    <n v="0"/>
    <x v="51"/>
    <x v="35"/>
    <n v="62.95"/>
    <n v="11.9"/>
    <x v="107"/>
    <n v="41.8"/>
    <n v="14.9"/>
  </r>
  <r>
    <n v="165310776"/>
    <n v="946335"/>
    <n v="1247595"/>
    <n v="6675"/>
    <x v="1"/>
    <n v="53770"/>
    <x v="2"/>
    <x v="94"/>
    <x v="94"/>
    <x v="108"/>
    <x v="108"/>
    <x v="108"/>
    <x v="93"/>
    <s v="GA"/>
    <s v="Macon"/>
    <s v="AZ"/>
    <s v="Phoenix"/>
    <x v="2"/>
    <n v="719605"/>
    <s v="0-100"/>
    <n v="21"/>
    <x v="98"/>
    <x v="94"/>
    <n v="25.3"/>
    <n v="31.7"/>
    <x v="0"/>
    <s v="1.02"/>
    <s v="18:00-23:59"/>
    <x v="2"/>
    <x v="0"/>
    <n v="-29"/>
    <n v="0"/>
    <n v="0"/>
    <n v="42"/>
    <n v="0"/>
    <n v="0.56299999999999994"/>
    <n v="0.442"/>
    <n v="2637.43"/>
    <x v="0"/>
    <n v="1"/>
    <n v="1"/>
    <n v="0"/>
    <n v="1"/>
    <n v="0"/>
    <n v="1"/>
    <n v="0"/>
    <x v="57"/>
    <x v="45"/>
    <n v="26.3"/>
    <n v="4.74"/>
    <x v="108"/>
    <n v="32.6"/>
    <n v="9.6"/>
  </r>
  <r>
    <n v="614302907"/>
    <n v="905635"/>
    <n v="2677407"/>
    <n v="3790"/>
    <x v="4"/>
    <n v="54659"/>
    <x v="7"/>
    <x v="95"/>
    <x v="95"/>
    <x v="109"/>
    <x v="109"/>
    <x v="109"/>
    <x v="94"/>
    <s v="NY"/>
    <s v="Syracuse"/>
    <s v="NY"/>
    <s v="Rochester"/>
    <x v="3"/>
    <n v="742838"/>
    <s v="301-500"/>
    <n v="350"/>
    <x v="99"/>
    <x v="95"/>
    <n v="359.4"/>
    <n v="420.8"/>
    <x v="0"/>
    <s v="11.64"/>
    <s v="06:00-09:59"/>
    <x v="2"/>
    <x v="1"/>
    <n v="252"/>
    <n v="0"/>
    <n v="0"/>
    <n v="52.4"/>
    <n v="1"/>
    <n v="0.78800000000000003"/>
    <n v="0.63900000000000001"/>
    <n v="4953.13"/>
    <x v="0"/>
    <n v="1"/>
    <n v="0"/>
    <n v="1"/>
    <n v="0"/>
    <n v="1"/>
    <n v="0"/>
    <n v="1"/>
    <x v="42"/>
    <x v="52"/>
    <n v="369.54"/>
    <n v="1096.72"/>
    <x v="109"/>
    <n v="27.7"/>
    <n v="36.6"/>
  </r>
  <r>
    <n v="531233244"/>
    <n v="301629"/>
    <n v="8633773"/>
    <n v="7331"/>
    <x v="1"/>
    <n v="54001"/>
    <x v="7"/>
    <x v="96"/>
    <x v="96"/>
    <x v="110"/>
    <x v="110"/>
    <x v="110"/>
    <x v="95"/>
    <s v="TX"/>
    <s v="Houston"/>
    <s v="NC"/>
    <s v="Wilmington"/>
    <x v="1"/>
    <n v="765850"/>
    <s v="101-300"/>
    <n v="215"/>
    <x v="100"/>
    <x v="38"/>
    <n v="217.2"/>
    <n v="272.39999999999998"/>
    <x v="3"/>
    <s v="4.24"/>
    <s v="10:00-13:59"/>
    <x v="4"/>
    <x v="0"/>
    <n v="8"/>
    <n v="0"/>
    <n v="0"/>
    <n v="36.1"/>
    <n v="0"/>
    <n v="0.91300000000000003"/>
    <n v="0.48499999999999999"/>
    <n v="3123.55"/>
    <x v="0"/>
    <n v="1"/>
    <n v="1"/>
    <n v="0"/>
    <n v="1"/>
    <n v="0"/>
    <n v="1"/>
    <n v="0"/>
    <x v="61"/>
    <x v="8"/>
    <n v="247.24"/>
    <n v="56.13"/>
    <x v="110"/>
    <n v="63.5"/>
    <n v="7.3"/>
  </r>
  <r>
    <n v="557707813"/>
    <n v="197251"/>
    <n v="4078418"/>
    <n v="2585"/>
    <x v="4"/>
    <n v="53483"/>
    <x v="11"/>
    <x v="97"/>
    <x v="97"/>
    <x v="111"/>
    <x v="111"/>
    <x v="111"/>
    <x v="91"/>
    <s v="IL"/>
    <s v="Chicago"/>
    <s v="OH"/>
    <s v="Cincinnati"/>
    <x v="0"/>
    <n v="791457"/>
    <s v="101-300"/>
    <n v="228"/>
    <x v="101"/>
    <x v="96"/>
    <n v="228"/>
    <n v="260.39999999999998"/>
    <x v="0"/>
    <s v="5.17"/>
    <s v="18:00-23:59"/>
    <x v="2"/>
    <x v="0"/>
    <n v="-19"/>
    <n v="0"/>
    <n v="0"/>
    <n v="67.099999999999994"/>
    <n v="0"/>
    <n v="0.623"/>
    <n v="0.75800000000000001"/>
    <n v="8690.41"/>
    <x v="1"/>
    <n v="1"/>
    <n v="1"/>
    <n v="0"/>
    <n v="1"/>
    <n v="0"/>
    <n v="1"/>
    <n v="0"/>
    <x v="59"/>
    <x v="60"/>
    <n v="179.67"/>
    <n v="41.94"/>
    <x v="111"/>
    <n v="11.9"/>
    <n v="21.3"/>
  </r>
  <r>
    <n v="836691577"/>
    <n v="944151"/>
    <n v="6855396"/>
    <n v="8574"/>
    <x v="9"/>
    <n v="54562"/>
    <x v="11"/>
    <x v="98"/>
    <x v="98"/>
    <x v="112"/>
    <x v="112"/>
    <x v="112"/>
    <x v="96"/>
    <s v="CA"/>
    <s v="San Diego"/>
    <s v="CO"/>
    <s v="Colorado Springs"/>
    <x v="2"/>
    <n v="728940"/>
    <s v="0-100"/>
    <n v="103"/>
    <x v="102"/>
    <x v="97"/>
    <n v="101"/>
    <n v="231"/>
    <x v="3"/>
    <s v="2.93"/>
    <s v="06:00-09:59"/>
    <x v="6"/>
    <x v="0"/>
    <n v="-21"/>
    <n v="0"/>
    <n v="0"/>
    <n v="43.6"/>
    <n v="0"/>
    <n v="0.871"/>
    <n v="0.79"/>
    <n v="3634.51"/>
    <x v="0"/>
    <n v="1"/>
    <n v="1"/>
    <n v="0"/>
    <n v="1"/>
    <n v="0"/>
    <n v="1"/>
    <n v="0"/>
    <x v="52"/>
    <x v="10"/>
    <n v="185.17"/>
    <n v="40.020000000000003"/>
    <x v="112"/>
    <n v="12.8"/>
    <n v="42.2"/>
  </r>
  <r>
    <n v="215923129"/>
    <n v="301629"/>
    <n v="8633773"/>
    <n v="7331"/>
    <x v="1"/>
    <n v="50598"/>
    <x v="9"/>
    <x v="99"/>
    <x v="99"/>
    <x v="113"/>
    <x v="113"/>
    <x v="113"/>
    <x v="97"/>
    <s v="TX"/>
    <s v="El Paso"/>
    <s v="IL"/>
    <s v="Rockford"/>
    <x v="0"/>
    <n v="720079"/>
    <s v="101-300"/>
    <n v="243"/>
    <x v="103"/>
    <x v="87"/>
    <n v="246.2"/>
    <n v="275.10000000000002"/>
    <x v="3"/>
    <s v="4.48"/>
    <s v="10:00-13:59"/>
    <x v="5"/>
    <x v="0"/>
    <n v="-22"/>
    <n v="0"/>
    <n v="0"/>
    <n v="56.2"/>
    <n v="0"/>
    <n v="0.93600000000000005"/>
    <n v="0.40699999999999997"/>
    <n v="2171.9699999999998"/>
    <x v="0"/>
    <n v="1"/>
    <n v="1"/>
    <n v="0"/>
    <n v="1"/>
    <n v="0"/>
    <n v="1"/>
    <n v="0"/>
    <x v="27"/>
    <x v="4"/>
    <n v="192.59"/>
    <n v="56.05"/>
    <x v="113"/>
    <n v="63.5"/>
    <n v="6.8"/>
  </r>
  <r>
    <n v="626422169"/>
    <n v="581741"/>
    <n v="3790237"/>
    <n v="1995"/>
    <x v="5"/>
    <n v="59183"/>
    <x v="3"/>
    <x v="29"/>
    <x v="29"/>
    <x v="114"/>
    <x v="114"/>
    <x v="114"/>
    <x v="29"/>
    <s v="TX"/>
    <s v="Austin"/>
    <s v="NC"/>
    <s v="Charlotte"/>
    <x v="1"/>
    <n v="765850"/>
    <s v="0-100"/>
    <n v="57"/>
    <x v="104"/>
    <x v="98"/>
    <n v="49.7"/>
    <n v="98.9"/>
    <x v="2"/>
    <s v="1.32"/>
    <s v="06:00-09:59"/>
    <x v="2"/>
    <x v="0"/>
    <n v="-11"/>
    <n v="0"/>
    <n v="0"/>
    <n v="43.7"/>
    <n v="0"/>
    <n v="0.79100000000000004"/>
    <n v="0.67500000000000004"/>
    <n v="6517.55"/>
    <x v="0"/>
    <n v="1"/>
    <n v="1"/>
    <n v="0"/>
    <n v="1"/>
    <n v="0"/>
    <n v="1"/>
    <n v="0"/>
    <x v="22"/>
    <x v="61"/>
    <n v="87.16"/>
    <n v="11.59"/>
    <x v="114"/>
    <n v="17.5"/>
    <n v="39.1"/>
  </r>
  <r>
    <n v="864935082"/>
    <n v="684004"/>
    <n v="8670955"/>
    <n v="8721"/>
    <x v="3"/>
    <n v="53041"/>
    <x v="4"/>
    <x v="20"/>
    <x v="20"/>
    <x v="115"/>
    <x v="115"/>
    <x v="115"/>
    <x v="20"/>
    <s v="OH"/>
    <s v="Cleveland"/>
    <s v="CA"/>
    <s v="Sacramento"/>
    <x v="2"/>
    <n v="706621"/>
    <s v="101-300"/>
    <n v="305"/>
    <x v="105"/>
    <x v="99"/>
    <n v="300.89999999999998"/>
    <n v="333.6"/>
    <x v="0"/>
    <s v="7.17"/>
    <s v="10:00-13:59"/>
    <x v="4"/>
    <x v="0"/>
    <n v="-44"/>
    <n v="0"/>
    <n v="0"/>
    <n v="86.1"/>
    <n v="0"/>
    <n v="0.55500000000000005"/>
    <n v="0.74"/>
    <n v="15238.6"/>
    <x v="1"/>
    <n v="1"/>
    <n v="1"/>
    <n v="0"/>
    <n v="1"/>
    <n v="0"/>
    <n v="1"/>
    <n v="0"/>
    <x v="16"/>
    <x v="8"/>
    <n v="295.93"/>
    <n v="39.85"/>
    <x v="115"/>
    <n v="0.1"/>
    <n v="8.1999999999999993"/>
  </r>
  <r>
    <n v="576271425"/>
    <n v="331148"/>
    <n v="8231838"/>
    <n v="8734"/>
    <x v="1"/>
    <n v="58160"/>
    <x v="7"/>
    <x v="100"/>
    <x v="100"/>
    <x v="116"/>
    <x v="116"/>
    <x v="116"/>
    <x v="98"/>
    <s v="OH"/>
    <s v="Cleveland"/>
    <s v="OH"/>
    <s v="Cleveland"/>
    <x v="0"/>
    <n v="797593"/>
    <s v="301-500"/>
    <n v="470"/>
    <x v="106"/>
    <x v="100"/>
    <n v="462.9"/>
    <n v="509.3"/>
    <x v="0"/>
    <s v="10.14"/>
    <s v="06:00-09:59"/>
    <x v="6"/>
    <x v="0"/>
    <n v="-22"/>
    <n v="0"/>
    <n v="0"/>
    <n v="38.4"/>
    <n v="0"/>
    <n v="0.56899999999999995"/>
    <n v="0.47499999999999998"/>
    <n v="21727.4"/>
    <x v="1"/>
    <n v="1"/>
    <n v="1"/>
    <n v="0"/>
    <n v="1"/>
    <n v="0"/>
    <n v="1"/>
    <n v="0"/>
    <x v="55"/>
    <x v="52"/>
    <n v="364.99"/>
    <n v="72.89"/>
    <x v="116"/>
    <n v="5.8"/>
    <n v="22.9"/>
  </r>
  <r>
    <n v="178910051"/>
    <n v="903035"/>
    <n v="7110622"/>
    <n v="3200"/>
    <x v="2"/>
    <n v="56391"/>
    <x v="11"/>
    <x v="101"/>
    <x v="101"/>
    <x v="117"/>
    <x v="117"/>
    <x v="117"/>
    <x v="99"/>
    <s v="TX"/>
    <s v="El Paso"/>
    <s v="MI"/>
    <s v="Ann Arbor"/>
    <x v="0"/>
    <n v="752402"/>
    <s v="101-300"/>
    <n v="148"/>
    <x v="107"/>
    <x v="101"/>
    <n v="144.9"/>
    <n v="179.2"/>
    <x v="2"/>
    <s v="2.58"/>
    <s v="10:00-13:59"/>
    <x v="3"/>
    <x v="0"/>
    <n v="-11"/>
    <n v="0"/>
    <n v="0"/>
    <n v="35.299999999999997"/>
    <n v="0"/>
    <n v="0.51900000000000002"/>
    <n v="0.65200000000000002"/>
    <n v="2616.6799999999998"/>
    <x v="0"/>
    <n v="1"/>
    <n v="1"/>
    <n v="0"/>
    <n v="1"/>
    <n v="0"/>
    <n v="1"/>
    <n v="0"/>
    <x v="62"/>
    <x v="18"/>
    <n v="145.80000000000001"/>
    <n v="24.57"/>
    <x v="117"/>
    <n v="26.8"/>
    <n v="12.5"/>
  </r>
  <r>
    <n v="186748119"/>
    <n v="972064"/>
    <n v="2818692"/>
    <n v="8158"/>
    <x v="1"/>
    <n v="57287"/>
    <x v="3"/>
    <x v="7"/>
    <x v="7"/>
    <x v="118"/>
    <x v="118"/>
    <x v="118"/>
    <x v="7"/>
    <s v="AZ"/>
    <s v="Mesa"/>
    <s v="WA"/>
    <s v="Tacoma"/>
    <x v="2"/>
    <n v="788294"/>
    <s v="101-300"/>
    <n v="133"/>
    <x v="108"/>
    <x v="102"/>
    <n v="128.69999999999999"/>
    <n v="196"/>
    <x v="2"/>
    <s v="4.02"/>
    <s v="10:00-13:59"/>
    <x v="1"/>
    <x v="0"/>
    <n v="-46"/>
    <n v="0"/>
    <n v="0"/>
    <n v="39.299999999999997"/>
    <n v="0"/>
    <n v="0.84299999999999997"/>
    <n v="0.376"/>
    <n v="2646.43"/>
    <x v="0"/>
    <n v="1"/>
    <n v="1"/>
    <n v="0"/>
    <n v="1"/>
    <n v="0"/>
    <n v="1"/>
    <n v="0"/>
    <x v="35"/>
    <x v="62"/>
    <n v="173.72"/>
    <n v="42.8"/>
    <x v="118"/>
    <n v="10"/>
    <n v="25.5"/>
  </r>
  <r>
    <n v="445864933"/>
    <n v="813328"/>
    <n v="5186414"/>
    <n v="4510"/>
    <x v="0"/>
    <n v="50066"/>
    <x v="11"/>
    <x v="28"/>
    <x v="28"/>
    <x v="119"/>
    <x v="119"/>
    <x v="119"/>
    <x v="28"/>
    <s v="CO"/>
    <s v="Denver"/>
    <s v="AZ"/>
    <s v="Phoenix"/>
    <x v="2"/>
    <n v="795889"/>
    <s v="501-1000"/>
    <n v="865"/>
    <x v="109"/>
    <x v="103"/>
    <n v="860.2"/>
    <n v="962.2"/>
    <x v="0"/>
    <s v="17.8"/>
    <s v="18:00-23:59"/>
    <x v="4"/>
    <x v="0"/>
    <n v="-13"/>
    <n v="0"/>
    <n v="0"/>
    <n v="55.6"/>
    <n v="0"/>
    <n v="0.48199999999999998"/>
    <n v="0.73099999999999998"/>
    <n v="13633.53"/>
    <x v="1"/>
    <n v="1"/>
    <n v="1"/>
    <n v="0"/>
    <n v="1"/>
    <n v="0"/>
    <n v="1"/>
    <n v="0"/>
    <x v="42"/>
    <x v="36"/>
    <n v="743.31"/>
    <n v="161.35"/>
    <x v="119"/>
    <n v="29.1"/>
    <n v="30.8"/>
  </r>
  <r>
    <n v="753154389"/>
    <n v="629903"/>
    <n v="9143903"/>
    <n v="9666"/>
    <x v="9"/>
    <n v="58123"/>
    <x v="2"/>
    <x v="102"/>
    <x v="102"/>
    <x v="120"/>
    <x v="120"/>
    <x v="120"/>
    <x v="100"/>
    <s v="NY"/>
    <s v="New York"/>
    <s v="TX"/>
    <s v="Houston"/>
    <x v="1"/>
    <n v="704946"/>
    <s v="301-500"/>
    <n v="418"/>
    <x v="110"/>
    <x v="104"/>
    <n v="414.2"/>
    <n v="440.7"/>
    <x v="3"/>
    <s v="8.17 hrs"/>
    <s v="18:00-23:59"/>
    <x v="1"/>
    <x v="0"/>
    <n v="-38"/>
    <n v="0"/>
    <n v="0"/>
    <n v="73.8"/>
    <n v="0"/>
    <n v="0.69199999999999995"/>
    <n v="0.63100000000000001"/>
    <n v="106475.95"/>
    <x v="2"/>
    <n v="1"/>
    <n v="1"/>
    <n v="0"/>
    <n v="1"/>
    <n v="0"/>
    <n v="1"/>
    <n v="0"/>
    <x v="63"/>
    <x v="63"/>
    <n v="368.49"/>
    <n v="71.78"/>
    <x v="120"/>
    <n v="10.3"/>
    <n v="0"/>
  </r>
  <r>
    <n v="259272239"/>
    <n v="287330"/>
    <n v="4348276"/>
    <n v="9338"/>
    <x v="3"/>
    <n v="52750"/>
    <x v="6"/>
    <x v="103"/>
    <x v="103"/>
    <x v="121"/>
    <x v="121"/>
    <x v="121"/>
    <x v="101"/>
    <s v="MI"/>
    <s v="Lansing"/>
    <s v="CA"/>
    <s v="Los Angeles"/>
    <x v="2"/>
    <n v="751495"/>
    <s v="301-500"/>
    <n v="471"/>
    <x v="111"/>
    <x v="75"/>
    <n v="472.3"/>
    <n v="522.70000000000005"/>
    <x v="2"/>
    <s v="9.18"/>
    <s v="06:00-09:59"/>
    <x v="3"/>
    <x v="0"/>
    <n v="-11"/>
    <n v="0"/>
    <n v="0"/>
    <n v="55.7"/>
    <n v="0"/>
    <n v="0.75600000000000001"/>
    <n v="0.45600000000000002"/>
    <n v="4865.67"/>
    <x v="0"/>
    <n v="1"/>
    <n v="1"/>
    <n v="0"/>
    <n v="1"/>
    <n v="0"/>
    <n v="1"/>
    <n v="0"/>
    <x v="43"/>
    <x v="1"/>
    <n v="449.66"/>
    <n v="88.57"/>
    <x v="121"/>
    <n v="17.5"/>
    <n v="67.099999999999994"/>
  </r>
  <r>
    <n v="170525764"/>
    <n v="260263"/>
    <n v="5674183"/>
    <n v="5736"/>
    <x v="7"/>
    <n v="58661"/>
    <x v="3"/>
    <x v="104"/>
    <x v="104"/>
    <x v="122"/>
    <x v="122"/>
    <x v="122"/>
    <x v="102"/>
    <s v="PA"/>
    <s v="Erie"/>
    <s v="PA"/>
    <s v="Erie"/>
    <x v="3"/>
    <n v="739365"/>
    <s v="101-300"/>
    <n v="263"/>
    <x v="112"/>
    <x v="105"/>
    <n v="270.60000000000002"/>
    <n v="300.60000000000002"/>
    <x v="2"/>
    <s v="5.33"/>
    <s v="14:00-17:59"/>
    <x v="5"/>
    <x v="0"/>
    <n v="29"/>
    <n v="70"/>
    <n v="0"/>
    <n v="72.7"/>
    <n v="0"/>
    <n v="0.628"/>
    <n v="0.76900000000000002"/>
    <n v="21226.42"/>
    <x v="1"/>
    <n v="1"/>
    <n v="0"/>
    <n v="1"/>
    <n v="0"/>
    <n v="1"/>
    <n v="0"/>
    <n v="1"/>
    <x v="64"/>
    <x v="64"/>
    <n v="265"/>
    <n v="61.63"/>
    <x v="122"/>
    <n v="30.8"/>
    <n v="14.5"/>
  </r>
  <r>
    <n v="235497187"/>
    <n v="898975"/>
    <n v="4731818"/>
    <n v="2986"/>
    <x v="1"/>
    <n v="59916"/>
    <x v="13"/>
    <x v="15"/>
    <x v="15"/>
    <x v="123"/>
    <x v="123"/>
    <x v="123"/>
    <x v="15"/>
    <s v="IL"/>
    <s v="Aurora"/>
    <s v="TN"/>
    <s v="Clarksville"/>
    <x v="1"/>
    <n v="758407"/>
    <s v="301-500"/>
    <n v="433"/>
    <x v="113"/>
    <x v="28"/>
    <n v="434.7"/>
    <n v="458.9"/>
    <x v="1"/>
    <s v="7.91"/>
    <s v="00:00-05:59"/>
    <x v="6"/>
    <x v="0"/>
    <n v="-21"/>
    <n v="0"/>
    <n v="0"/>
    <n v="58.2"/>
    <n v="0"/>
    <n v="0.73399999999999999"/>
    <n v="0.65600000000000003"/>
    <n v="1478.94"/>
    <x v="0"/>
    <n v="1"/>
    <n v="1"/>
    <n v="0"/>
    <n v="1"/>
    <n v="0"/>
    <n v="1"/>
    <n v="0"/>
    <x v="17"/>
    <x v="22"/>
    <n v="355.45"/>
    <n v="59.3"/>
    <x v="123"/>
    <n v="7.4"/>
    <n v="40.6"/>
  </r>
  <r>
    <n v="395296179"/>
    <n v="688508"/>
    <n v="8930103"/>
    <n v="3047"/>
    <x v="9"/>
    <n v="56806"/>
    <x v="0"/>
    <x v="105"/>
    <x v="47"/>
    <x v="124"/>
    <x v="124"/>
    <x v="124"/>
    <x v="46"/>
    <s v="PA"/>
    <s v="Erie"/>
    <s v="OH"/>
    <s v="Toledo"/>
    <x v="0"/>
    <n v="798676"/>
    <s v="0-100"/>
    <n v="108"/>
    <x v="114"/>
    <x v="106"/>
    <n v="104.6"/>
    <n v="134.30000000000001"/>
    <x v="1"/>
    <s v="2.33 hrs"/>
    <s v="00:00-05:59"/>
    <x v="1"/>
    <x v="0"/>
    <n v="-42"/>
    <n v="0"/>
    <n v="0"/>
    <n v="18"/>
    <n v="0"/>
    <n v="0.746"/>
    <n v="0.44500000000000001"/>
    <n v="4436.5"/>
    <x v="0"/>
    <n v="1"/>
    <n v="1"/>
    <n v="0"/>
    <n v="1"/>
    <n v="0"/>
    <n v="1"/>
    <n v="0"/>
    <x v="23"/>
    <x v="65"/>
    <n v="121.21"/>
    <n v="21.66"/>
    <x v="124"/>
    <n v="4"/>
    <n v="51.2"/>
  </r>
  <r>
    <n v="770355806"/>
    <n v="617488"/>
    <n v="6596150"/>
    <n v="2853"/>
    <x v="9"/>
    <n v="56429"/>
    <x v="6"/>
    <x v="106"/>
    <x v="105"/>
    <x v="125"/>
    <x v="125"/>
    <x v="125"/>
    <x v="103"/>
    <s v="PA"/>
    <s v="Allentown"/>
    <s v="NJ"/>
    <s v="Paterson"/>
    <x v="3"/>
    <n v="778005"/>
    <s v="0-100"/>
    <n v="68"/>
    <x v="115"/>
    <x v="107"/>
    <n v="70.599999999999994"/>
    <n v="116.7"/>
    <x v="0"/>
    <s v="1.28"/>
    <s v="06:00-09:59"/>
    <x v="4"/>
    <x v="0"/>
    <n v="-13"/>
    <n v="0"/>
    <n v="0"/>
    <n v="59.7"/>
    <n v="0"/>
    <n v="0.76300000000000001"/>
    <n v="0.59099999999999997"/>
    <n v="16558.04"/>
    <x v="1"/>
    <n v="1"/>
    <n v="1"/>
    <n v="0"/>
    <n v="1"/>
    <n v="0"/>
    <n v="1"/>
    <n v="0"/>
    <x v="41"/>
    <x v="55"/>
    <n v="94.37"/>
    <n v="15.46"/>
    <x v="125"/>
    <n v="23.1"/>
    <n v="19.899999999999999"/>
  </r>
  <r>
    <n v="779760958"/>
    <n v="439902"/>
    <n v="2935113"/>
    <n v="9815"/>
    <x v="6"/>
    <n v="58123"/>
    <x v="6"/>
    <x v="62"/>
    <x v="62"/>
    <x v="126"/>
    <x v="126"/>
    <x v="126"/>
    <x v="104"/>
    <s v="PA"/>
    <s v="Harrisburg"/>
    <s v="NY"/>
    <s v="New York"/>
    <x v="3"/>
    <n v="775399"/>
    <s v="101-300"/>
    <n v="129"/>
    <x v="116"/>
    <x v="108"/>
    <n v="129.69999999999999"/>
    <n v="172.2"/>
    <x v="0"/>
    <s v="4.25"/>
    <s v="18:00-23:59"/>
    <x v="3"/>
    <x v="0"/>
    <n v="-8"/>
    <n v="0"/>
    <n v="0"/>
    <n v="54.3"/>
    <n v="0"/>
    <n v="0.77800000000000002"/>
    <n v="0.65900000000000003"/>
    <n v="3633.81"/>
    <x v="0"/>
    <n v="1"/>
    <n v="1"/>
    <n v="0"/>
    <n v="1"/>
    <n v="0"/>
    <n v="1"/>
    <n v="0"/>
    <x v="18"/>
    <x v="37"/>
    <n v="114.6"/>
    <n v="33.35"/>
    <x v="126"/>
    <n v="45.7"/>
    <n v="42"/>
  </r>
  <r>
    <n v="728530544"/>
    <n v="581141"/>
    <n v="2936571"/>
    <n v="6592"/>
    <x v="0"/>
    <n v="51631"/>
    <x v="6"/>
    <x v="44"/>
    <x v="44"/>
    <x v="127"/>
    <x v="127"/>
    <x v="127"/>
    <x v="105"/>
    <s v="IL"/>
    <s v="Chicago"/>
    <s v="NJ"/>
    <s v="Jersey City"/>
    <x v="3"/>
    <n v="766155"/>
    <s v="101-300"/>
    <n v="283"/>
    <x v="117"/>
    <x v="109"/>
    <n v="284"/>
    <n v="308.7"/>
    <x v="0"/>
    <s v="5.49"/>
    <s v="18:00-23:59"/>
    <x v="1"/>
    <x v="0"/>
    <n v="-39"/>
    <n v="0"/>
    <n v="0"/>
    <n v="57.5"/>
    <n v="0"/>
    <n v="0.745"/>
    <n v="0.45200000000000001"/>
    <n v="12481.68"/>
    <x v="1"/>
    <n v="1"/>
    <n v="1"/>
    <n v="0"/>
    <n v="1"/>
    <n v="0"/>
    <n v="1"/>
    <n v="0"/>
    <x v="46"/>
    <x v="14"/>
    <n v="248.11"/>
    <n v="59.66"/>
    <x v="127"/>
    <n v="27"/>
    <n v="38"/>
  </r>
  <r>
    <n v="688793237"/>
    <n v="892495"/>
    <n v="5394880"/>
    <n v="2291"/>
    <x v="6"/>
    <n v="56452"/>
    <x v="11"/>
    <x v="107"/>
    <x v="106"/>
    <x v="128"/>
    <x v="128"/>
    <x v="128"/>
    <x v="106"/>
    <s v="MI"/>
    <s v="Detroit"/>
    <s v="MI"/>
    <s v="Grand Rapids"/>
    <x v="0"/>
    <n v="711807"/>
    <s v="301-500"/>
    <n v="347"/>
    <x v="118"/>
    <x v="45"/>
    <n v="346.9"/>
    <n v="360.7"/>
    <x v="1"/>
    <s v="7.1"/>
    <s v="06:00-09:59"/>
    <x v="5"/>
    <x v="3"/>
    <n v="-56"/>
    <n v="0"/>
    <n v="0"/>
    <n v="33.200000000000003"/>
    <n v="0"/>
    <n v="0.72699999999999998"/>
    <n v="0.316"/>
    <n v="4164.76"/>
    <x v="0"/>
    <n v="1"/>
    <n v="1"/>
    <n v="0"/>
    <n v="1"/>
    <n v="0"/>
    <n v="1"/>
    <n v="0"/>
    <x v="25"/>
    <x v="66"/>
    <n v="255.93"/>
    <n v="77.510000000000005"/>
    <x v="128"/>
    <n v="8.6"/>
    <n v="26"/>
  </r>
  <r>
    <n v="864668242"/>
    <n v="584714"/>
    <n v="5004485"/>
    <n v="7938"/>
    <x v="1"/>
    <n v="50774"/>
    <x v="6"/>
    <x v="108"/>
    <x v="107"/>
    <x v="129"/>
    <x v="129"/>
    <x v="129"/>
    <x v="107"/>
    <s v="IL"/>
    <s v="Springfield"/>
    <s v="OH"/>
    <s v="Dayton"/>
    <x v="0"/>
    <n v="791457"/>
    <s v="101-300"/>
    <n v="272"/>
    <x v="94"/>
    <x v="110"/>
    <n v="282.39999999999998"/>
    <n v="295.7"/>
    <x v="0"/>
    <s v="5.58"/>
    <s v="06:00-09:59"/>
    <x v="1"/>
    <x v="0"/>
    <n v="-39"/>
    <n v="0"/>
    <n v="0"/>
    <n v="63.6"/>
    <n v="0"/>
    <n v="0.59"/>
    <n v="0.51"/>
    <n v="14801.48"/>
    <x v="1"/>
    <n v="1"/>
    <n v="1"/>
    <n v="0"/>
    <n v="1"/>
    <n v="0"/>
    <n v="1"/>
    <n v="0"/>
    <x v="19"/>
    <x v="36"/>
    <n v="216.34"/>
    <n v="45.43"/>
    <x v="129"/>
    <n v="0.2"/>
    <n v="45.9"/>
  </r>
  <r>
    <n v="449165212"/>
    <n v="852787"/>
    <n v="6075395"/>
    <n v="7668"/>
    <x v="8"/>
    <n v="56107"/>
    <x v="7"/>
    <x v="69"/>
    <x v="69"/>
    <x v="130"/>
    <x v="130"/>
    <x v="130"/>
    <x v="68"/>
    <s v="GA"/>
    <s v="Savannah"/>
    <s v="MI"/>
    <s v="Detroit"/>
    <x v="0"/>
    <n v="729109"/>
    <s v="301-500"/>
    <n v="510"/>
    <x v="119"/>
    <x v="111"/>
    <n v="510.6"/>
    <n v="548.70000000000005"/>
    <x v="3"/>
    <s v="11.09"/>
    <s v="06:00-09:59"/>
    <x v="2"/>
    <x v="0"/>
    <n v="-19"/>
    <n v="0"/>
    <n v="0"/>
    <n v="48.9"/>
    <n v="0"/>
    <n v="0.59499999999999997"/>
    <n v="0.84599999999999997"/>
    <n v="2217.65"/>
    <x v="0"/>
    <n v="1"/>
    <n v="1"/>
    <n v="0"/>
    <n v="1"/>
    <n v="0"/>
    <n v="1"/>
    <n v="0"/>
    <x v="32"/>
    <x v="26"/>
    <n v="473.34"/>
    <n v="65.319999999999993"/>
    <x v="130"/>
    <n v="15.7"/>
    <n v="80.3"/>
  </r>
  <r>
    <n v="508992977"/>
    <n v="246316"/>
    <n v="1352896"/>
    <n v="5426"/>
    <x v="7"/>
    <n v="57804"/>
    <x v="0"/>
    <x v="109"/>
    <x v="108"/>
    <x v="131"/>
    <x v="131"/>
    <x v="131"/>
    <x v="108"/>
    <s v="FL"/>
    <s v="Tampa"/>
    <s v="OH"/>
    <s v="Cleveland"/>
    <x v="0"/>
    <n v="756614"/>
    <s v="301-500"/>
    <n v="450"/>
    <x v="6"/>
    <x v="111"/>
    <n v="446.6"/>
    <n v="469.5"/>
    <x v="0"/>
    <s v="10.19"/>
    <s v="10:00-13:59"/>
    <x v="4"/>
    <x v="0"/>
    <n v="-28"/>
    <n v="0"/>
    <n v="0"/>
    <n v="48.8"/>
    <n v="0"/>
    <n v="0.76600000000000001"/>
    <n v="0.61699999999999999"/>
    <n v="1344"/>
    <x v="0"/>
    <n v="1"/>
    <n v="1"/>
    <n v="0"/>
    <n v="1"/>
    <n v="0"/>
    <n v="1"/>
    <n v="0"/>
    <x v="43"/>
    <x v="61"/>
    <n v="428.19"/>
    <n v="97.45"/>
    <x v="131"/>
    <n v="28.1"/>
    <n v="7.6"/>
  </r>
  <r>
    <n v="741444618"/>
    <n v="245051"/>
    <n v="1739653"/>
    <n v="4763"/>
    <x v="7"/>
    <n v="59678"/>
    <x v="7"/>
    <x v="37"/>
    <x v="37"/>
    <x v="132"/>
    <x v="132"/>
    <x v="132"/>
    <x v="36"/>
    <s v="TN"/>
    <s v="Knoxville"/>
    <s v="TX"/>
    <s v="Austin"/>
    <x v="1"/>
    <n v="737982"/>
    <s v="101-300"/>
    <n v="233"/>
    <x v="116"/>
    <x v="112"/>
    <n v="228.3"/>
    <n v="253.9"/>
    <x v="0"/>
    <s v="11.15"/>
    <s v="10:00-13:59"/>
    <x v="6"/>
    <x v="4"/>
    <n v="235"/>
    <n v="244"/>
    <n v="0"/>
    <n v="45.3"/>
    <n v="0"/>
    <n v="0.33700000000000002"/>
    <n v="0.89600000000000002"/>
    <n v="2810.57"/>
    <x v="0"/>
    <n v="1"/>
    <n v="0"/>
    <n v="1"/>
    <n v="0"/>
    <n v="1"/>
    <n v="0"/>
    <n v="1"/>
    <x v="39"/>
    <x v="58"/>
    <n v="223.67"/>
    <n v="52.52"/>
    <x v="132"/>
    <n v="12.9"/>
    <n v="60.4"/>
  </r>
  <r>
    <n v="669681065"/>
    <n v="198246"/>
    <n v="9626108"/>
    <n v="5555"/>
    <x v="0"/>
    <n v="54019"/>
    <x v="3"/>
    <x v="110"/>
    <x v="109"/>
    <x v="133"/>
    <x v="133"/>
    <x v="133"/>
    <x v="109"/>
    <s v="TN"/>
    <s v="Chattanooga"/>
    <s v="NJ"/>
    <s v="Paterson"/>
    <x v="3"/>
    <n v="767844"/>
    <s v="101-300"/>
    <n v="203"/>
    <x v="120"/>
    <x v="4"/>
    <n v="208.4"/>
    <n v="225.8"/>
    <x v="1"/>
    <s v="4.68"/>
    <s v="06:00-09:59"/>
    <x v="1"/>
    <x v="0"/>
    <n v="-7"/>
    <n v="0"/>
    <n v="0"/>
    <n v="48.7"/>
    <n v="0"/>
    <n v="0.46400000000000002"/>
    <n v="0.72399999999999998"/>
    <n v="3464.67"/>
    <x v="0"/>
    <n v="1"/>
    <n v="1"/>
    <n v="0"/>
    <n v="1"/>
    <n v="0"/>
    <n v="1"/>
    <n v="0"/>
    <x v="61"/>
    <x v="67"/>
    <n v="162.07"/>
    <n v="28.94"/>
    <x v="133"/>
    <n v="11.5"/>
    <n v="13.1"/>
  </r>
  <r>
    <n v="416644047"/>
    <n v="174870"/>
    <n v="1666754"/>
    <n v="9154"/>
    <x v="4"/>
    <n v="50929"/>
    <x v="10"/>
    <x v="79"/>
    <x v="79"/>
    <x v="134"/>
    <x v="134"/>
    <x v="134"/>
    <x v="78"/>
    <s v="TN"/>
    <s v="Knoxville"/>
    <s v="NC"/>
    <s v="Raleigh"/>
    <x v="1"/>
    <n v="751684"/>
    <s v="101-300"/>
    <n v="183"/>
    <x v="121"/>
    <x v="59"/>
    <n v="175.9"/>
    <n v="195.8"/>
    <x v="0"/>
    <s v="2.9"/>
    <s v="14:00-17:59"/>
    <x v="1"/>
    <x v="0"/>
    <n v="-16"/>
    <n v="0"/>
    <n v="0"/>
    <n v="15.9"/>
    <n v="0"/>
    <n v="0.90700000000000003"/>
    <n v="0.70399999999999996"/>
    <n v="3444.28"/>
    <x v="0"/>
    <n v="1"/>
    <n v="1"/>
    <n v="0"/>
    <n v="1"/>
    <n v="0"/>
    <n v="1"/>
    <n v="0"/>
    <x v="3"/>
    <x v="58"/>
    <n v="148.04"/>
    <n v="26.07"/>
    <x v="134"/>
    <n v="6.8"/>
    <n v="0"/>
  </r>
  <r>
    <n v="587173220"/>
    <n v="705397"/>
    <n v="5449368"/>
    <n v="5859"/>
    <x v="1"/>
    <n v="53012"/>
    <x v="3"/>
    <x v="111"/>
    <x v="110"/>
    <x v="135"/>
    <x v="135"/>
    <x v="135"/>
    <x v="110"/>
    <s v="CO"/>
    <s v="Denver"/>
    <s v="TN"/>
    <s v="Memphis"/>
    <x v="1"/>
    <n v="719400"/>
    <s v="101-300"/>
    <n v="180"/>
    <x v="122"/>
    <x v="113"/>
    <n v="188.1"/>
    <n v="227.1"/>
    <x v="2"/>
    <s v="3.12"/>
    <s v="06:00-09:59"/>
    <x v="6"/>
    <x v="0"/>
    <n v="-56"/>
    <n v="0"/>
    <n v="0"/>
    <n v="52.9"/>
    <n v="0"/>
    <n v="0.82499999999999996"/>
    <n v="0.27900000000000003"/>
    <n v="3917.53"/>
    <x v="0"/>
    <n v="1"/>
    <n v="1"/>
    <n v="0"/>
    <n v="1"/>
    <n v="0"/>
    <n v="1"/>
    <n v="0"/>
    <x v="64"/>
    <x v="22"/>
    <n v="207.81"/>
    <n v="31.25"/>
    <x v="135"/>
    <n v="11.4"/>
    <n v="40.5"/>
  </r>
  <r>
    <n v="642831335"/>
    <n v="787277"/>
    <n v="6022741"/>
    <n v="3693"/>
    <x v="4"/>
    <n v="55024"/>
    <x v="8"/>
    <x v="112"/>
    <x v="111"/>
    <x v="136"/>
    <x v="136"/>
    <x v="136"/>
    <x v="111"/>
    <s v="TX"/>
    <s v="Austin"/>
    <s v="GA"/>
    <s v="Augusta"/>
    <x v="1"/>
    <n v="729083"/>
    <s v="0-100"/>
    <n v="77"/>
    <x v="123"/>
    <x v="45"/>
    <n v="65.5"/>
    <n v="101.3"/>
    <x v="0"/>
    <s v="2.0"/>
    <s v="18:00-23:59"/>
    <x v="2"/>
    <x v="0"/>
    <n v="-4"/>
    <n v="10"/>
    <n v="0"/>
    <n v="50"/>
    <n v="0"/>
    <n v="0.71499999999999997"/>
    <n v="0.55000000000000004"/>
    <n v="2502.25"/>
    <x v="0"/>
    <n v="1"/>
    <n v="1"/>
    <n v="0"/>
    <n v="1"/>
    <n v="0"/>
    <n v="1"/>
    <n v="0"/>
    <x v="65"/>
    <x v="36"/>
    <n v="90.87"/>
    <n v="15.62"/>
    <x v="136"/>
    <n v="3.4"/>
    <n v="22"/>
  </r>
  <r>
    <n v="750072069"/>
    <n v="331148"/>
    <n v="8231838"/>
    <n v="8734"/>
    <x v="1"/>
    <n v="56264"/>
    <x v="5"/>
    <x v="113"/>
    <x v="112"/>
    <x v="137"/>
    <x v="137"/>
    <x v="137"/>
    <x v="112"/>
    <s v="NJ"/>
    <s v="Newark"/>
    <s v="NJ"/>
    <s v="Paterson"/>
    <x v="3"/>
    <n v="748114"/>
    <s v="501-1000"/>
    <n v="908"/>
    <x v="124"/>
    <x v="114"/>
    <n v="915.4"/>
    <n v="953.1"/>
    <x v="0"/>
    <s v="16.74"/>
    <s v="14:00-17:59"/>
    <x v="0"/>
    <x v="0"/>
    <n v="26"/>
    <n v="0"/>
    <n v="0"/>
    <n v="69.599999999999994"/>
    <n v="0"/>
    <n v="0.68100000000000005"/>
    <n v="0.60899999999999999"/>
    <n v="11607.91"/>
    <x v="1"/>
    <n v="1"/>
    <n v="0"/>
    <n v="1"/>
    <n v="0"/>
    <n v="1"/>
    <n v="0"/>
    <n v="1"/>
    <x v="65"/>
    <x v="67"/>
    <n v="870.26"/>
    <n v="190.13"/>
    <x v="137"/>
    <n v="5.8"/>
    <n v="10.9"/>
  </r>
  <r>
    <n v="561923010"/>
    <n v="724834"/>
    <n v="1701771"/>
    <n v="6249"/>
    <x v="6"/>
    <n v="57973"/>
    <x v="9"/>
    <x v="8"/>
    <x v="8"/>
    <x v="138"/>
    <x v="138"/>
    <x v="138"/>
    <x v="113"/>
    <s v="GA"/>
    <s v="Columbus"/>
    <s v="MI"/>
    <s v="Lansing"/>
    <x v="0"/>
    <n v="729109"/>
    <s v="0-100"/>
    <n v="81"/>
    <x v="125"/>
    <x v="115"/>
    <n v="85.8"/>
    <n v="113.2"/>
    <x v="2"/>
    <s v="2.74"/>
    <s v="10:00-13:59"/>
    <x v="2"/>
    <x v="0"/>
    <n v="1"/>
    <n v="0"/>
    <n v="0"/>
    <n v="49.3"/>
    <n v="0"/>
    <n v="0.73699999999999999"/>
    <n v="0.72199999999999998"/>
    <n v="10704.23"/>
    <x v="1"/>
    <n v="1"/>
    <n v="1"/>
    <n v="0"/>
    <n v="1"/>
    <n v="0"/>
    <n v="1"/>
    <n v="0"/>
    <x v="16"/>
    <x v="2"/>
    <n v="84.89"/>
    <n v="13.28"/>
    <x v="138"/>
    <n v="4.4000000000000004"/>
    <n v="5.5"/>
  </r>
  <r>
    <n v="206492059"/>
    <n v="632323"/>
    <n v="4240180"/>
    <n v="6759"/>
    <x v="4"/>
    <n v="59697"/>
    <x v="7"/>
    <x v="114"/>
    <x v="113"/>
    <x v="139"/>
    <x v="139"/>
    <x v="139"/>
    <x v="114"/>
    <s v="GA"/>
    <s v="Columbus"/>
    <s v="IL"/>
    <s v="Peoria"/>
    <x v="0"/>
    <n v="717326"/>
    <s v="0-100"/>
    <n v="37"/>
    <x v="126"/>
    <x v="116"/>
    <n v="34.4"/>
    <n v="55.5"/>
    <x v="0"/>
    <s v="1.34"/>
    <s v="14:00-17:59"/>
    <x v="3"/>
    <x v="0"/>
    <n v="-32"/>
    <n v="64"/>
    <n v="0"/>
    <n v="28.6"/>
    <n v="0"/>
    <n v="0.83699999999999997"/>
    <n v="0.44700000000000001"/>
    <n v="3815.52"/>
    <x v="0"/>
    <n v="1"/>
    <n v="1"/>
    <n v="0"/>
    <n v="1"/>
    <n v="0"/>
    <n v="1"/>
    <n v="0"/>
    <x v="12"/>
    <x v="25"/>
    <n v="47.74"/>
    <n v="10.210000000000001"/>
    <x v="139"/>
    <n v="1.1000000000000001"/>
    <n v="45.7"/>
  </r>
  <r>
    <n v="951580447"/>
    <n v="263032"/>
    <n v="4191175"/>
    <n v="6486"/>
    <x v="9"/>
    <n v="54729"/>
    <x v="7"/>
    <x v="77"/>
    <x v="77"/>
    <x v="140"/>
    <x v="140"/>
    <x v="140"/>
    <x v="76"/>
    <s v="CA"/>
    <s v="Oakland"/>
    <s v="IL"/>
    <s v="Chicago"/>
    <x v="0"/>
    <n v="744062"/>
    <s v="301-500"/>
    <n v="403"/>
    <x v="86"/>
    <x v="117"/>
    <n v="398.5"/>
    <n v="441.5"/>
    <x v="4"/>
    <s v="7.66"/>
    <s v="14:00-17:59"/>
    <x v="6"/>
    <x v="0"/>
    <n v="-21"/>
    <n v="0"/>
    <n v="0"/>
    <n v="33.700000000000003"/>
    <n v="0"/>
    <n v="0.70499999999999996"/>
    <n v="0.68200000000000005"/>
    <n v="5219.41"/>
    <x v="0"/>
    <n v="1"/>
    <n v="1"/>
    <n v="0"/>
    <n v="1"/>
    <n v="0"/>
    <n v="1"/>
    <n v="0"/>
    <x v="66"/>
    <x v="48"/>
    <n v="389.12"/>
    <n v="62.84"/>
    <x v="140"/>
    <n v="13.2"/>
    <n v="29.3"/>
  </r>
  <r>
    <n v="853529912"/>
    <n v="629903"/>
    <n v="9143903"/>
    <n v="9666"/>
    <x v="9"/>
    <n v="57961"/>
    <x v="6"/>
    <x v="115"/>
    <x v="114"/>
    <x v="141"/>
    <x v="141"/>
    <x v="141"/>
    <x v="115"/>
    <s v="MO"/>
    <s v="Springfield"/>
    <s v="FL"/>
    <s v="Tampa"/>
    <x v="1"/>
    <n v="710819"/>
    <s v="101-300"/>
    <n v="275"/>
    <x v="127"/>
    <x v="118"/>
    <n v="282.39999999999998"/>
    <n v="330.1"/>
    <x v="3"/>
    <s v="5.41"/>
    <s v="06:00-09:59"/>
    <x v="6"/>
    <x v="0"/>
    <n v="-8"/>
    <n v="0"/>
    <n v="0"/>
    <n v="72.099999999999994"/>
    <n v="0"/>
    <n v="0.60099999999999998"/>
    <n v="0.73099999999999998"/>
    <n v="20075.04"/>
    <x v="1"/>
    <n v="1"/>
    <n v="1"/>
    <n v="0"/>
    <n v="1"/>
    <n v="0"/>
    <n v="1"/>
    <n v="0"/>
    <x v="67"/>
    <x v="3"/>
    <n v="209.05"/>
    <n v="40.76"/>
    <x v="141"/>
    <n v="10.3"/>
    <n v="17.7"/>
  </r>
  <r>
    <n v="222851168"/>
    <n v="106814"/>
    <n v="1908841"/>
    <n v="9838"/>
    <x v="9"/>
    <n v="52819"/>
    <x v="4"/>
    <x v="116"/>
    <x v="115"/>
    <x v="142"/>
    <x v="142"/>
    <x v="142"/>
    <x v="116"/>
    <s v="NJ"/>
    <s v="Paterson"/>
    <s v="PA"/>
    <s v="Harrisburg"/>
    <x v="3"/>
    <n v="778087"/>
    <s v="301-500"/>
    <n v="399"/>
    <x v="128"/>
    <x v="119"/>
    <n v="409.8"/>
    <n v="472"/>
    <x v="3"/>
    <s v="11.48"/>
    <s v="06:00-09:59"/>
    <x v="6"/>
    <x v="0"/>
    <n v="13"/>
    <n v="0"/>
    <n v="0.8"/>
    <n v="65.7"/>
    <n v="0"/>
    <n v="0.54500000000000004"/>
    <n v="0.64100000000000001"/>
    <n v="21899.599999999999"/>
    <x v="1"/>
    <n v="1"/>
    <n v="1"/>
    <n v="0"/>
    <n v="1"/>
    <n v="0"/>
    <n v="1"/>
    <n v="0"/>
    <x v="26"/>
    <x v="16"/>
    <n v="330.32"/>
    <n v="66.37"/>
    <x v="142"/>
    <n v="9.1999999999999993"/>
    <n v="58"/>
  </r>
  <r>
    <n v="802992685"/>
    <n v="955662"/>
    <n v="8315831"/>
    <n v="9445"/>
    <x v="1"/>
    <n v="56655"/>
    <x v="5"/>
    <x v="117"/>
    <x v="116"/>
    <x v="143"/>
    <x v="143"/>
    <x v="143"/>
    <x v="117"/>
    <s v="MO"/>
    <s v="Springfield"/>
    <s v="OH"/>
    <s v="Toledo"/>
    <x v="0"/>
    <n v="762371"/>
    <s v="101-300"/>
    <n v="220"/>
    <x v="129"/>
    <x v="120"/>
    <n v="216.3"/>
    <n v="251.4"/>
    <x v="1"/>
    <s v="4.2"/>
    <s v="18:00-23:59"/>
    <x v="5"/>
    <x v="0"/>
    <n v="-34"/>
    <n v="0"/>
    <n v="0"/>
    <n v="62.5"/>
    <n v="0"/>
    <n v="0.82599999999999996"/>
    <n v="0.64400000000000002"/>
    <n v="1261.8599999999999"/>
    <x v="0"/>
    <n v="1"/>
    <n v="1"/>
    <n v="0"/>
    <n v="1"/>
    <n v="0"/>
    <n v="1"/>
    <n v="0"/>
    <x v="68"/>
    <x v="9"/>
    <n v="222.5"/>
    <n v="41.23"/>
    <x v="143"/>
    <n v="18.100000000000001"/>
    <n v="34.700000000000003"/>
  </r>
  <r>
    <n v="798916441"/>
    <n v="321231"/>
    <n v="3646552"/>
    <n v="5636"/>
    <x v="1"/>
    <n v="51184"/>
    <x v="2"/>
    <x v="118"/>
    <x v="117"/>
    <x v="144"/>
    <x v="144"/>
    <x v="144"/>
    <x v="118"/>
    <s v="OH"/>
    <s v="Columbus"/>
    <s v="CA"/>
    <s v="San Diego"/>
    <x v="2"/>
    <n v="706621"/>
    <s v="101-300"/>
    <n v="270"/>
    <x v="130"/>
    <x v="121"/>
    <n v="273.5"/>
    <n v="331.9"/>
    <x v="0"/>
    <s v="4.8"/>
    <s v="06:00-09:59"/>
    <x v="6"/>
    <x v="0"/>
    <n v="-28"/>
    <n v="0"/>
    <n v="0"/>
    <n v="64.5"/>
    <n v="0"/>
    <n v="0.75800000000000001"/>
    <n v="0.76100000000000001"/>
    <n v="1914.14"/>
    <x v="0"/>
    <n v="1"/>
    <n v="1"/>
    <n v="0"/>
    <n v="1"/>
    <n v="0"/>
    <n v="1"/>
    <n v="0"/>
    <x v="69"/>
    <x v="18"/>
    <n v="244.49"/>
    <n v="69.89"/>
    <x v="144"/>
    <n v="37.799999999999997"/>
    <n v="21.2"/>
  </r>
  <r>
    <n v="925667446"/>
    <n v="817870"/>
    <n v="2217071"/>
    <n v="2484"/>
    <x v="1"/>
    <n v="58480"/>
    <x v="12"/>
    <x v="119"/>
    <x v="118"/>
    <x v="145"/>
    <x v="145"/>
    <x v="145"/>
    <x v="119"/>
    <s v="CA"/>
    <s v="San Diego"/>
    <s v="CA"/>
    <s v="Oakland"/>
    <x v="2"/>
    <n v="739562"/>
    <s v="101-300"/>
    <n v="247"/>
    <x v="131"/>
    <x v="122"/>
    <n v="252.9"/>
    <n v="289.7"/>
    <x v="0"/>
    <s v="5.02"/>
    <s v="00:00-05:59"/>
    <x v="6"/>
    <x v="0"/>
    <n v="-19"/>
    <n v="0"/>
    <n v="0"/>
    <n v="30.3"/>
    <n v="0"/>
    <n v="0.55900000000000005"/>
    <n v="0.61599999999999999"/>
    <n v="17683.310000000001"/>
    <x v="1"/>
    <n v="1"/>
    <n v="1"/>
    <n v="0"/>
    <n v="1"/>
    <n v="0"/>
    <n v="1"/>
    <n v="0"/>
    <x v="70"/>
    <x v="29"/>
    <n v="203.83"/>
    <n v="50.81"/>
    <x v="145"/>
    <n v="9.4"/>
    <n v="26.2"/>
  </r>
  <r>
    <n v="691991695"/>
    <n v="629903"/>
    <n v="9143903"/>
    <n v="9666"/>
    <x v="9"/>
    <n v="56343"/>
    <x v="6"/>
    <x v="50"/>
    <x v="50"/>
    <x v="146"/>
    <x v="146"/>
    <x v="146"/>
    <x v="50"/>
    <s v="OH"/>
    <s v="Dayton"/>
    <s v="PA"/>
    <s v="Philadelphia"/>
    <x v="3"/>
    <n v="794841"/>
    <s v="101-300"/>
    <n v="193"/>
    <x v="3"/>
    <x v="4"/>
    <n v="196.6"/>
    <n v="224.5"/>
    <x v="3"/>
    <s v="3.84"/>
    <s v="10:00-13:59"/>
    <x v="0"/>
    <x v="0"/>
    <n v="-21"/>
    <n v="0"/>
    <n v="0"/>
    <n v="53.9"/>
    <n v="0"/>
    <n v="0.91800000000000004"/>
    <n v="0.311"/>
    <n v="4155.25"/>
    <x v="0"/>
    <n v="1"/>
    <n v="1"/>
    <n v="0"/>
    <n v="1"/>
    <n v="0"/>
    <n v="1"/>
    <n v="0"/>
    <x v="71"/>
    <x v="68"/>
    <n v="157.56"/>
    <n v="38.799999999999997"/>
    <x v="146"/>
    <n v="10.3"/>
    <n v="5.8"/>
  </r>
  <r>
    <n v="873995963"/>
    <n v="757924"/>
    <n v="1162230"/>
    <n v="2636"/>
    <x v="6"/>
    <n v="50527"/>
    <x v="11"/>
    <x v="120"/>
    <x v="119"/>
    <x v="147"/>
    <x v="147"/>
    <x v="147"/>
    <x v="120"/>
    <s v="FL"/>
    <s v="Jacksonville"/>
    <s v="FL"/>
    <s v="Miami"/>
    <x v="1"/>
    <n v="758654"/>
    <s v="101-300"/>
    <n v="297"/>
    <x v="97"/>
    <x v="87"/>
    <n v="297.3"/>
    <n v="329.1"/>
    <x v="0"/>
    <s v="5.91"/>
    <s v="14:00-17:59"/>
    <x v="6"/>
    <x v="0"/>
    <n v="-1"/>
    <n v="0"/>
    <n v="0"/>
    <n v="60.3"/>
    <n v="0"/>
    <n v="0.67600000000000005"/>
    <n v="0.85399999999999998"/>
    <n v="1496.1"/>
    <x v="0"/>
    <n v="1"/>
    <n v="1"/>
    <n v="0"/>
    <n v="1"/>
    <n v="0"/>
    <n v="1"/>
    <n v="0"/>
    <x v="1"/>
    <x v="69"/>
    <n v="241.11"/>
    <n v="37.200000000000003"/>
    <x v="147"/>
    <n v="6.1"/>
    <n v="27.3"/>
  </r>
  <r>
    <n v="330879256"/>
    <n v="972064"/>
    <n v="2818692"/>
    <n v="8158"/>
    <x v="1"/>
    <n v="50916"/>
    <x v="14"/>
    <x v="42"/>
    <x v="42"/>
    <x v="148"/>
    <x v="148"/>
    <x v="148"/>
    <x v="41"/>
    <s v="WA"/>
    <s v="Everett"/>
    <s v="NJ"/>
    <s v="Newark"/>
    <x v="3"/>
    <n v="774899"/>
    <s v="301-500"/>
    <n v="327"/>
    <x v="132"/>
    <x v="92"/>
    <n v="324.7"/>
    <n v="361.3"/>
    <x v="2"/>
    <s v="6.15"/>
    <s v="14:00-17:59"/>
    <x v="0"/>
    <x v="0"/>
    <n v="-12"/>
    <n v="42"/>
    <n v="0"/>
    <n v="45.3"/>
    <n v="0"/>
    <n v="0.88300000000000001"/>
    <n v="0.51"/>
    <n v="17768.96"/>
    <x v="1"/>
    <n v="1"/>
    <n v="1"/>
    <n v="0"/>
    <n v="1"/>
    <n v="0"/>
    <n v="1"/>
    <n v="0"/>
    <x v="11"/>
    <x v="3"/>
    <n v="250.45"/>
    <n v="39.590000000000003"/>
    <x v="148"/>
    <n v="10"/>
    <n v="30.9"/>
  </r>
  <r>
    <n v="561784080"/>
    <n v="728038"/>
    <n v="1463060"/>
    <n v="7287"/>
    <x v="0"/>
    <n v="59900"/>
    <x v="6"/>
    <x v="121"/>
    <x v="120"/>
    <x v="149"/>
    <x v="149"/>
    <x v="149"/>
    <x v="121"/>
    <s v="OH"/>
    <s v="Cincinnati"/>
    <s v="MI"/>
    <s v="Detroit"/>
    <x v="0"/>
    <n v="774922"/>
    <s v="101-300"/>
    <n v="319"/>
    <x v="133"/>
    <x v="123"/>
    <n v="320.7"/>
    <n v="404"/>
    <x v="0"/>
    <s v="6.11"/>
    <s v="18:00-23:59"/>
    <x v="6"/>
    <x v="0"/>
    <n v="-49"/>
    <n v="0"/>
    <n v="0"/>
    <n v="40.700000000000003"/>
    <n v="0"/>
    <n v="0.61099999999999999"/>
    <n v="0.57099999999999995"/>
    <n v="2913.6"/>
    <x v="0"/>
    <n v="1"/>
    <n v="1"/>
    <n v="0"/>
    <n v="1"/>
    <n v="0"/>
    <n v="1"/>
    <n v="0"/>
    <x v="33"/>
    <x v="60"/>
    <n v="250.89"/>
    <n v="46.68"/>
    <x v="149"/>
    <n v="13.6"/>
    <n v="41.6"/>
  </r>
  <r>
    <n v="584853393"/>
    <n v="329974"/>
    <n v="5641923"/>
    <n v="4304"/>
    <x v="1"/>
    <n v="53574"/>
    <x v="2"/>
    <x v="115"/>
    <x v="114"/>
    <x v="150"/>
    <x v="150"/>
    <x v="150"/>
    <x v="115"/>
    <s v="MO"/>
    <s v="Independence"/>
    <s v="OH"/>
    <s v="Cincinnati"/>
    <x v="0"/>
    <n v="762371"/>
    <s v="501-1000"/>
    <n v="547"/>
    <x v="134"/>
    <x v="124"/>
    <n v="534.5"/>
    <n v="558.29999999999995"/>
    <x v="0"/>
    <s v="9.87"/>
    <s v="10:00-13:59"/>
    <x v="6"/>
    <x v="0"/>
    <n v="-32"/>
    <n v="0"/>
    <n v="0"/>
    <n v="38.700000000000003"/>
    <n v="0"/>
    <n v="0.48499999999999999"/>
    <n v="0.64400000000000002"/>
    <n v="5775.67"/>
    <x v="0"/>
    <n v="1"/>
    <n v="1"/>
    <n v="0"/>
    <n v="1"/>
    <n v="0"/>
    <n v="1"/>
    <n v="0"/>
    <x v="70"/>
    <x v="13"/>
    <n v="375.05"/>
    <n v="62.23"/>
    <x v="150"/>
    <n v="28.3"/>
    <n v="55.4"/>
  </r>
  <r>
    <n v="345343109"/>
    <n v="198246"/>
    <n v="9626108"/>
    <n v="5555"/>
    <x v="0"/>
    <n v="53319"/>
    <x v="7"/>
    <x v="122"/>
    <x v="121"/>
    <x v="151"/>
    <x v="151"/>
    <x v="151"/>
    <x v="122"/>
    <s v="PA"/>
    <s v="Harrisburg"/>
    <s v="IL"/>
    <s v="Rockford"/>
    <x v="0"/>
    <n v="797689"/>
    <s v="0-100"/>
    <n v="21"/>
    <x v="135"/>
    <x v="125"/>
    <n v="29"/>
    <n v="59.6"/>
    <x v="1"/>
    <s v="0.97"/>
    <s v="06:00-09:59"/>
    <x v="6"/>
    <x v="0"/>
    <n v="-32"/>
    <n v="0"/>
    <n v="0"/>
    <n v="34.700000000000003"/>
    <n v="0"/>
    <n v="0.82099999999999995"/>
    <n v="0.748"/>
    <n v="19683.89"/>
    <x v="1"/>
    <n v="1"/>
    <n v="1"/>
    <n v="0"/>
    <n v="1"/>
    <n v="0"/>
    <n v="1"/>
    <n v="0"/>
    <x v="72"/>
    <x v="70"/>
    <n v="52.73"/>
    <n v="10.08"/>
    <x v="151"/>
    <n v="11.5"/>
    <n v="3.2"/>
  </r>
  <r>
    <n v="544328940"/>
    <n v="688508"/>
    <n v="8930103"/>
    <n v="3047"/>
    <x v="9"/>
    <n v="51406"/>
    <x v="8"/>
    <x v="123"/>
    <x v="122"/>
    <x v="152"/>
    <x v="152"/>
    <x v="152"/>
    <x v="123"/>
    <s v="OH"/>
    <s v="Columbus"/>
    <s v="OH"/>
    <s v="Columbus"/>
    <x v="0"/>
    <n v="797593"/>
    <s v="101-300"/>
    <n v="296"/>
    <x v="136"/>
    <x v="7"/>
    <n v="285.8"/>
    <n v="328.3"/>
    <x v="1"/>
    <s v="5.73"/>
    <s v="10:00-13:59"/>
    <x v="0"/>
    <x v="0"/>
    <n v="-67"/>
    <n v="0"/>
    <n v="0"/>
    <n v="45.7"/>
    <n v="0"/>
    <n v="0.50600000000000001"/>
    <n v="0.65400000000000003"/>
    <n v="1180.8599999999999"/>
    <x v="0"/>
    <n v="1"/>
    <n v="1"/>
    <n v="0"/>
    <n v="1"/>
    <n v="0"/>
    <n v="1"/>
    <n v="0"/>
    <x v="72"/>
    <x v="54"/>
    <n v="211"/>
    <n v="50.66"/>
    <x v="152"/>
    <n v="4"/>
    <n v="58.1"/>
  </r>
  <r>
    <n v="463925049"/>
    <n v="872246"/>
    <n v="4860684"/>
    <n v="6578"/>
    <x v="5"/>
    <n v="51241"/>
    <x v="2"/>
    <x v="37"/>
    <x v="37"/>
    <x v="153"/>
    <x v="153"/>
    <x v="153"/>
    <x v="36"/>
    <s v="CO"/>
    <s v="Colorado Springs"/>
    <s v="MO"/>
    <s v="Columbia"/>
    <x v="0"/>
    <n v="706463"/>
    <s v="101-300"/>
    <n v="157"/>
    <x v="137"/>
    <x v="81"/>
    <n v="152"/>
    <n v="169.8"/>
    <x v="2"/>
    <s v="3.45"/>
    <s v="14:00-17:59"/>
    <x v="6"/>
    <x v="0"/>
    <n v="2"/>
    <n v="0"/>
    <n v="0"/>
    <n v="39.299999999999997"/>
    <n v="0"/>
    <n v="0.29099999999999998"/>
    <n v="0.56100000000000005"/>
    <n v="9457.59"/>
    <x v="1"/>
    <n v="1"/>
    <n v="1"/>
    <n v="0"/>
    <n v="1"/>
    <n v="0"/>
    <n v="1"/>
    <n v="0"/>
    <x v="51"/>
    <x v="55"/>
    <n v="126.31"/>
    <n v="17.079999999999998"/>
    <x v="153"/>
    <n v="41.8"/>
    <n v="10.9"/>
  </r>
  <r>
    <n v="988434627"/>
    <n v="581741"/>
    <n v="3790237"/>
    <n v="1995"/>
    <x v="5"/>
    <n v="55206"/>
    <x v="6"/>
    <x v="60"/>
    <x v="60"/>
    <x v="154"/>
    <x v="154"/>
    <x v="154"/>
    <x v="59"/>
    <s v="MI"/>
    <s v="Detroit"/>
    <s v="GA"/>
    <s v="Augusta"/>
    <x v="1"/>
    <n v="771847"/>
    <s v="501-1000"/>
    <n v="895"/>
    <x v="37"/>
    <x v="126"/>
    <n v="893"/>
    <n v="964.8"/>
    <x v="2"/>
    <s v="15.22"/>
    <s v="06:00-09:59"/>
    <x v="0"/>
    <x v="0"/>
    <n v="-15"/>
    <n v="0"/>
    <n v="0"/>
    <n v="40.799999999999997"/>
    <n v="0"/>
    <n v="0.83899999999999997"/>
    <n v="0.60199999999999998"/>
    <n v="63829.62"/>
    <x v="2"/>
    <n v="1"/>
    <n v="1"/>
    <n v="0"/>
    <n v="1"/>
    <n v="0"/>
    <n v="1"/>
    <n v="0"/>
    <x v="41"/>
    <x v="26"/>
    <n v="730.3"/>
    <n v="137.13"/>
    <x v="154"/>
    <n v="17.5"/>
    <n v="29.3"/>
  </r>
  <r>
    <n v="586940738"/>
    <n v="331148"/>
    <n v="8231838"/>
    <n v="8734"/>
    <x v="1"/>
    <n v="57249"/>
    <x v="2"/>
    <x v="124"/>
    <x v="123"/>
    <x v="155"/>
    <x v="155"/>
    <x v="155"/>
    <x v="124"/>
    <s v="NC"/>
    <s v="Durham"/>
    <s v="NC"/>
    <s v="Greensboro"/>
    <x v="1"/>
    <n v="752322"/>
    <s v="0-100"/>
    <n v="92"/>
    <x v="138"/>
    <x v="53"/>
    <n v="86"/>
    <n v="141.80000000000001"/>
    <x v="0"/>
    <s v="2.51"/>
    <s v="06:00-09:59"/>
    <x v="2"/>
    <x v="0"/>
    <n v="-30"/>
    <n v="0"/>
    <n v="0"/>
    <n v="52.8"/>
    <n v="0"/>
    <n v="0.55600000000000005"/>
    <n v="0.86299999999999999"/>
    <n v="843.53"/>
    <x v="0"/>
    <n v="1"/>
    <n v="1"/>
    <n v="0"/>
    <n v="1"/>
    <n v="0"/>
    <n v="1"/>
    <n v="0"/>
    <x v="0"/>
    <x v="26"/>
    <n v="121.02"/>
    <n v="16.350000000000001"/>
    <x v="155"/>
    <n v="5.8"/>
    <n v="18.8"/>
  </r>
  <r>
    <n v="528133274"/>
    <n v="662275"/>
    <n v="7818496"/>
    <n v="8629"/>
    <x v="4"/>
    <n v="53133"/>
    <x v="1"/>
    <x v="43"/>
    <x v="43"/>
    <x v="156"/>
    <x v="156"/>
    <x v="156"/>
    <x v="42"/>
    <s v="NJ"/>
    <s v="Elizabeth"/>
    <s v="TX"/>
    <s v="El Paso"/>
    <x v="1"/>
    <n v="734413"/>
    <s v="101-300"/>
    <n v="289"/>
    <x v="139"/>
    <x v="122"/>
    <n v="282.2"/>
    <n v="318.5"/>
    <x v="3"/>
    <s v="11.64 hrs"/>
    <s v="00:00-05:59"/>
    <x v="1"/>
    <x v="4"/>
    <n v="223"/>
    <n v="192"/>
    <n v="0"/>
    <n v="66"/>
    <n v="0"/>
    <n v="0.78700000000000003"/>
    <n v="0.65300000000000002"/>
    <n v="7510.19"/>
    <x v="1"/>
    <n v="1"/>
    <n v="0"/>
    <n v="1"/>
    <n v="0"/>
    <n v="1"/>
    <n v="0"/>
    <n v="1"/>
    <x v="48"/>
    <x v="71"/>
    <n v="221.6"/>
    <n v="69.62"/>
    <x v="156"/>
    <n v="31.4"/>
    <n v="57.9"/>
  </r>
  <r>
    <n v="546665485"/>
    <n v="482554"/>
    <n v="1954280"/>
    <n v="4561"/>
    <x v="1"/>
    <n v="50798"/>
    <x v="8"/>
    <x v="76"/>
    <x v="76"/>
    <x v="157"/>
    <x v="157"/>
    <x v="157"/>
    <x v="75"/>
    <s v="TN"/>
    <s v="Knoxville"/>
    <s v="WA"/>
    <s v="Seattle"/>
    <x v="2"/>
    <n v="711151"/>
    <s v="301-500"/>
    <n v="518"/>
    <x v="140"/>
    <x v="104"/>
    <n v="526.5"/>
    <n v="593.9"/>
    <x v="1"/>
    <s v="9.47"/>
    <s v="10:00-13:59"/>
    <x v="3"/>
    <x v="0"/>
    <n v="-11"/>
    <n v="0"/>
    <n v="0"/>
    <n v="61.8"/>
    <n v="0"/>
    <n v="0.44800000000000001"/>
    <n v="0.32300000000000001"/>
    <n v="5649.5"/>
    <x v="0"/>
    <n v="1"/>
    <n v="1"/>
    <n v="0"/>
    <n v="1"/>
    <n v="0"/>
    <n v="1"/>
    <n v="0"/>
    <x v="50"/>
    <x v="30"/>
    <n v="423.39"/>
    <n v="92.18"/>
    <x v="157"/>
    <n v="16.100000000000001"/>
    <n v="42"/>
  </r>
  <r>
    <n v="883415470"/>
    <n v="377932"/>
    <n v="9508103"/>
    <n v="6699"/>
    <x v="2"/>
    <n v="51523"/>
    <x v="12"/>
    <x v="125"/>
    <x v="124"/>
    <x v="158"/>
    <x v="158"/>
    <x v="158"/>
    <x v="125"/>
    <s v="MO"/>
    <s v="Independence"/>
    <s v="AZ"/>
    <s v="Flagstaff"/>
    <x v="2"/>
    <n v="792123"/>
    <s v="101-300"/>
    <n v="168"/>
    <x v="141"/>
    <x v="127"/>
    <n v="178.8"/>
    <n v="223"/>
    <x v="3"/>
    <s v="3.18"/>
    <s v="18:00-23:59"/>
    <x v="6"/>
    <x v="0"/>
    <n v="-46"/>
    <n v="0"/>
    <n v="0"/>
    <n v="51.2"/>
    <n v="0"/>
    <n v="0.53900000000000003"/>
    <n v="0.72099999999999997"/>
    <n v="18678.91"/>
    <x v="1"/>
    <n v="1"/>
    <n v="1"/>
    <n v="0"/>
    <n v="1"/>
    <n v="0"/>
    <n v="1"/>
    <n v="0"/>
    <x v="4"/>
    <x v="72"/>
    <n v="139.22"/>
    <n v="33.700000000000003"/>
    <x v="158"/>
    <n v="13.9"/>
    <n v="32.700000000000003"/>
  </r>
  <r>
    <n v="202097643"/>
    <n v="883300"/>
    <n v="9479356"/>
    <n v="5413"/>
    <x v="1"/>
    <n v="57209"/>
    <x v="7"/>
    <x v="104"/>
    <x v="104"/>
    <x v="159"/>
    <x v="159"/>
    <x v="159"/>
    <x v="126"/>
    <s v="MI"/>
    <s v="Lansing"/>
    <s v="MI"/>
    <s v="Flint"/>
    <x v="0"/>
    <n v="711807"/>
    <s v="301-500"/>
    <n v="453"/>
    <x v="142"/>
    <x v="128"/>
    <n v="462.3"/>
    <n v="470.8"/>
    <x v="0"/>
    <s v="9.39"/>
    <s v="14:00-17:59"/>
    <x v="5"/>
    <x v="0"/>
    <n v="-5"/>
    <n v="0"/>
    <n v="0"/>
    <n v="77.5"/>
    <n v="0"/>
    <n v="0.68700000000000006"/>
    <n v="0.76200000000000001"/>
    <n v="4298.09"/>
    <x v="0"/>
    <n v="1"/>
    <n v="1"/>
    <n v="0"/>
    <n v="1"/>
    <n v="0"/>
    <n v="1"/>
    <n v="0"/>
    <x v="0"/>
    <x v="19"/>
    <n v="419.41"/>
    <n v="83.47"/>
    <x v="159"/>
    <n v="29.3"/>
    <n v="24"/>
  </r>
  <r>
    <n v="435596237"/>
    <n v="439902"/>
    <n v="2935113"/>
    <n v="9815"/>
    <x v="6"/>
    <n v="54928"/>
    <x v="11"/>
    <x v="95"/>
    <x v="95"/>
    <x v="160"/>
    <x v="160"/>
    <x v="160"/>
    <x v="94"/>
    <s v="TN"/>
    <s v="Memphis"/>
    <s v="OH"/>
    <s v="Cincinnati"/>
    <x v="0"/>
    <n v="752235"/>
    <s v="0-100"/>
    <n v="30"/>
    <x v="143"/>
    <x v="129"/>
    <n v="35"/>
    <n v="83.5"/>
    <x v="0"/>
    <s v="1.7"/>
    <s v="18:00-23:59"/>
    <x v="2"/>
    <x v="0"/>
    <n v="12"/>
    <n v="0"/>
    <n v="0"/>
    <n v="59.9"/>
    <n v="0"/>
    <n v="0.64100000000000001"/>
    <n v="0.2"/>
    <n v="5117.2299999999996"/>
    <x v="0"/>
    <n v="1"/>
    <n v="1"/>
    <n v="0"/>
    <n v="1"/>
    <n v="0"/>
    <n v="1"/>
    <n v="0"/>
    <x v="70"/>
    <x v="59"/>
    <n v="68.94"/>
    <n v="11.93"/>
    <x v="160"/>
    <n v="45.7"/>
    <n v="37.799999999999997"/>
  </r>
  <r>
    <n v="558234365"/>
    <n v="855731"/>
    <n v="2724590"/>
    <n v="1202"/>
    <x v="8"/>
    <n v="52888"/>
    <x v="13"/>
    <x v="126"/>
    <x v="125"/>
    <x v="161"/>
    <x v="161"/>
    <x v="161"/>
    <x v="127"/>
    <s v="IL"/>
    <s v="Rockford"/>
    <s v="NY"/>
    <s v="Rochester"/>
    <x v="3"/>
    <n v="746616"/>
    <s v="301-500"/>
    <n v="383"/>
    <x v="144"/>
    <x v="130"/>
    <n v="397.8"/>
    <n v="468.2"/>
    <x v="0"/>
    <s v="7.68"/>
    <s v="00:00-05:59"/>
    <x v="3"/>
    <x v="0"/>
    <n v="-21"/>
    <n v="0"/>
    <n v="0"/>
    <n v="74.5"/>
    <n v="0"/>
    <n v="0.72599999999999998"/>
    <n v="0.64100000000000001"/>
    <n v="46505.38"/>
    <x v="2"/>
    <n v="1"/>
    <n v="1"/>
    <n v="0"/>
    <n v="1"/>
    <n v="0"/>
    <n v="1"/>
    <n v="0"/>
    <x v="21"/>
    <x v="73"/>
    <n v="327.2"/>
    <n v="87.02"/>
    <x v="161"/>
    <n v="32.200000000000003"/>
    <n v="61.2"/>
  </r>
  <r>
    <n v="435569630"/>
    <n v="688508"/>
    <n v="8930103"/>
    <n v="3047"/>
    <x v="9"/>
    <n v="52690"/>
    <x v="10"/>
    <x v="72"/>
    <x v="72"/>
    <x v="162"/>
    <x v="162"/>
    <x v="162"/>
    <x v="21"/>
    <s v="MI"/>
    <s v="Ann Arbor"/>
    <s v="OH"/>
    <s v="Columbus"/>
    <x v="0"/>
    <n v="778018"/>
    <s v="501-1000"/>
    <n v="963"/>
    <x v="76"/>
    <x v="105"/>
    <n v="961.4"/>
    <n v="985.8"/>
    <x v="1"/>
    <s v="15.17"/>
    <s v="18:00-23:59"/>
    <x v="3"/>
    <x v="0"/>
    <n v="-19"/>
    <n v="0"/>
    <n v="0"/>
    <n v="45.1"/>
    <n v="0"/>
    <n v="0.78500000000000003"/>
    <n v="0.42"/>
    <n v="17609.07"/>
    <x v="1"/>
    <n v="1"/>
    <n v="1"/>
    <n v="0"/>
    <n v="1"/>
    <n v="0"/>
    <n v="1"/>
    <n v="0"/>
    <x v="30"/>
    <x v="74"/>
    <n v="873.67"/>
    <n v="205.61"/>
    <x v="162"/>
    <n v="4"/>
    <n v="62"/>
  </r>
  <r>
    <n v="814154134"/>
    <n v="456699"/>
    <n v="1415846"/>
    <n v="1197"/>
    <x v="4"/>
    <n v="54091"/>
    <x v="7"/>
    <x v="37"/>
    <x v="37"/>
    <x v="163"/>
    <x v="163"/>
    <x v="163"/>
    <x v="36"/>
    <s v="NJ"/>
    <s v="Paterson"/>
    <s v="PA"/>
    <s v="Harrisburg"/>
    <x v="3"/>
    <n v="778087"/>
    <s v="301-500"/>
    <n v="374"/>
    <x v="145"/>
    <x v="131"/>
    <n v="371.8"/>
    <n v="403.3"/>
    <x v="2"/>
    <s v="7.49"/>
    <s v="14:00-17:59"/>
    <x v="6"/>
    <x v="0"/>
    <n v="-16"/>
    <n v="0"/>
    <n v="0"/>
    <n v="53"/>
    <n v="0"/>
    <n v="0.63300000000000001"/>
    <n v="0.73599999999999999"/>
    <n v="5942.86"/>
    <x v="0"/>
    <n v="1"/>
    <n v="1"/>
    <n v="0"/>
    <n v="1"/>
    <n v="0"/>
    <n v="1"/>
    <n v="0"/>
    <x v="41"/>
    <x v="26"/>
    <n v="260.52"/>
    <n v="64.47"/>
    <x v="163"/>
    <n v="15.2"/>
    <n v="26.7"/>
  </r>
  <r>
    <n v="373685835"/>
    <n v="496922"/>
    <n v="9075854"/>
    <n v="8869"/>
    <x v="1"/>
    <n v="57282"/>
    <x v="13"/>
    <x v="127"/>
    <x v="126"/>
    <x v="164"/>
    <x v="164"/>
    <x v="164"/>
    <x v="128"/>
    <s v="FL"/>
    <s v="Jacksonville"/>
    <s v="FL"/>
    <s v="Fort Lauderdale"/>
    <x v="1"/>
    <n v="758654"/>
    <s v="101-300"/>
    <n v="232"/>
    <x v="146"/>
    <x v="37"/>
    <n v="232.1"/>
    <n v="317.3"/>
    <x v="3"/>
    <s v="4.78"/>
    <s v="06:00-09:59"/>
    <x v="0"/>
    <x v="0"/>
    <n v="-45"/>
    <n v="0"/>
    <n v="0"/>
    <n v="54.8"/>
    <n v="0"/>
    <n v="0.152"/>
    <n v="0.65500000000000003"/>
    <n v="19578.36"/>
    <x v="1"/>
    <n v="1"/>
    <n v="1"/>
    <n v="0"/>
    <n v="1"/>
    <n v="0"/>
    <n v="1"/>
    <n v="0"/>
    <x v="24"/>
    <x v="16"/>
    <n v="231.79"/>
    <n v="46.31"/>
    <x v="164"/>
    <n v="9.3000000000000007"/>
    <n v="34.799999999999997"/>
  </r>
  <r>
    <n v="501902658"/>
    <n v="245051"/>
    <n v="1739653"/>
    <n v="4763"/>
    <x v="7"/>
    <n v="59433"/>
    <x v="14"/>
    <x v="128"/>
    <x v="127"/>
    <x v="165"/>
    <x v="165"/>
    <x v="165"/>
    <x v="129"/>
    <s v="TN"/>
    <s v="Clarksville"/>
    <s v="NY"/>
    <s v="Albany"/>
    <x v="3"/>
    <n v="737287"/>
    <s v="0-100"/>
    <n v="65"/>
    <x v="147"/>
    <x v="132"/>
    <n v="73.599999999999994"/>
    <n v="110"/>
    <x v="0"/>
    <s v="1.87"/>
    <s v="18:00-23:59"/>
    <x v="2"/>
    <x v="0"/>
    <n v="-15"/>
    <n v="31"/>
    <n v="0"/>
    <n v="76.3"/>
    <n v="0"/>
    <n v="0.71799999999999997"/>
    <n v="0.54"/>
    <n v="2269.9699999999998"/>
    <x v="0"/>
    <n v="1"/>
    <n v="1"/>
    <n v="0"/>
    <n v="1"/>
    <n v="0"/>
    <n v="1"/>
    <n v="0"/>
    <x v="22"/>
    <x v="75"/>
    <n v="86.8"/>
    <n v="17.89"/>
    <x v="165"/>
    <n v="12.9"/>
    <n v="68.900000000000006"/>
  </r>
  <r>
    <n v="263894795"/>
    <n v="403445"/>
    <n v="4652414"/>
    <n v="9006"/>
    <x v="0"/>
    <n v="56249"/>
    <x v="6"/>
    <x v="129"/>
    <x v="128"/>
    <x v="166"/>
    <x v="166"/>
    <x v="166"/>
    <x v="130"/>
    <s v="GA"/>
    <s v="Atlanta"/>
    <s v="GA"/>
    <s v="Savannah"/>
    <x v="1"/>
    <n v="783084"/>
    <s v="501-1000"/>
    <n v="848"/>
    <x v="148"/>
    <x v="133"/>
    <n v="851.5"/>
    <n v="898.7"/>
    <x v="0"/>
    <s v="15.78"/>
    <s v="06:00-09:59"/>
    <x v="4"/>
    <x v="0"/>
    <n v="-38"/>
    <n v="0"/>
    <n v="0"/>
    <n v="51.1"/>
    <n v="0"/>
    <n v="0.68799999999999994"/>
    <n v="0.33500000000000002"/>
    <n v="18219.45"/>
    <x v="1"/>
    <n v="1"/>
    <n v="1"/>
    <n v="0"/>
    <n v="1"/>
    <n v="0"/>
    <n v="1"/>
    <n v="0"/>
    <x v="46"/>
    <x v="5"/>
    <n v="693.49"/>
    <n v="154.96"/>
    <x v="166"/>
    <n v="12.6"/>
    <n v="22.9"/>
  </r>
  <r>
    <n v="837468465"/>
    <n v="559381"/>
    <n v="4526280"/>
    <n v="9754"/>
    <x v="5"/>
    <n v="50690"/>
    <x v="1"/>
    <x v="105"/>
    <x v="129"/>
    <x v="167"/>
    <x v="167"/>
    <x v="167"/>
    <x v="131"/>
    <s v="PA"/>
    <s v="Philadelphia"/>
    <s v="NJ"/>
    <s v="Jersey City"/>
    <x v="3"/>
    <n v="778005"/>
    <s v="101-300"/>
    <n v="314"/>
    <x v="149"/>
    <x v="134"/>
    <n v="324.39999999999998"/>
    <n v="396.8"/>
    <x v="2"/>
    <s v="6.68"/>
    <s v="18:00-23:59"/>
    <x v="1"/>
    <x v="0"/>
    <n v="-18"/>
    <n v="0"/>
    <n v="0"/>
    <n v="48.6"/>
    <n v="0"/>
    <n v="0.38700000000000001"/>
    <n v="0.83199999999999996"/>
    <n v="106892"/>
    <x v="2"/>
    <n v="1"/>
    <n v="1"/>
    <n v="0"/>
    <n v="1"/>
    <n v="0"/>
    <n v="1"/>
    <n v="0"/>
    <x v="43"/>
    <x v="25"/>
    <n v="323.98"/>
    <n v="80.040000000000006"/>
    <x v="167"/>
    <n v="25"/>
    <n v="0"/>
  </r>
  <r>
    <n v="609241268"/>
    <n v="662275"/>
    <n v="7818496"/>
    <n v="8629"/>
    <x v="4"/>
    <n v="58719"/>
    <x v="6"/>
    <x v="22"/>
    <x v="22"/>
    <x v="168"/>
    <x v="168"/>
    <x v="168"/>
    <x v="22"/>
    <s v="MO"/>
    <s v="St. Louis"/>
    <s v="MI"/>
    <s v="Flint"/>
    <x v="0"/>
    <n v="765774"/>
    <s v="0-100"/>
    <n v="25"/>
    <x v="150"/>
    <x v="135"/>
    <n v="25.4"/>
    <n v="42.4"/>
    <x v="3"/>
    <s v="3.5"/>
    <s v="18:00-23:59"/>
    <x v="3"/>
    <x v="3"/>
    <n v="102"/>
    <n v="0"/>
    <n v="0"/>
    <n v="36"/>
    <n v="0"/>
    <n v="0.54300000000000004"/>
    <n v="0.82"/>
    <n v="14784.11"/>
    <x v="1"/>
    <n v="1"/>
    <n v="0"/>
    <n v="1"/>
    <n v="0"/>
    <n v="1"/>
    <n v="0"/>
    <n v="1"/>
    <x v="52"/>
    <x v="23"/>
    <n v="30.07"/>
    <n v="6.25"/>
    <x v="168"/>
    <n v="31.4"/>
    <n v="56.7"/>
  </r>
  <r>
    <n v="172083844"/>
    <n v="678856"/>
    <n v="7728339"/>
    <n v="8892"/>
    <x v="0"/>
    <n v="51495"/>
    <x v="8"/>
    <x v="83"/>
    <x v="83"/>
    <x v="169"/>
    <x v="169"/>
    <x v="169"/>
    <x v="69"/>
    <s v="WA"/>
    <s v="Tacoma"/>
    <s v="NJ"/>
    <s v="Elizabeth"/>
    <x v="3"/>
    <n v="774899"/>
    <s v="301-500"/>
    <n v="422"/>
    <x v="151"/>
    <x v="136"/>
    <n v="413"/>
    <n v="500.5"/>
    <x v="2"/>
    <s v="14.77"/>
    <s v="14:00-17:59"/>
    <x v="6"/>
    <x v="4"/>
    <n v="197"/>
    <n v="84"/>
    <n v="0"/>
    <n v="31.5"/>
    <n v="0"/>
    <n v="0.623"/>
    <n v="0.47199999999999998"/>
    <n v="14488.99"/>
    <x v="1"/>
    <n v="1"/>
    <n v="0"/>
    <n v="1"/>
    <n v="0"/>
    <n v="1"/>
    <n v="0"/>
    <n v="1"/>
    <x v="20"/>
    <x v="68"/>
    <n v="424.1"/>
    <n v="53.14"/>
    <x v="169"/>
    <n v="8.5"/>
    <n v="0"/>
  </r>
  <r>
    <n v="197951867"/>
    <n v="234628"/>
    <n v="2173965"/>
    <n v="5973"/>
    <x v="5"/>
    <n v="50892"/>
    <x v="6"/>
    <x v="130"/>
    <x v="130"/>
    <x v="170"/>
    <x v="170"/>
    <x v="170"/>
    <x v="132"/>
    <s v="FL"/>
    <s v="Tampa"/>
    <s v="AZ"/>
    <s v="Phoenix"/>
    <x v="2"/>
    <n v="756949"/>
    <s v="101-300"/>
    <n v="290"/>
    <x v="152"/>
    <x v="137"/>
    <n v="286"/>
    <n v="316.2"/>
    <x v="0"/>
    <s v="5.67"/>
    <s v="10:00-13:59"/>
    <x v="3"/>
    <x v="0"/>
    <n v="-6"/>
    <n v="0"/>
    <n v="0"/>
    <n v="48.8"/>
    <n v="0"/>
    <n v="0.68899999999999995"/>
    <n v="0.219"/>
    <n v="21178.44"/>
    <x v="1"/>
    <n v="1"/>
    <n v="1"/>
    <n v="0"/>
    <n v="1"/>
    <n v="0"/>
    <n v="1"/>
    <n v="0"/>
    <x v="28"/>
    <x v="8"/>
    <n v="234.5"/>
    <n v="55.55"/>
    <x v="170"/>
    <n v="6.2"/>
    <n v="22.8"/>
  </r>
  <r>
    <n v="993108266"/>
    <n v="334053"/>
    <n v="6672134"/>
    <n v="1466"/>
    <x v="5"/>
    <n v="58578"/>
    <x v="1"/>
    <x v="59"/>
    <x v="59"/>
    <x v="171"/>
    <x v="171"/>
    <x v="171"/>
    <x v="26"/>
    <s v="GA"/>
    <s v="Augusta"/>
    <s v="GA"/>
    <s v="Atlanta"/>
    <x v="1"/>
    <n v="783084"/>
    <s v="0-100"/>
    <n v="63"/>
    <x v="3"/>
    <x v="138"/>
    <n v="69.099999999999994"/>
    <n v="123.1"/>
    <x v="0"/>
    <s v="2.49"/>
    <s v="06:00-09:59"/>
    <x v="4"/>
    <x v="0"/>
    <n v="-38"/>
    <n v="0"/>
    <n v="0"/>
    <n v="62.7"/>
    <n v="0"/>
    <n v="0.89"/>
    <n v="0.83399999999999996"/>
    <n v="8703.51"/>
    <x v="1"/>
    <n v="1"/>
    <n v="1"/>
    <n v="0"/>
    <n v="1"/>
    <n v="0"/>
    <n v="1"/>
    <n v="0"/>
    <x v="43"/>
    <x v="60"/>
    <n v="80.95"/>
    <n v="26.89"/>
    <x v="171"/>
    <n v="28.7"/>
    <n v="47.2"/>
  </r>
  <r>
    <n v="191659287"/>
    <n v="654816"/>
    <n v="7117837"/>
    <n v="2707"/>
    <x v="1"/>
    <n v="59441"/>
    <x v="4"/>
    <x v="131"/>
    <x v="131"/>
    <x v="172"/>
    <x v="172"/>
    <x v="172"/>
    <x v="133"/>
    <s v="NY"/>
    <s v="Albany"/>
    <s v="OH"/>
    <s v="Cincinnati"/>
    <x v="0"/>
    <n v="702844"/>
    <s v="101-300"/>
    <n v="121"/>
    <x v="59"/>
    <x v="139"/>
    <n v="118"/>
    <n v="128.80000000000001"/>
    <x v="0"/>
    <s v="2.11"/>
    <s v="10:00-13:59"/>
    <x v="0"/>
    <x v="0"/>
    <n v="-14"/>
    <n v="0"/>
    <n v="0"/>
    <n v="6.5"/>
    <n v="0"/>
    <n v="0.629"/>
    <n v="0.81299999999999994"/>
    <n v="25554.76"/>
    <x v="2"/>
    <n v="1"/>
    <n v="1"/>
    <n v="0"/>
    <n v="1"/>
    <n v="0"/>
    <n v="1"/>
    <n v="0"/>
    <x v="7"/>
    <x v="36"/>
    <n v="108.47"/>
    <n v="26.08"/>
    <x v="172"/>
    <n v="8.9"/>
    <n v="9.1999999999999993"/>
  </r>
  <r>
    <n v="200105056"/>
    <n v="814825"/>
    <n v="7817881"/>
    <n v="9958"/>
    <x v="1"/>
    <n v="55873"/>
    <x v="8"/>
    <x v="132"/>
    <x v="132"/>
    <x v="173"/>
    <x v="173"/>
    <x v="173"/>
    <x v="134"/>
    <s v="NJ"/>
    <s v="Trenton"/>
    <s v="WA"/>
    <s v="Tacoma"/>
    <x v="2"/>
    <n v="791471"/>
    <s v="0-100"/>
    <n v="70"/>
    <x v="153"/>
    <x v="140"/>
    <n v="70.599999999999994"/>
    <n v="126.8"/>
    <x v="0"/>
    <s v="1.55"/>
    <s v="10:00-13:59"/>
    <x v="4"/>
    <x v="0"/>
    <n v="3"/>
    <n v="0"/>
    <n v="0"/>
    <n v="37.1"/>
    <n v="0"/>
    <n v="0.86499999999999999"/>
    <n v="0.46200000000000002"/>
    <n v="1731.53"/>
    <x v="0"/>
    <n v="1"/>
    <n v="1"/>
    <n v="0"/>
    <n v="1"/>
    <n v="0"/>
    <n v="1"/>
    <n v="0"/>
    <x v="42"/>
    <x v="58"/>
    <n v="113.31"/>
    <n v="24.22"/>
    <x v="173"/>
    <n v="11.6"/>
    <n v="27.5"/>
  </r>
  <r>
    <n v="563723880"/>
    <n v="439902"/>
    <n v="2935113"/>
    <n v="9815"/>
    <x v="6"/>
    <n v="54503"/>
    <x v="10"/>
    <x v="133"/>
    <x v="133"/>
    <x v="174"/>
    <x v="174"/>
    <x v="174"/>
    <x v="135"/>
    <s v="CO"/>
    <s v="Colorado Springs"/>
    <s v="CA"/>
    <s v="Oakland"/>
    <x v="2"/>
    <n v="717088"/>
    <s v="101-300"/>
    <n v="176"/>
    <x v="117"/>
    <x v="141"/>
    <n v="177.5"/>
    <n v="222.9"/>
    <x v="0"/>
    <s v="2.28"/>
    <s v="14:00-17:59"/>
    <x v="1"/>
    <x v="0"/>
    <n v="-43"/>
    <n v="0"/>
    <n v="0"/>
    <n v="34.1"/>
    <n v="0"/>
    <n v="0.68899999999999995"/>
    <n v="0.52400000000000002"/>
    <n v="4353.96"/>
    <x v="0"/>
    <n v="1"/>
    <n v="1"/>
    <n v="0"/>
    <n v="1"/>
    <n v="0"/>
    <n v="1"/>
    <n v="0"/>
    <x v="44"/>
    <x v="8"/>
    <n v="162.57"/>
    <n v="27.01"/>
    <x v="174"/>
    <n v="45.7"/>
    <n v="25.6"/>
  </r>
  <r>
    <n v="203685265"/>
    <n v="847581"/>
    <n v="3919694"/>
    <n v="9050"/>
    <x v="7"/>
    <n v="50897"/>
    <x v="10"/>
    <x v="58"/>
    <x v="58"/>
    <x v="175"/>
    <x v="175"/>
    <x v="175"/>
    <x v="58"/>
    <s v="NC"/>
    <s v="Wilmington"/>
    <s v="TX"/>
    <s v="Houston"/>
    <x v="1"/>
    <n v="797999"/>
    <s v="101-300"/>
    <n v="138"/>
    <x v="154"/>
    <x v="137"/>
    <n v="148.80000000000001"/>
    <n v="201.2"/>
    <x v="0"/>
    <s v="4.91"/>
    <s v="14:00-17:59"/>
    <x v="3"/>
    <x v="0"/>
    <n v="20"/>
    <n v="0"/>
    <n v="0"/>
    <n v="54.8"/>
    <n v="0"/>
    <n v="0.78800000000000003"/>
    <n v="0.59699999999999998"/>
    <n v="18623.14"/>
    <x v="1"/>
    <n v="1"/>
    <n v="0"/>
    <n v="1"/>
    <n v="0"/>
    <n v="1"/>
    <n v="0"/>
    <n v="1"/>
    <x v="59"/>
    <x v="0"/>
    <n v="160.34"/>
    <n v="38.19"/>
    <x v="175"/>
    <n v="12.5"/>
    <n v="23.9"/>
  </r>
  <r>
    <n v="899496315"/>
    <n v="847581"/>
    <n v="3919694"/>
    <n v="9050"/>
    <x v="7"/>
    <n v="50710"/>
    <x v="8"/>
    <x v="134"/>
    <x v="134"/>
    <x v="176"/>
    <x v="176"/>
    <x v="176"/>
    <x v="136"/>
    <s v="FL"/>
    <s v="Fort Lauderdale"/>
    <s v="FL"/>
    <s v="Fort Lauderdale"/>
    <x v="1"/>
    <n v="758654"/>
    <s v="101-300"/>
    <n v="287"/>
    <x v="155"/>
    <x v="29"/>
    <n v="292.3"/>
    <n v="336.7"/>
    <x v="0"/>
    <s v="5.25"/>
    <s v="18:00-23:59"/>
    <x v="1"/>
    <x v="0"/>
    <n v="-39"/>
    <n v="0"/>
    <n v="0"/>
    <n v="36"/>
    <n v="0"/>
    <n v="0.56899999999999995"/>
    <n v="0.78600000000000003"/>
    <n v="92249.1"/>
    <x v="2"/>
    <n v="1"/>
    <n v="1"/>
    <n v="0"/>
    <n v="1"/>
    <n v="0"/>
    <n v="1"/>
    <n v="0"/>
    <x v="14"/>
    <x v="0"/>
    <n v="278.23"/>
    <n v="36.96"/>
    <x v="176"/>
    <n v="12.5"/>
    <n v="24.7"/>
  </r>
  <r>
    <n v="893276164"/>
    <n v="719176"/>
    <n v="2130789"/>
    <n v="6311"/>
    <x v="8"/>
    <n v="53695"/>
    <x v="7"/>
    <x v="65"/>
    <x v="65"/>
    <x v="177"/>
    <x v="177"/>
    <x v="177"/>
    <x v="64"/>
    <s v="AZ"/>
    <s v="Tucson"/>
    <s v="MO"/>
    <s v="Springfield"/>
    <x v="0"/>
    <n v="743829"/>
    <s v="301-500"/>
    <n v="409"/>
    <x v="156"/>
    <x v="142"/>
    <n v="413.1"/>
    <n v="439"/>
    <x v="0"/>
    <s v="8.25"/>
    <s v="00:00-05:59"/>
    <x v="3"/>
    <x v="0"/>
    <n v="18"/>
    <n v="0"/>
    <n v="0.3"/>
    <n v="25.9"/>
    <n v="0"/>
    <n v="0.624"/>
    <n v="0.54100000000000004"/>
    <n v="2983.31"/>
    <x v="0"/>
    <n v="1"/>
    <n v="0"/>
    <n v="1"/>
    <n v="0"/>
    <n v="1"/>
    <n v="0"/>
    <n v="1"/>
    <x v="30"/>
    <x v="31"/>
    <n v="381.69"/>
    <n v="69.92"/>
    <x v="177"/>
    <n v="17"/>
    <n v="51.9"/>
  </r>
  <r>
    <n v="500126515"/>
    <n v="656116"/>
    <n v="9996207"/>
    <n v="5061"/>
    <x v="2"/>
    <n v="52686"/>
    <x v="7"/>
    <x v="135"/>
    <x v="135"/>
    <x v="178"/>
    <x v="178"/>
    <x v="178"/>
    <x v="137"/>
    <s v="NJ"/>
    <s v="Elizabeth"/>
    <s v="AZ"/>
    <s v="Phoenix"/>
    <x v="2"/>
    <n v="741275"/>
    <s v="301-500"/>
    <n v="504"/>
    <x v="157"/>
    <x v="143"/>
    <n v="504.9"/>
    <n v="584.5"/>
    <x v="0"/>
    <s v="10.9"/>
    <s v="14:00-17:59"/>
    <x v="3"/>
    <x v="0"/>
    <n v="-39"/>
    <n v="0"/>
    <n v="0"/>
    <n v="37"/>
    <n v="0"/>
    <n v="0.61799999999999999"/>
    <n v="0.74299999999999999"/>
    <n v="21481.18"/>
    <x v="1"/>
    <n v="1"/>
    <n v="1"/>
    <n v="0"/>
    <n v="1"/>
    <n v="0"/>
    <n v="1"/>
    <n v="0"/>
    <x v="33"/>
    <x v="50"/>
    <n v="397.11"/>
    <n v="84.46"/>
    <x v="178"/>
    <n v="0.1"/>
    <n v="9.6999999999999993"/>
  </r>
  <r>
    <n v="971630639"/>
    <n v="892495"/>
    <n v="5394880"/>
    <n v="2291"/>
    <x v="6"/>
    <n v="57188"/>
    <x v="5"/>
    <x v="115"/>
    <x v="114"/>
    <x v="179"/>
    <x v="179"/>
    <x v="179"/>
    <x v="35"/>
    <s v="AZ"/>
    <s v="Flagstaff"/>
    <s v="WA"/>
    <s v="Tacoma"/>
    <x v="2"/>
    <n v="788294"/>
    <s v="101-300"/>
    <n v="278"/>
    <x v="42"/>
    <x v="144"/>
    <n v="273"/>
    <n v="335.6"/>
    <x v="1"/>
    <s v="4.77"/>
    <s v="18:00-23:59"/>
    <x v="6"/>
    <x v="0"/>
    <n v="-19"/>
    <n v="0"/>
    <n v="0"/>
    <n v="34.200000000000003"/>
    <n v="0"/>
    <n v="0.81599999999999995"/>
    <n v="0.45600000000000002"/>
    <n v="13108.83"/>
    <x v="1"/>
    <n v="1"/>
    <n v="1"/>
    <n v="0"/>
    <n v="1"/>
    <n v="0"/>
    <n v="1"/>
    <n v="0"/>
    <x v="14"/>
    <x v="35"/>
    <n v="265.45999999999998"/>
    <n v="70.02"/>
    <x v="179"/>
    <n v="8.6"/>
    <n v="33.6"/>
  </r>
  <r>
    <n v="239710404"/>
    <n v="214975"/>
    <n v="8412769"/>
    <n v="8554"/>
    <x v="1"/>
    <n v="55778"/>
    <x v="7"/>
    <x v="88"/>
    <x v="88"/>
    <x v="180"/>
    <x v="180"/>
    <x v="180"/>
    <x v="87"/>
    <s v="WA"/>
    <s v="Spokane"/>
    <s v="FL"/>
    <s v="Miami"/>
    <x v="1"/>
    <n v="799881"/>
    <s v="0-100"/>
    <n v="82"/>
    <x v="130"/>
    <x v="16"/>
    <n v="83.5"/>
    <n v="126.2"/>
    <x v="2"/>
    <s v="1.57"/>
    <s v="14:00-17:59"/>
    <x v="1"/>
    <x v="0"/>
    <n v="-22"/>
    <n v="73"/>
    <n v="0"/>
    <n v="48.2"/>
    <n v="0"/>
    <n v="0.66400000000000003"/>
    <n v="0.69699999999999995"/>
    <n v="8176.9"/>
    <x v="0"/>
    <n v="1"/>
    <n v="1"/>
    <n v="0"/>
    <n v="1"/>
    <n v="0"/>
    <n v="1"/>
    <n v="0"/>
    <x v="31"/>
    <x v="15"/>
    <n v="106.27"/>
    <n v="15.04"/>
    <x v="180"/>
    <n v="18.2"/>
    <n v="38.4"/>
  </r>
  <r>
    <n v="697398528"/>
    <n v="781453"/>
    <n v="7829332"/>
    <n v="3734"/>
    <x v="4"/>
    <n v="57768"/>
    <x v="13"/>
    <x v="12"/>
    <x v="12"/>
    <x v="181"/>
    <x v="181"/>
    <x v="181"/>
    <x v="138"/>
    <s v="GA"/>
    <s v="Savannah"/>
    <s v="CA"/>
    <s v="San Diego"/>
    <x v="2"/>
    <n v="717677"/>
    <s v="301-500"/>
    <n v="291"/>
    <x v="3"/>
    <x v="145"/>
    <n v="304.10000000000002"/>
    <n v="331.2"/>
    <x v="0"/>
    <s v="6.13"/>
    <s v="06:00-09:59"/>
    <x v="1"/>
    <x v="0"/>
    <n v="-48"/>
    <n v="0"/>
    <n v="0"/>
    <n v="44.1"/>
    <n v="0"/>
    <n v="0.77700000000000002"/>
    <n v="0.58799999999999997"/>
    <n v="5574.21"/>
    <x v="0"/>
    <n v="1"/>
    <n v="1"/>
    <n v="0"/>
    <n v="1"/>
    <n v="0"/>
    <n v="1"/>
    <n v="0"/>
    <x v="17"/>
    <x v="58"/>
    <n v="225.13"/>
    <n v="64.47"/>
    <x v="181"/>
    <n v="25.9"/>
    <n v="84.9"/>
  </r>
  <r>
    <n v="164404084"/>
    <n v="930555"/>
    <n v="2262382"/>
    <n v="1698"/>
    <x v="0"/>
    <n v="55013"/>
    <x v="9"/>
    <x v="136"/>
    <x v="136"/>
    <x v="182"/>
    <x v="182"/>
    <x v="182"/>
    <x v="139"/>
    <s v="MO"/>
    <s v="Columbia"/>
    <s v="IL"/>
    <s v="Rockford"/>
    <x v="0"/>
    <n v="763035"/>
    <s v="101-300"/>
    <n v="196"/>
    <x v="158"/>
    <x v="146"/>
    <n v="199.1"/>
    <n v="289"/>
    <x v="2"/>
    <s v="3.9"/>
    <s v="06:00-09:59"/>
    <x v="4"/>
    <x v="0"/>
    <n v="-3"/>
    <n v="0"/>
    <n v="0"/>
    <n v="56"/>
    <n v="0"/>
    <n v="0.82199999999999995"/>
    <n v="0.76600000000000001"/>
    <n v="3952.52"/>
    <x v="0"/>
    <n v="1"/>
    <n v="1"/>
    <n v="0"/>
    <n v="1"/>
    <n v="0"/>
    <n v="1"/>
    <n v="0"/>
    <x v="51"/>
    <x v="67"/>
    <n v="220.14"/>
    <n v="30.58"/>
    <x v="182"/>
    <n v="25.4"/>
    <n v="36.200000000000003"/>
  </r>
  <r>
    <n v="729712082"/>
    <n v="518373"/>
    <n v="7812810"/>
    <n v="2045"/>
    <x v="4"/>
    <n v="54512"/>
    <x v="1"/>
    <x v="137"/>
    <x v="137"/>
    <x v="183"/>
    <x v="183"/>
    <x v="183"/>
    <x v="140"/>
    <s v="NJ"/>
    <s v="Paterson"/>
    <s v="MI"/>
    <s v="Lansing"/>
    <x v="0"/>
    <n v="773308"/>
    <s v="101-300"/>
    <n v="147"/>
    <x v="159"/>
    <x v="147"/>
    <n v="143.69999999999999"/>
    <n v="200"/>
    <x v="0"/>
    <s v="4.7"/>
    <s v="00:00-05:59"/>
    <x v="6"/>
    <x v="0"/>
    <n v="-2"/>
    <n v="0"/>
    <n v="0"/>
    <n v="47.9"/>
    <n v="0"/>
    <n v="0.84299999999999997"/>
    <n v="0.45100000000000001"/>
    <n v="1637.24"/>
    <x v="0"/>
    <n v="1"/>
    <n v="1"/>
    <n v="0"/>
    <n v="1"/>
    <n v="0"/>
    <n v="1"/>
    <n v="0"/>
    <x v="56"/>
    <x v="22"/>
    <n v="151.86000000000001"/>
    <n v="36.840000000000003"/>
    <x v="183"/>
    <n v="21.7"/>
    <n v="16.600000000000001"/>
  </r>
  <r>
    <n v="702998820"/>
    <n v="903035"/>
    <n v="7110622"/>
    <n v="3200"/>
    <x v="2"/>
    <n v="50415"/>
    <x v="10"/>
    <x v="119"/>
    <x v="118"/>
    <x v="184"/>
    <x v="184"/>
    <x v="184"/>
    <x v="141"/>
    <s v="IL"/>
    <s v="Peoria"/>
    <s v="IL"/>
    <s v="Springfield"/>
    <x v="0"/>
    <n v="725966"/>
    <s v="301-500"/>
    <n v="499"/>
    <x v="160"/>
    <x v="148"/>
    <n v="496.5"/>
    <n v="510"/>
    <x v="2"/>
    <s v="11.08"/>
    <s v="14:00-17:59"/>
    <x v="6"/>
    <x v="0"/>
    <n v="-4"/>
    <n v="57"/>
    <n v="0"/>
    <n v="66.3"/>
    <n v="0"/>
    <n v="0.77500000000000002"/>
    <n v="0.56899999999999995"/>
    <n v="9468.9500000000007"/>
    <x v="1"/>
    <n v="1"/>
    <n v="1"/>
    <n v="0"/>
    <n v="1"/>
    <n v="0"/>
    <n v="1"/>
    <n v="0"/>
    <x v="6"/>
    <x v="35"/>
    <n v="444.62"/>
    <n v="68.98"/>
    <x v="184"/>
    <n v="26.8"/>
    <n v="5.3"/>
  </r>
  <r>
    <n v="703102938"/>
    <n v="765822"/>
    <n v="8033426"/>
    <n v="9110"/>
    <x v="5"/>
    <n v="59663"/>
    <x v="8"/>
    <x v="138"/>
    <x v="138"/>
    <x v="185"/>
    <x v="185"/>
    <x v="185"/>
    <x v="142"/>
    <s v="OH"/>
    <s v="Dayton"/>
    <s v="AZ"/>
    <s v="Mesa"/>
    <x v="2"/>
    <n v="759297"/>
    <s v="101-300"/>
    <n v="142"/>
    <x v="161"/>
    <x v="149"/>
    <n v="150.5"/>
    <n v="186.2"/>
    <x v="0"/>
    <s v="3.23"/>
    <s v="14:00-17:59"/>
    <x v="5"/>
    <x v="0"/>
    <n v="-23"/>
    <n v="0"/>
    <n v="0"/>
    <n v="39.9"/>
    <n v="0"/>
    <n v="0.53100000000000003"/>
    <n v="0.50700000000000001"/>
    <n v="3563.67"/>
    <x v="0"/>
    <n v="1"/>
    <n v="1"/>
    <n v="0"/>
    <n v="1"/>
    <n v="0"/>
    <n v="1"/>
    <n v="0"/>
    <x v="18"/>
    <x v="38"/>
    <n v="158.86000000000001"/>
    <n v="40.43"/>
    <x v="185"/>
    <n v="9.5"/>
    <n v="32.4"/>
  </r>
  <r>
    <n v="453954673"/>
    <n v="246316"/>
    <n v="1352896"/>
    <n v="5426"/>
    <x v="7"/>
    <n v="54180"/>
    <x v="5"/>
    <x v="7"/>
    <x v="7"/>
    <x v="186"/>
    <x v="186"/>
    <x v="186"/>
    <x v="3"/>
    <s v="MI"/>
    <s v="Lansing"/>
    <s v="PA"/>
    <s v="Pittsburgh"/>
    <x v="3"/>
    <n v="763944"/>
    <s v="501-1000"/>
    <n v="643"/>
    <x v="145"/>
    <x v="150"/>
    <n v="639.79999999999995"/>
    <n v="686.8"/>
    <x v="0"/>
    <s v="12.37"/>
    <s v="18:00-23:59"/>
    <x v="1"/>
    <x v="0"/>
    <n v="-33"/>
    <n v="117"/>
    <n v="0"/>
    <n v="71.2"/>
    <n v="0"/>
    <n v="0.72"/>
    <n v="0.63800000000000001"/>
    <n v="96794.38"/>
    <x v="2"/>
    <n v="1"/>
    <n v="1"/>
    <n v="0"/>
    <n v="1"/>
    <n v="0"/>
    <n v="1"/>
    <n v="0"/>
    <x v="41"/>
    <x v="16"/>
    <n v="473.6"/>
    <n v="124.04"/>
    <x v="186"/>
    <n v="28.1"/>
    <n v="5.5"/>
  </r>
  <r>
    <n v="819421270"/>
    <n v="766563"/>
    <n v="9910817"/>
    <n v="1391"/>
    <x v="7"/>
    <n v="54262"/>
    <x v="9"/>
    <x v="139"/>
    <x v="139"/>
    <x v="187"/>
    <x v="187"/>
    <x v="187"/>
    <x v="143"/>
    <s v="CA"/>
    <s v="Fresno"/>
    <s v="PA"/>
    <s v="Pittsburgh"/>
    <x v="3"/>
    <n v="751815"/>
    <s v="0-100"/>
    <n v="66"/>
    <x v="162"/>
    <x v="111"/>
    <n v="64.8"/>
    <n v="88"/>
    <x v="1"/>
    <s v="1.6"/>
    <s v="10:00-13:59"/>
    <x v="1"/>
    <x v="0"/>
    <n v="6"/>
    <n v="0"/>
    <n v="0"/>
    <n v="65.7"/>
    <n v="0"/>
    <n v="0.72399999999999998"/>
    <n v="0.623"/>
    <n v="1715.45"/>
    <x v="0"/>
    <n v="1"/>
    <n v="1"/>
    <n v="0"/>
    <n v="1"/>
    <n v="0"/>
    <n v="1"/>
    <n v="0"/>
    <x v="3"/>
    <x v="50"/>
    <n v="60.71"/>
    <n v="12.06"/>
    <x v="187"/>
    <n v="10"/>
    <n v="23.1"/>
  </r>
  <r>
    <n v="231244840"/>
    <n v="728038"/>
    <n v="1463060"/>
    <n v="7287"/>
    <x v="0"/>
    <n v="52515"/>
    <x v="13"/>
    <x v="140"/>
    <x v="140"/>
    <x v="188"/>
    <x v="188"/>
    <x v="188"/>
    <x v="144"/>
    <s v="WA"/>
    <s v="Everett"/>
    <s v="NC"/>
    <s v="Charlotte"/>
    <x v="1"/>
    <n v="785491"/>
    <s v="301-500"/>
    <n v="350"/>
    <x v="163"/>
    <x v="151"/>
    <n v="343.1"/>
    <n v="389.2"/>
    <x v="0"/>
    <s v="5.28"/>
    <s v="06:00-09:59"/>
    <x v="1"/>
    <x v="0"/>
    <n v="-13"/>
    <n v="0"/>
    <n v="0"/>
    <n v="42.7"/>
    <n v="0"/>
    <n v="0.72399999999999998"/>
    <n v="0.47799999999999998"/>
    <n v="2454.6999999999998"/>
    <x v="0"/>
    <n v="1"/>
    <n v="1"/>
    <n v="0"/>
    <n v="1"/>
    <n v="0"/>
    <n v="1"/>
    <n v="0"/>
    <x v="6"/>
    <x v="39"/>
    <n v="325.76"/>
    <n v="49.92"/>
    <x v="188"/>
    <n v="13.6"/>
    <n v="26.8"/>
  </r>
  <r>
    <n v="541102414"/>
    <n v="680099"/>
    <n v="7003042"/>
    <n v="6535"/>
    <x v="3"/>
    <n v="59287"/>
    <x v="7"/>
    <x v="130"/>
    <x v="130"/>
    <x v="189"/>
    <x v="189"/>
    <x v="189"/>
    <x v="132"/>
    <s v="AZ"/>
    <s v="Flagstaff"/>
    <s v="IL"/>
    <s v="Springfield"/>
    <x v="0"/>
    <n v="739948"/>
    <s v="0-100"/>
    <n v="38"/>
    <x v="164"/>
    <x v="152"/>
    <n v="36.299999999999997"/>
    <n v="82.2"/>
    <x v="2"/>
    <s v="0.92"/>
    <s v="14:00-17:59"/>
    <x v="3"/>
    <x v="0"/>
    <n v="-35"/>
    <n v="0"/>
    <n v="0"/>
    <n v="60.4"/>
    <n v="0"/>
    <n v="0.59099999999999997"/>
    <n v="0.91600000000000004"/>
    <n v="5487.81"/>
    <x v="0"/>
    <n v="1"/>
    <n v="1"/>
    <n v="0"/>
    <n v="1"/>
    <n v="0"/>
    <n v="1"/>
    <n v="0"/>
    <x v="41"/>
    <x v="76"/>
    <n v="69.2"/>
    <n v="14.53"/>
    <x v="189"/>
    <n v="28.3"/>
    <n v="34.799999999999997"/>
  </r>
  <r>
    <n v="479673044"/>
    <n v="584714"/>
    <n v="5004485"/>
    <n v="7938"/>
    <x v="1"/>
    <n v="59001"/>
    <x v="4"/>
    <x v="141"/>
    <x v="141"/>
    <x v="190"/>
    <x v="190"/>
    <x v="190"/>
    <x v="145"/>
    <s v="CA"/>
    <s v="San Diego"/>
    <s v="OH"/>
    <s v="Columbus"/>
    <x v="0"/>
    <n v="752047"/>
    <s v="501-1000"/>
    <n v="821"/>
    <x v="165"/>
    <x v="32"/>
    <n v="823.8"/>
    <n v="872.4"/>
    <x v="0"/>
    <s v="12.66"/>
    <s v="14:00-17:59"/>
    <x v="1"/>
    <x v="0"/>
    <n v="-13"/>
    <n v="0"/>
    <n v="0"/>
    <n v="33.6"/>
    <n v="0"/>
    <n v="0.54"/>
    <n v="0.84499999999999997"/>
    <n v="67165.09"/>
    <x v="2"/>
    <n v="1"/>
    <n v="1"/>
    <n v="0"/>
    <n v="1"/>
    <n v="0"/>
    <n v="1"/>
    <n v="0"/>
    <x v="73"/>
    <x v="9"/>
    <n v="587.71"/>
    <n v="115.79"/>
    <x v="190"/>
    <n v="0.2"/>
    <n v="47.8"/>
  </r>
  <r>
    <n v="814403943"/>
    <n v="876646"/>
    <n v="2191066"/>
    <n v="1769"/>
    <x v="1"/>
    <n v="55640"/>
    <x v="10"/>
    <x v="142"/>
    <x v="142"/>
    <x v="191"/>
    <x v="191"/>
    <x v="191"/>
    <x v="146"/>
    <s v="TX"/>
    <s v="El Paso"/>
    <s v="CO"/>
    <s v="Colorado Springs"/>
    <x v="2"/>
    <n v="718141"/>
    <s v="0-100"/>
    <n v="28"/>
    <x v="166"/>
    <x v="153"/>
    <n v="26.2"/>
    <n v="82.4"/>
    <x v="4"/>
    <s v="0.72"/>
    <s v="18:00-23:59"/>
    <x v="0"/>
    <x v="0"/>
    <n v="-55"/>
    <n v="0"/>
    <n v="0"/>
    <n v="70.3"/>
    <n v="0"/>
    <n v="0.50900000000000001"/>
    <n v="0.58499999999999996"/>
    <n v="3940.11"/>
    <x v="0"/>
    <n v="1"/>
    <n v="1"/>
    <n v="0"/>
    <n v="1"/>
    <n v="0"/>
    <n v="1"/>
    <n v="0"/>
    <x v="45"/>
    <x v="69"/>
    <n v="61.25"/>
    <n v="10.09"/>
    <x v="191"/>
    <n v="17.2"/>
    <n v="14.1"/>
  </r>
  <r>
    <n v="905611583"/>
    <n v="779514"/>
    <n v="5130808"/>
    <n v="3731"/>
    <x v="4"/>
    <n v="56616"/>
    <x v="2"/>
    <x v="52"/>
    <x v="52"/>
    <x v="192"/>
    <x v="192"/>
    <x v="192"/>
    <x v="52"/>
    <s v="AZ"/>
    <s v="Mesa"/>
    <s v="OH"/>
    <s v="Cincinnati"/>
    <x v="0"/>
    <n v="774885"/>
    <s v="0-100"/>
    <n v="25"/>
    <x v="167"/>
    <x v="154"/>
    <n v="25.1"/>
    <n v="79.3"/>
    <x v="0"/>
    <s v="1.23"/>
    <s v="14:00-17:59"/>
    <x v="1"/>
    <x v="0"/>
    <n v="-16"/>
    <n v="0"/>
    <n v="0"/>
    <n v="34"/>
    <n v="0"/>
    <n v="0.86199999999999999"/>
    <n v="0.34499999999999997"/>
    <n v="16821.88"/>
    <x v="1"/>
    <n v="1"/>
    <n v="1"/>
    <n v="0"/>
    <n v="1"/>
    <n v="0"/>
    <n v="1"/>
    <n v="0"/>
    <x v="22"/>
    <x v="0"/>
    <n v="68.81"/>
    <n v="14.09"/>
    <x v="192"/>
    <n v="38.9"/>
    <n v="69.5"/>
  </r>
  <r>
    <n v="554124989"/>
    <n v="817870"/>
    <n v="2217071"/>
    <n v="2484"/>
    <x v="1"/>
    <n v="50992"/>
    <x v="7"/>
    <x v="143"/>
    <x v="143"/>
    <x v="193"/>
    <x v="193"/>
    <x v="193"/>
    <x v="147"/>
    <s v="OH"/>
    <s v="Toledo"/>
    <s v="OH"/>
    <s v="Columbus"/>
    <x v="0"/>
    <n v="797593"/>
    <s v="101-300"/>
    <n v="185"/>
    <x v="168"/>
    <x v="155"/>
    <n v="178.1"/>
    <n v="234.7"/>
    <x v="0"/>
    <s v="3.87"/>
    <s v="10:00-13:59"/>
    <x v="6"/>
    <x v="0"/>
    <n v="-4"/>
    <n v="0"/>
    <n v="0"/>
    <n v="23.9"/>
    <n v="0"/>
    <n v="0.91300000000000003"/>
    <n v="0.59699999999999998"/>
    <n v="2779.61"/>
    <x v="0"/>
    <n v="1"/>
    <n v="1"/>
    <n v="0"/>
    <n v="1"/>
    <n v="0"/>
    <n v="1"/>
    <n v="0"/>
    <x v="52"/>
    <x v="46"/>
    <n v="151.11000000000001"/>
    <n v="43.87"/>
    <x v="193"/>
    <n v="9.4"/>
    <n v="29.8"/>
  </r>
  <r>
    <n v="874233009"/>
    <n v="903035"/>
    <n v="7110622"/>
    <n v="3200"/>
    <x v="2"/>
    <n v="59473"/>
    <x v="6"/>
    <x v="144"/>
    <x v="144"/>
    <x v="194"/>
    <x v="194"/>
    <x v="194"/>
    <x v="148"/>
    <s v="WA"/>
    <s v="Seattle"/>
    <s v="TN"/>
    <s v="Knoxville"/>
    <x v="1"/>
    <n v="715799"/>
    <s v="101-300"/>
    <n v="259"/>
    <x v="169"/>
    <x v="144"/>
    <n v="255.7"/>
    <n v="287.3"/>
    <x v="2"/>
    <s v="4.48"/>
    <s v="14:00-17:59"/>
    <x v="5"/>
    <x v="0"/>
    <n v="-22"/>
    <n v="0"/>
    <n v="0"/>
    <n v="22.5"/>
    <n v="0"/>
    <n v="0.80800000000000005"/>
    <n v="0.69699999999999995"/>
    <n v="6486.44"/>
    <x v="0"/>
    <n v="1"/>
    <n v="1"/>
    <n v="0"/>
    <n v="1"/>
    <n v="0"/>
    <n v="1"/>
    <n v="0"/>
    <x v="48"/>
    <x v="16"/>
    <n v="210.35"/>
    <n v="36.94"/>
    <x v="194"/>
    <n v="26.8"/>
    <n v="17.600000000000001"/>
  </r>
  <r>
    <n v="155239803"/>
    <n v="634277"/>
    <n v="1059486"/>
    <n v="6232"/>
    <x v="4"/>
    <n v="54370"/>
    <x v="11"/>
    <x v="145"/>
    <x v="145"/>
    <x v="195"/>
    <x v="195"/>
    <x v="195"/>
    <x v="149"/>
    <s v="FL"/>
    <s v="Tampa"/>
    <s v="FL"/>
    <s v="Fort Lauderdale"/>
    <x v="1"/>
    <n v="758654"/>
    <s v="101-300"/>
    <n v="224"/>
    <x v="135"/>
    <x v="10"/>
    <n v="236.8"/>
    <n v="244.3"/>
    <x v="0"/>
    <s v="4.72"/>
    <s v="14:00-17:59"/>
    <x v="3"/>
    <x v="0"/>
    <n v="-2"/>
    <n v="0"/>
    <n v="0"/>
    <n v="49.6"/>
    <n v="0"/>
    <n v="0.82499999999999996"/>
    <n v="0.46700000000000003"/>
    <n v="4454.8999999999996"/>
    <x v="0"/>
    <n v="1"/>
    <n v="1"/>
    <n v="0"/>
    <n v="1"/>
    <n v="0"/>
    <n v="1"/>
    <n v="0"/>
    <x v="37"/>
    <x v="37"/>
    <n v="198.7"/>
    <n v="40.14"/>
    <x v="195"/>
    <n v="4.7"/>
    <n v="42"/>
  </r>
  <r>
    <n v="408839723"/>
    <n v="301629"/>
    <n v="8633773"/>
    <n v="7331"/>
    <x v="1"/>
    <n v="51773"/>
    <x v="2"/>
    <x v="105"/>
    <x v="129"/>
    <x v="196"/>
    <x v="196"/>
    <x v="196"/>
    <x v="150"/>
    <s v="MO"/>
    <s v="Springfield"/>
    <s v="CO"/>
    <s v="Aurora"/>
    <x v="2"/>
    <n v="712358"/>
    <s v="101-300"/>
    <n v="195"/>
    <x v="170"/>
    <x v="5"/>
    <n v="194.2"/>
    <n v="244.5"/>
    <x v="3"/>
    <s v="5.24"/>
    <s v="10:00-13:59"/>
    <x v="1"/>
    <x v="0"/>
    <n v="0"/>
    <n v="0"/>
    <n v="0"/>
    <n v="37.799999999999997"/>
    <n v="0"/>
    <n v="0.84499999999999997"/>
    <n v="0.877"/>
    <n v="4375.28"/>
    <x v="0"/>
    <n v="1"/>
    <n v="1"/>
    <n v="0"/>
    <n v="1"/>
    <n v="0"/>
    <n v="1"/>
    <n v="0"/>
    <x v="67"/>
    <x v="14"/>
    <n v="208.15"/>
    <n v="43.92"/>
    <x v="196"/>
    <n v="63.5"/>
    <n v="3.4"/>
  </r>
  <r>
    <n v="744685429"/>
    <n v="321231"/>
    <n v="3646552"/>
    <n v="5636"/>
    <x v="1"/>
    <n v="53561"/>
    <x v="1"/>
    <x v="146"/>
    <x v="146"/>
    <x v="197"/>
    <x v="197"/>
    <x v="197"/>
    <x v="151"/>
    <s v="IL"/>
    <s v="Chicago"/>
    <s v="AZ"/>
    <s v="Tucson"/>
    <x v="2"/>
    <n v="775527"/>
    <s v="101-300"/>
    <n v="226"/>
    <x v="171"/>
    <x v="156"/>
    <n v="228.2"/>
    <n v="315.10000000000002"/>
    <x v="0"/>
    <s v="3.67"/>
    <s v="06:00-09:59"/>
    <x v="5"/>
    <x v="0"/>
    <n v="-12"/>
    <n v="0"/>
    <n v="0"/>
    <n v="51.3"/>
    <n v="0"/>
    <n v="0.80200000000000005"/>
    <n v="0.627"/>
    <n v="1577.31"/>
    <x v="0"/>
    <n v="1"/>
    <n v="1"/>
    <n v="0"/>
    <n v="1"/>
    <n v="0"/>
    <n v="1"/>
    <n v="0"/>
    <x v="24"/>
    <x v="68"/>
    <n v="257.06"/>
    <n v="67.13"/>
    <x v="197"/>
    <n v="37.799999999999997"/>
    <n v="4.9000000000000004"/>
  </r>
  <r>
    <n v="435489452"/>
    <n v="719176"/>
    <n v="2130789"/>
    <n v="6311"/>
    <x v="8"/>
    <n v="53816"/>
    <x v="10"/>
    <x v="147"/>
    <x v="147"/>
    <x v="198"/>
    <x v="198"/>
    <x v="198"/>
    <x v="152"/>
    <s v="FL"/>
    <s v="Jacksonville"/>
    <s v="FL"/>
    <s v="Jacksonville"/>
    <x v="1"/>
    <n v="758654"/>
    <s v="0-100"/>
    <n v="52"/>
    <x v="106"/>
    <x v="67"/>
    <n v="47.2"/>
    <n v="92.7"/>
    <x v="0"/>
    <s v="1.9"/>
    <s v="06:00-09:59"/>
    <x v="5"/>
    <x v="0"/>
    <n v="21"/>
    <n v="0"/>
    <n v="0"/>
    <n v="28.2"/>
    <n v="0"/>
    <n v="0.52200000000000002"/>
    <n v="0.48099999999999998"/>
    <n v="13587.77"/>
    <x v="1"/>
    <n v="1"/>
    <n v="0"/>
    <n v="1"/>
    <n v="0"/>
    <n v="1"/>
    <n v="0"/>
    <n v="1"/>
    <x v="42"/>
    <x v="18"/>
    <n v="68.53"/>
    <n v="18.21"/>
    <x v="198"/>
    <n v="17"/>
    <n v="44.2"/>
  </r>
  <r>
    <n v="477577220"/>
    <n v="310922"/>
    <n v="7361002"/>
    <n v="5555"/>
    <x v="4"/>
    <n v="56633"/>
    <x v="3"/>
    <x v="148"/>
    <x v="148"/>
    <x v="199"/>
    <x v="199"/>
    <x v="199"/>
    <x v="153"/>
    <s v="NY"/>
    <s v="Albany"/>
    <s v="TN"/>
    <s v="Knoxville"/>
    <x v="1"/>
    <n v="725703"/>
    <s v="101-300"/>
    <n v="306"/>
    <x v="172"/>
    <x v="157"/>
    <n v="306.3"/>
    <n v="345.6"/>
    <x v="0"/>
    <s v="8.61"/>
    <s v="00:00-05:59"/>
    <x v="6"/>
    <x v="0"/>
    <n v="12"/>
    <n v="52"/>
    <n v="0"/>
    <n v="56.8"/>
    <n v="0"/>
    <n v="0.48799999999999999"/>
    <n v="0.82399999999999995"/>
    <n v="3801.3"/>
    <x v="0"/>
    <n v="1"/>
    <n v="1"/>
    <n v="0"/>
    <n v="1"/>
    <n v="0"/>
    <n v="1"/>
    <n v="0"/>
    <x v="74"/>
    <x v="4"/>
    <n v="317.12"/>
    <n v="52.01"/>
    <x v="199"/>
    <n v="31.6"/>
    <n v="59.6"/>
  </r>
  <r>
    <n v="211240259"/>
    <n v="391476"/>
    <n v="8999183"/>
    <n v="6618"/>
    <x v="2"/>
    <n v="51756"/>
    <x v="13"/>
    <x v="149"/>
    <x v="149"/>
    <x v="200"/>
    <x v="200"/>
    <x v="200"/>
    <x v="154"/>
    <s v="TX"/>
    <s v="San Antonio"/>
    <s v="GA"/>
    <s v="Atlanta"/>
    <x v="1"/>
    <n v="729083"/>
    <s v="301-500"/>
    <n v="302"/>
    <x v="119"/>
    <x v="123"/>
    <n v="300.39999999999998"/>
    <n v="362.6"/>
    <x v="2"/>
    <s v="5.85"/>
    <s v="14:00-17:59"/>
    <x v="2"/>
    <x v="0"/>
    <n v="-4"/>
    <n v="0"/>
    <n v="0"/>
    <n v="51.3"/>
    <n v="0"/>
    <n v="0.85699999999999998"/>
    <n v="0.71199999999999997"/>
    <n v="2628.82"/>
    <x v="0"/>
    <n v="1"/>
    <n v="1"/>
    <n v="0"/>
    <n v="1"/>
    <n v="0"/>
    <n v="1"/>
    <n v="0"/>
    <x v="12"/>
    <x v="15"/>
    <n v="229.33"/>
    <n v="73"/>
    <x v="200"/>
    <n v="51.7"/>
    <n v="46.5"/>
  </r>
  <r>
    <n v="720535283"/>
    <n v="440035"/>
    <n v="1156287"/>
    <n v="8858"/>
    <x v="0"/>
    <n v="52373"/>
    <x v="1"/>
    <x v="38"/>
    <x v="38"/>
    <x v="201"/>
    <x v="201"/>
    <x v="201"/>
    <x v="37"/>
    <s v="IL"/>
    <s v="Chicago"/>
    <s v="IL"/>
    <s v="Springfield"/>
    <x v="0"/>
    <n v="725966"/>
    <s v="301-500"/>
    <n v="444"/>
    <x v="173"/>
    <x v="74"/>
    <n v="450.6"/>
    <n v="513.9"/>
    <x v="0"/>
    <s v="10.43"/>
    <s v="06:00-09:59"/>
    <x v="5"/>
    <x v="0"/>
    <n v="-10"/>
    <n v="0"/>
    <n v="0"/>
    <n v="39.799999999999997"/>
    <n v="0"/>
    <n v="0.67"/>
    <n v="0.85399999999999998"/>
    <n v="4744.55"/>
    <x v="0"/>
    <n v="1"/>
    <n v="1"/>
    <n v="0"/>
    <n v="1"/>
    <n v="0"/>
    <n v="1"/>
    <n v="0"/>
    <x v="45"/>
    <x v="69"/>
    <n v="394.89"/>
    <n v="78.63"/>
    <x v="201"/>
    <n v="8.3000000000000007"/>
    <n v="38.5"/>
  </r>
  <r>
    <n v="644830077"/>
    <n v="391476"/>
    <n v="8999183"/>
    <n v="6618"/>
    <x v="2"/>
    <n v="52576"/>
    <x v="7"/>
    <x v="113"/>
    <x v="112"/>
    <x v="202"/>
    <x v="202"/>
    <x v="202"/>
    <x v="129"/>
    <s v="NC"/>
    <s v="Wilmington"/>
    <s v="WA"/>
    <s v="Tacoma"/>
    <x v="2"/>
    <n v="773553"/>
    <s v="301-500"/>
    <n v="494"/>
    <x v="174"/>
    <x v="158"/>
    <n v="500.3"/>
    <n v="564.6"/>
    <x v="2"/>
    <s v="8.79"/>
    <s v="06:00-09:59"/>
    <x v="0"/>
    <x v="0"/>
    <n v="-24"/>
    <n v="0"/>
    <n v="0"/>
    <n v="59.2"/>
    <n v="0"/>
    <n v="0.84599999999999997"/>
    <n v="0.30199999999999999"/>
    <n v="2456.19"/>
    <x v="0"/>
    <n v="1"/>
    <n v="1"/>
    <n v="0"/>
    <n v="1"/>
    <n v="0"/>
    <n v="1"/>
    <n v="0"/>
    <x v="75"/>
    <x v="62"/>
    <n v="436.45"/>
    <n v="65.28"/>
    <x v="202"/>
    <n v="51.7"/>
    <n v="38.4"/>
  </r>
  <r>
    <n v="328426553"/>
    <n v="724834"/>
    <n v="1701771"/>
    <n v="6249"/>
    <x v="6"/>
    <n v="59083"/>
    <x v="6"/>
    <x v="150"/>
    <x v="150"/>
    <x v="203"/>
    <x v="203"/>
    <x v="203"/>
    <x v="155"/>
    <s v="AZ"/>
    <s v="Tempe"/>
    <s v="TX"/>
    <s v="Dallas"/>
    <x v="1"/>
    <n v="780739"/>
    <s v="301-500"/>
    <n v="474"/>
    <x v="72"/>
    <x v="159"/>
    <n v="481"/>
    <n v="523.29999999999995"/>
    <x v="2"/>
    <s v="7.77"/>
    <s v="06:00-09:59"/>
    <x v="2"/>
    <x v="0"/>
    <n v="-32"/>
    <n v="0"/>
    <n v="0"/>
    <n v="58.4"/>
    <n v="0"/>
    <n v="0.58099999999999996"/>
    <n v="0.53600000000000003"/>
    <n v="10513.05"/>
    <x v="1"/>
    <n v="1"/>
    <n v="1"/>
    <n v="0"/>
    <n v="1"/>
    <n v="0"/>
    <n v="1"/>
    <n v="0"/>
    <x v="33"/>
    <x v="38"/>
    <n v="362.09"/>
    <n v="73.75"/>
    <x v="203"/>
    <n v="4.4000000000000004"/>
    <n v="5.3"/>
  </r>
  <r>
    <n v="266140258"/>
    <n v="813536"/>
    <n v="3500715"/>
    <n v="5737"/>
    <x v="0"/>
    <n v="54184"/>
    <x v="9"/>
    <x v="94"/>
    <x v="94"/>
    <x v="204"/>
    <x v="204"/>
    <x v="204"/>
    <x v="93"/>
    <s v="TN"/>
    <s v="Knoxville"/>
    <s v="CA"/>
    <s v="Oakland"/>
    <x v="2"/>
    <n v="796425"/>
    <s v="101-300"/>
    <n v="144"/>
    <x v="85"/>
    <x v="160"/>
    <n v="144.5"/>
    <n v="197.6"/>
    <x v="2"/>
    <s v="4.0"/>
    <s v="10:00-13:59"/>
    <x v="2"/>
    <x v="0"/>
    <n v="0"/>
    <n v="0"/>
    <n v="0"/>
    <n v="49.7"/>
    <n v="0"/>
    <n v="0.91100000000000003"/>
    <n v="0.80300000000000005"/>
    <n v="3338.11"/>
    <x v="0"/>
    <n v="1"/>
    <n v="1"/>
    <n v="0"/>
    <n v="1"/>
    <n v="0"/>
    <n v="1"/>
    <n v="0"/>
    <x v="35"/>
    <x v="50"/>
    <n v="155.63"/>
    <n v="38.840000000000003"/>
    <x v="204"/>
    <n v="6.9"/>
    <n v="35.5"/>
  </r>
  <r>
    <n v="805165232"/>
    <n v="220116"/>
    <n v="6933742"/>
    <n v="5218"/>
    <x v="0"/>
    <n v="58899"/>
    <x v="12"/>
    <x v="146"/>
    <x v="146"/>
    <x v="205"/>
    <x v="205"/>
    <x v="205"/>
    <x v="151"/>
    <s v="AZ"/>
    <s v="Flagstaff"/>
    <s v="MI"/>
    <s v="Flint"/>
    <x v="0"/>
    <n v="772918"/>
    <s v="0-100"/>
    <n v="46"/>
    <x v="175"/>
    <x v="105"/>
    <n v="58.2"/>
    <n v="115"/>
    <x v="0"/>
    <s v="1.13"/>
    <s v="10:00-13:59"/>
    <x v="5"/>
    <x v="0"/>
    <n v="-22"/>
    <n v="0"/>
    <n v="0"/>
    <n v="64"/>
    <n v="0"/>
    <n v="0.63400000000000001"/>
    <n v="0.85799999999999998"/>
    <n v="1503.79"/>
    <x v="0"/>
    <n v="1"/>
    <n v="1"/>
    <n v="0"/>
    <n v="1"/>
    <n v="0"/>
    <n v="1"/>
    <n v="0"/>
    <x v="17"/>
    <x v="75"/>
    <n v="78.89"/>
    <n v="24.69"/>
    <x v="205"/>
    <n v="31.9"/>
    <n v="42.6"/>
  </r>
  <r>
    <n v="617746926"/>
    <n v="230889"/>
    <n v="9147706"/>
    <n v="2016"/>
    <x v="1"/>
    <n v="52397"/>
    <x v="8"/>
    <x v="126"/>
    <x v="125"/>
    <x v="206"/>
    <x v="206"/>
    <x v="206"/>
    <x v="127"/>
    <s v="NJ"/>
    <s v="Paterson"/>
    <s v="TN"/>
    <s v="Nashville"/>
    <x v="1"/>
    <n v="729716"/>
    <s v="101-300"/>
    <n v="259"/>
    <x v="176"/>
    <x v="161"/>
    <n v="263.8"/>
    <n v="293.7"/>
    <x v="2"/>
    <s v="4.85"/>
    <s v="14:00-17:59"/>
    <x v="3"/>
    <x v="0"/>
    <n v="-40"/>
    <n v="0"/>
    <n v="0"/>
    <n v="68"/>
    <n v="0"/>
    <n v="0.53900000000000003"/>
    <n v="0.39"/>
    <n v="7479.4"/>
    <x v="1"/>
    <n v="1"/>
    <n v="1"/>
    <n v="0"/>
    <n v="1"/>
    <n v="0"/>
    <n v="1"/>
    <n v="0"/>
    <x v="35"/>
    <x v="37"/>
    <n v="221.16"/>
    <n v="64.040000000000006"/>
    <x v="206"/>
    <n v="28.3"/>
    <n v="2.2000000000000002"/>
  </r>
  <r>
    <n v="340781088"/>
    <n v="301629"/>
    <n v="8633773"/>
    <n v="7331"/>
    <x v="1"/>
    <n v="55969"/>
    <x v="12"/>
    <x v="151"/>
    <x v="151"/>
    <x v="207"/>
    <x v="207"/>
    <x v="207"/>
    <x v="156"/>
    <s v="NJ"/>
    <s v="Jersey City"/>
    <s v="PA"/>
    <s v="Philadelphia"/>
    <x v="3"/>
    <n v="778087"/>
    <s v="301-500"/>
    <n v="309"/>
    <x v="177"/>
    <x v="38"/>
    <n v="300.39999999999998"/>
    <n v="352.8"/>
    <x v="3"/>
    <s v="8.25"/>
    <s v="00:00-05:59"/>
    <x v="2"/>
    <x v="0"/>
    <n v="-36"/>
    <n v="0"/>
    <n v="0"/>
    <n v="45.8"/>
    <n v="0"/>
    <n v="0.69799999999999995"/>
    <n v="0.65100000000000002"/>
    <n v="2939.29"/>
    <x v="0"/>
    <n v="1"/>
    <n v="1"/>
    <n v="0"/>
    <n v="1"/>
    <n v="0"/>
    <n v="1"/>
    <n v="0"/>
    <x v="17"/>
    <x v="68"/>
    <n v="264.42"/>
    <n v="62.34"/>
    <x v="207"/>
    <n v="63.5"/>
    <n v="0"/>
  </r>
  <r>
    <n v="216198604"/>
    <n v="308496"/>
    <n v="5076817"/>
    <n v="3747"/>
    <x v="5"/>
    <n v="54535"/>
    <x v="10"/>
    <x v="108"/>
    <x v="107"/>
    <x v="208"/>
    <x v="208"/>
    <x v="208"/>
    <x v="99"/>
    <s v="AZ"/>
    <s v="Phoenix"/>
    <s v="TX"/>
    <s v="Dallas"/>
    <x v="1"/>
    <n v="780739"/>
    <s v="501-1000"/>
    <n v="942"/>
    <x v="178"/>
    <x v="162"/>
    <n v="951.3"/>
    <n v="1013.2"/>
    <x v="1"/>
    <s v="17.64"/>
    <s v="06:00-09:59"/>
    <x v="1"/>
    <x v="0"/>
    <n v="-33"/>
    <n v="0"/>
    <n v="0"/>
    <n v="68.400000000000006"/>
    <n v="0"/>
    <n v="0.71"/>
    <n v="0.55500000000000005"/>
    <n v="4172.47"/>
    <x v="0"/>
    <n v="1"/>
    <n v="1"/>
    <n v="0"/>
    <n v="1"/>
    <n v="0"/>
    <n v="1"/>
    <n v="0"/>
    <x v="76"/>
    <x v="6"/>
    <n v="863.18"/>
    <n v="159.47999999999999"/>
    <x v="208"/>
    <n v="15.5"/>
    <n v="52"/>
  </r>
  <r>
    <n v="475932035"/>
    <n v="813536"/>
    <n v="3500715"/>
    <n v="5737"/>
    <x v="0"/>
    <n v="56883"/>
    <x v="11"/>
    <x v="152"/>
    <x v="152"/>
    <x v="209"/>
    <x v="209"/>
    <x v="209"/>
    <x v="157"/>
    <s v="TN"/>
    <s v="Clarksville"/>
    <s v="TN"/>
    <s v="Chattanooga"/>
    <x v="1"/>
    <n v="733303"/>
    <s v="101-300"/>
    <n v="259"/>
    <x v="179"/>
    <x v="19"/>
    <n v="259"/>
    <n v="338.2"/>
    <x v="2"/>
    <s v="9.23"/>
    <s v="10:00-13:59"/>
    <x v="2"/>
    <x v="0"/>
    <n v="21"/>
    <n v="0"/>
    <n v="0"/>
    <n v="31.8"/>
    <n v="0"/>
    <n v="0.72699999999999998"/>
    <n v="0.57399999999999995"/>
    <n v="5126.99"/>
    <x v="0"/>
    <n v="1"/>
    <n v="0"/>
    <n v="1"/>
    <n v="0"/>
    <n v="1"/>
    <n v="0"/>
    <n v="1"/>
    <x v="52"/>
    <x v="31"/>
    <n v="305.32"/>
    <n v="40.4"/>
    <x v="209"/>
    <n v="6.9"/>
    <n v="47.9"/>
  </r>
  <r>
    <n v="697285504"/>
    <n v="246316"/>
    <n v="1352896"/>
    <n v="5426"/>
    <x v="7"/>
    <n v="58127"/>
    <x v="8"/>
    <x v="153"/>
    <x v="153"/>
    <x v="210"/>
    <x v="210"/>
    <x v="210"/>
    <x v="158"/>
    <s v="MI"/>
    <s v="Flint"/>
    <s v="MI"/>
    <s v="Detroit"/>
    <x v="0"/>
    <n v="711807"/>
    <s v="0-100"/>
    <n v="85"/>
    <x v="180"/>
    <x v="163"/>
    <n v="91.8"/>
    <n v="103.9"/>
    <x v="0"/>
    <s v="2.31"/>
    <s v="06:00-09:59"/>
    <x v="0"/>
    <x v="0"/>
    <n v="1"/>
    <n v="0"/>
    <n v="0"/>
    <n v="61.9"/>
    <n v="0"/>
    <n v="0.44400000000000001"/>
    <n v="0.63300000000000001"/>
    <n v="6834.88"/>
    <x v="1"/>
    <n v="1"/>
    <n v="1"/>
    <n v="0"/>
    <n v="1"/>
    <n v="0"/>
    <n v="1"/>
    <n v="0"/>
    <x v="55"/>
    <x v="67"/>
    <n v="70.739999999999995"/>
    <n v="11.67"/>
    <x v="210"/>
    <n v="28.1"/>
    <n v="13.8"/>
  </r>
  <r>
    <n v="494665673"/>
    <n v="358607"/>
    <n v="5727085"/>
    <n v="6864"/>
    <x v="1"/>
    <n v="59168"/>
    <x v="7"/>
    <x v="154"/>
    <x v="154"/>
    <x v="211"/>
    <x v="211"/>
    <x v="211"/>
    <x v="159"/>
    <s v="PA"/>
    <s v="Pittsburgh"/>
    <s v="PA"/>
    <s v="Allentown"/>
    <x v="3"/>
    <n v="739365"/>
    <s v="0-100"/>
    <n v="29"/>
    <x v="181"/>
    <x v="19"/>
    <n v="22.7"/>
    <n v="93.3"/>
    <x v="0"/>
    <s v="1.22"/>
    <s v="06:00-09:59"/>
    <x v="0"/>
    <x v="0"/>
    <n v="-17"/>
    <n v="0"/>
    <n v="0"/>
    <n v="77"/>
    <n v="0"/>
    <n v="0.40899999999999997"/>
    <n v="0.39500000000000002"/>
    <n v="9719.4500000000007"/>
    <x v="1"/>
    <n v="1"/>
    <n v="1"/>
    <n v="0"/>
    <n v="1"/>
    <n v="0"/>
    <n v="1"/>
    <n v="0"/>
    <x v="77"/>
    <x v="14"/>
    <n v="85.6"/>
    <n v="15.14"/>
    <x v="211"/>
    <n v="7.3"/>
    <n v="39"/>
  </r>
  <r>
    <n v="223357166"/>
    <n v="945964"/>
    <n v="8290770"/>
    <n v="8400"/>
    <x v="6"/>
    <n v="50734"/>
    <x v="7"/>
    <x v="7"/>
    <x v="7"/>
    <x v="212"/>
    <x v="212"/>
    <x v="212"/>
    <x v="7"/>
    <s v="NJ"/>
    <s v="Paterson"/>
    <s v="OH"/>
    <s v="Columbus"/>
    <x v="0"/>
    <n v="732749"/>
    <s v="101-300"/>
    <n v="259"/>
    <x v="182"/>
    <x v="56"/>
    <n v="258.60000000000002"/>
    <n v="297.3"/>
    <x v="3"/>
    <s v="4.5"/>
    <s v="00:00-05:59"/>
    <x v="1"/>
    <x v="0"/>
    <n v="-9"/>
    <n v="49"/>
    <n v="0"/>
    <n v="44.9"/>
    <n v="0"/>
    <n v="0.80900000000000005"/>
    <n v="0.41799999999999998"/>
    <n v="3526.61"/>
    <x v="0"/>
    <n v="1"/>
    <n v="1"/>
    <n v="0"/>
    <n v="1"/>
    <n v="0"/>
    <n v="1"/>
    <n v="0"/>
    <x v="55"/>
    <x v="37"/>
    <n v="268.19"/>
    <n v="55.69"/>
    <x v="212"/>
    <n v="32.6"/>
    <n v="11.5"/>
  </r>
  <r>
    <n v="918841563"/>
    <n v="955662"/>
    <n v="8315831"/>
    <n v="9445"/>
    <x v="1"/>
    <n v="50632"/>
    <x v="8"/>
    <x v="80"/>
    <x v="80"/>
    <x v="213"/>
    <x v="213"/>
    <x v="213"/>
    <x v="79"/>
    <s v="GA"/>
    <s v="Columbus"/>
    <s v="NC"/>
    <s v="Durham"/>
    <x v="1"/>
    <n v="763999"/>
    <s v="101-300"/>
    <n v="251"/>
    <x v="183"/>
    <x v="164"/>
    <n v="255.5"/>
    <n v="267.39999999999998"/>
    <x v="1"/>
    <s v="5.64"/>
    <s v="18:00-23:59"/>
    <x v="5"/>
    <x v="0"/>
    <n v="-6"/>
    <n v="0"/>
    <n v="0"/>
    <n v="47"/>
    <n v="0"/>
    <n v="0.82799999999999996"/>
    <n v="0.77500000000000002"/>
    <n v="4638.08"/>
    <x v="0"/>
    <n v="1"/>
    <n v="1"/>
    <n v="0"/>
    <n v="1"/>
    <n v="0"/>
    <n v="1"/>
    <n v="0"/>
    <x v="33"/>
    <x v="42"/>
    <n v="174.83"/>
    <n v="37.130000000000003"/>
    <x v="213"/>
    <n v="18.100000000000001"/>
    <n v="35.299999999999997"/>
  </r>
  <r>
    <n v="399110343"/>
    <n v="864544"/>
    <n v="5374922"/>
    <n v="8385"/>
    <x v="1"/>
    <n v="54268"/>
    <x v="9"/>
    <x v="114"/>
    <x v="113"/>
    <x v="214"/>
    <x v="214"/>
    <x v="214"/>
    <x v="114"/>
    <s v="TX"/>
    <s v="Austin"/>
    <s v="TX"/>
    <s v="Austin"/>
    <x v="1"/>
    <n v="710286"/>
    <s v="0-100"/>
    <n v="94"/>
    <x v="184"/>
    <x v="165"/>
    <n v="95.5"/>
    <n v="115"/>
    <x v="0"/>
    <s v="1.39"/>
    <s v="14:00-17:59"/>
    <x v="3"/>
    <x v="0"/>
    <n v="-37"/>
    <n v="0"/>
    <n v="0"/>
    <n v="42.6"/>
    <n v="0"/>
    <n v="0.498"/>
    <n v="0.90700000000000003"/>
    <n v="4928.37"/>
    <x v="0"/>
    <n v="1"/>
    <n v="1"/>
    <n v="0"/>
    <n v="1"/>
    <n v="0"/>
    <n v="1"/>
    <n v="0"/>
    <x v="32"/>
    <x v="3"/>
    <n v="102.78"/>
    <n v="20.81"/>
    <x v="214"/>
    <n v="24.5"/>
    <n v="42.7"/>
  </r>
  <r>
    <n v="716435189"/>
    <n v="584714"/>
    <n v="5004485"/>
    <n v="7938"/>
    <x v="1"/>
    <n v="54099"/>
    <x v="1"/>
    <x v="155"/>
    <x v="155"/>
    <x v="215"/>
    <x v="215"/>
    <x v="215"/>
    <x v="160"/>
    <s v="GA"/>
    <s v="Savannah"/>
    <s v="OH"/>
    <s v="Toledo"/>
    <x v="0"/>
    <n v="768714"/>
    <s v="501-1000"/>
    <n v="503"/>
    <x v="35"/>
    <x v="166"/>
    <n v="502.1"/>
    <n v="542.70000000000005"/>
    <x v="0"/>
    <s v="9.71"/>
    <s v="06:00-09:59"/>
    <x v="6"/>
    <x v="3"/>
    <n v="42"/>
    <n v="0"/>
    <n v="2.1"/>
    <n v="52.4"/>
    <n v="0"/>
    <n v="0.63"/>
    <n v="0.56100000000000005"/>
    <n v="72898.11"/>
    <x v="2"/>
    <n v="1"/>
    <n v="0"/>
    <n v="1"/>
    <n v="0"/>
    <n v="1"/>
    <n v="0"/>
    <n v="1"/>
    <x v="63"/>
    <x v="23"/>
    <n v="428.39"/>
    <n v="91.44"/>
    <x v="215"/>
    <n v="0.2"/>
    <n v="50.4"/>
  </r>
  <r>
    <n v="342836476"/>
    <n v="198246"/>
    <n v="9626108"/>
    <n v="5555"/>
    <x v="0"/>
    <n v="52901"/>
    <x v="3"/>
    <x v="149"/>
    <x v="149"/>
    <x v="216"/>
    <x v="216"/>
    <x v="216"/>
    <x v="154"/>
    <s v="TN"/>
    <s v="Memphis"/>
    <s v="GA"/>
    <s v="Savannah"/>
    <x v="1"/>
    <n v="732275"/>
    <s v="101-300"/>
    <n v="109"/>
    <x v="185"/>
    <x v="167"/>
    <n v="94.2"/>
    <n v="149.69999999999999"/>
    <x v="1"/>
    <s v="7.25"/>
    <s v="00:00-05:59"/>
    <x v="2"/>
    <x v="4"/>
    <n v="234"/>
    <n v="238"/>
    <n v="0"/>
    <n v="36.5"/>
    <n v="0"/>
    <n v="0.64700000000000002"/>
    <n v="0.443"/>
    <n v="16338.04"/>
    <x v="1"/>
    <n v="1"/>
    <n v="0"/>
    <n v="1"/>
    <n v="0"/>
    <n v="1"/>
    <n v="0"/>
    <n v="1"/>
    <x v="21"/>
    <x v="57"/>
    <n v="132.29"/>
    <n v="31.87"/>
    <x v="216"/>
    <n v="11.5"/>
    <n v="6.8"/>
  </r>
  <r>
    <n v="966747347"/>
    <n v="503457"/>
    <n v="8210624"/>
    <n v="8392"/>
    <x v="9"/>
    <n v="51663"/>
    <x v="11"/>
    <x v="72"/>
    <x v="72"/>
    <x v="217"/>
    <x v="217"/>
    <x v="217"/>
    <x v="21"/>
    <s v="OH"/>
    <s v="Columbus"/>
    <s v="WA"/>
    <s v="Tacoma"/>
    <x v="2"/>
    <n v="772569"/>
    <s v="501-1000"/>
    <n v="692"/>
    <x v="111"/>
    <x v="168"/>
    <n v="687.6"/>
    <n v="767.2"/>
    <x v="0"/>
    <s v="10.21"/>
    <s v="18:00-23:59"/>
    <x v="3"/>
    <x v="0"/>
    <n v="-48"/>
    <n v="0"/>
    <n v="0"/>
    <n v="56.9"/>
    <n v="0"/>
    <n v="0.86099999999999999"/>
    <n v="0.66600000000000004"/>
    <n v="5497.77"/>
    <x v="0"/>
    <n v="1"/>
    <n v="1"/>
    <n v="0"/>
    <n v="1"/>
    <n v="0"/>
    <n v="1"/>
    <n v="0"/>
    <x v="12"/>
    <x v="50"/>
    <n v="693.31"/>
    <n v="96.01"/>
    <x v="217"/>
    <n v="6.5"/>
    <n v="45.8"/>
  </r>
  <r>
    <n v="560755939"/>
    <n v="656116"/>
    <n v="9996207"/>
    <n v="5061"/>
    <x v="2"/>
    <n v="55591"/>
    <x v="6"/>
    <x v="156"/>
    <x v="156"/>
    <x v="218"/>
    <x v="218"/>
    <x v="218"/>
    <x v="92"/>
    <s v="PA"/>
    <s v="Harrisburg"/>
    <s v="NC"/>
    <s v="Wilmington"/>
    <x v="1"/>
    <n v="770769"/>
    <s v="301-500"/>
    <n v="324"/>
    <x v="81"/>
    <x v="5"/>
    <n v="318.10000000000002"/>
    <n v="391"/>
    <x v="0"/>
    <s v="5.13"/>
    <s v="14:00-17:59"/>
    <x v="5"/>
    <x v="0"/>
    <n v="-18"/>
    <n v="0"/>
    <n v="0"/>
    <n v="63.4"/>
    <n v="0"/>
    <n v="0.72"/>
    <n v="0.53900000000000003"/>
    <n v="1139.03"/>
    <x v="0"/>
    <n v="1"/>
    <n v="1"/>
    <n v="0"/>
    <n v="1"/>
    <n v="0"/>
    <n v="1"/>
    <n v="0"/>
    <x v="10"/>
    <x v="42"/>
    <n v="343.17"/>
    <n v="66.83"/>
    <x v="218"/>
    <n v="0.1"/>
    <n v="18.5"/>
  </r>
  <r>
    <n v="702332331"/>
    <n v="145561"/>
    <n v="2564689"/>
    <n v="1161"/>
    <x v="3"/>
    <n v="53872"/>
    <x v="7"/>
    <x v="157"/>
    <x v="157"/>
    <x v="219"/>
    <x v="219"/>
    <x v="219"/>
    <x v="161"/>
    <s v="PA"/>
    <s v="Philadelphia"/>
    <s v="NY"/>
    <s v="Syracuse"/>
    <x v="3"/>
    <n v="775399"/>
    <s v="301-500"/>
    <n v="418"/>
    <x v="186"/>
    <x v="169"/>
    <n v="406.8"/>
    <n v="424.2"/>
    <x v="0"/>
    <s v="10.13"/>
    <s v="10:00-13:59"/>
    <x v="5"/>
    <x v="4"/>
    <n v="109"/>
    <n v="108"/>
    <n v="0"/>
    <n v="59.7"/>
    <n v="0"/>
    <n v="0.78200000000000003"/>
    <n v="0.59599999999999997"/>
    <n v="1315.7"/>
    <x v="0"/>
    <n v="1"/>
    <n v="0"/>
    <n v="1"/>
    <n v="0"/>
    <n v="1"/>
    <n v="0"/>
    <n v="1"/>
    <x v="58"/>
    <x v="1"/>
    <n v="314.27"/>
    <n v="63.48"/>
    <x v="219"/>
    <n v="5.6"/>
    <n v="5.3"/>
  </r>
  <r>
    <n v="924024405"/>
    <n v="779514"/>
    <n v="5130808"/>
    <n v="3731"/>
    <x v="4"/>
    <n v="51054"/>
    <x v="7"/>
    <x v="45"/>
    <x v="45"/>
    <x v="220"/>
    <x v="220"/>
    <x v="220"/>
    <x v="44"/>
    <s v="AZ"/>
    <s v="Tucson"/>
    <s v="WA"/>
    <s v="Vancouver"/>
    <x v="2"/>
    <n v="788294"/>
    <s v="101-300"/>
    <n v="302"/>
    <x v="187"/>
    <x v="170"/>
    <n v="297.7"/>
    <n v="305.2"/>
    <x v="0"/>
    <s v="5.98"/>
    <s v="14:00-17:59"/>
    <x v="2"/>
    <x v="0"/>
    <n v="-13"/>
    <n v="0"/>
    <n v="0"/>
    <n v="29.8"/>
    <n v="0"/>
    <n v="0.79300000000000004"/>
    <n v="0.78100000000000003"/>
    <n v="66870.289999999994"/>
    <x v="2"/>
    <n v="1"/>
    <n v="1"/>
    <n v="0"/>
    <n v="1"/>
    <n v="0"/>
    <n v="1"/>
    <n v="0"/>
    <x v="21"/>
    <x v="4"/>
    <n v="247.53"/>
    <n v="40.1"/>
    <x v="220"/>
    <n v="38.9"/>
    <n v="56.9"/>
  </r>
  <r>
    <n v="978779150"/>
    <n v="612340"/>
    <n v="5382463"/>
    <n v="3049"/>
    <x v="8"/>
    <n v="58572"/>
    <x v="13"/>
    <x v="158"/>
    <x v="158"/>
    <x v="221"/>
    <x v="221"/>
    <x v="221"/>
    <x v="162"/>
    <s v="TN"/>
    <s v="Nashville"/>
    <s v="PA"/>
    <s v="Erie"/>
    <x v="3"/>
    <n v="731760"/>
    <s v="101-300"/>
    <n v="189"/>
    <x v="188"/>
    <x v="171"/>
    <n v="200.2"/>
    <n v="271.3"/>
    <x v="4"/>
    <s v="4.43"/>
    <s v="14:00-17:59"/>
    <x v="1"/>
    <x v="0"/>
    <n v="-24"/>
    <n v="85"/>
    <n v="0"/>
    <n v="39.4"/>
    <n v="0"/>
    <n v="0.56999999999999995"/>
    <n v="0.52300000000000002"/>
    <n v="15755.75"/>
    <x v="1"/>
    <n v="1"/>
    <n v="1"/>
    <n v="0"/>
    <n v="1"/>
    <n v="0"/>
    <n v="1"/>
    <n v="0"/>
    <x v="78"/>
    <x v="1"/>
    <n v="206.03"/>
    <n v="38.76"/>
    <x v="221"/>
    <n v="28.3"/>
    <n v="33"/>
  </r>
  <r>
    <n v="767570850"/>
    <n v="955662"/>
    <n v="8315831"/>
    <n v="9445"/>
    <x v="1"/>
    <n v="53082"/>
    <x v="6"/>
    <x v="76"/>
    <x v="76"/>
    <x v="222"/>
    <x v="222"/>
    <x v="222"/>
    <x v="75"/>
    <s v="TN"/>
    <s v="Chattanooga"/>
    <s v="GA"/>
    <s v="Columbus"/>
    <x v="1"/>
    <n v="732275"/>
    <s v="101-300"/>
    <n v="286"/>
    <x v="189"/>
    <x v="172"/>
    <n v="292.89999999999998"/>
    <n v="313.39999999999998"/>
    <x v="1"/>
    <s v="5.69"/>
    <s v="14:00-17:59"/>
    <x v="3"/>
    <x v="0"/>
    <n v="-6"/>
    <n v="0"/>
    <n v="0"/>
    <n v="46.1"/>
    <n v="0"/>
    <n v="0.47599999999999998"/>
    <n v="0.25600000000000001"/>
    <n v="6074.15"/>
    <x v="1"/>
    <n v="1"/>
    <n v="1"/>
    <n v="0"/>
    <n v="1"/>
    <n v="0"/>
    <n v="1"/>
    <n v="0"/>
    <x v="79"/>
    <x v="41"/>
    <n v="228.76"/>
    <n v="42.42"/>
    <x v="222"/>
    <n v="18.100000000000001"/>
    <n v="35.700000000000003"/>
  </r>
  <r>
    <n v="758819288"/>
    <n v="946335"/>
    <n v="1247595"/>
    <n v="6675"/>
    <x v="1"/>
    <n v="58007"/>
    <x v="10"/>
    <x v="159"/>
    <x v="159"/>
    <x v="223"/>
    <x v="223"/>
    <x v="223"/>
    <x v="163"/>
    <s v="NJ"/>
    <s v="Elizabeth"/>
    <s v="CO"/>
    <s v="Pueblo"/>
    <x v="2"/>
    <n v="704543"/>
    <s v="101-300"/>
    <n v="105"/>
    <x v="190"/>
    <x v="173"/>
    <n v="100"/>
    <n v="163.6"/>
    <x v="0"/>
    <s v="0.79"/>
    <s v="10:00-13:59"/>
    <x v="3"/>
    <x v="0"/>
    <n v="-69"/>
    <n v="0"/>
    <n v="0"/>
    <n v="38.5"/>
    <n v="0"/>
    <n v="0.40300000000000002"/>
    <n v="0.25"/>
    <n v="3153.25"/>
    <x v="0"/>
    <n v="1"/>
    <n v="1"/>
    <n v="0"/>
    <n v="1"/>
    <n v="0"/>
    <n v="1"/>
    <n v="0"/>
    <x v="80"/>
    <x v="30"/>
    <n v="113.74"/>
    <n v="26.72"/>
    <x v="223"/>
    <n v="32.6"/>
    <n v="2.7"/>
  </r>
  <r>
    <n v="824750726"/>
    <n v="623481"/>
    <n v="2737893"/>
    <n v="4627"/>
    <x v="3"/>
    <n v="59784"/>
    <x v="2"/>
    <x v="160"/>
    <x v="160"/>
    <x v="224"/>
    <x v="224"/>
    <x v="224"/>
    <x v="164"/>
    <s v="IL"/>
    <s v="Springfield"/>
    <s v="IL"/>
    <s v="Springfield"/>
    <x v="0"/>
    <n v="725966"/>
    <s v="101-300"/>
    <n v="141"/>
    <x v="191"/>
    <x v="174"/>
    <n v="137.5"/>
    <n v="168"/>
    <x v="0"/>
    <s v="2.59"/>
    <s v="10:00-13:59"/>
    <x v="0"/>
    <x v="0"/>
    <n v="7"/>
    <n v="0"/>
    <n v="0"/>
    <n v="69.400000000000006"/>
    <n v="0"/>
    <n v="0.69099999999999995"/>
    <n v="0.63300000000000001"/>
    <n v="8764.17"/>
    <x v="1"/>
    <n v="1"/>
    <n v="1"/>
    <n v="0"/>
    <n v="1"/>
    <n v="0"/>
    <n v="1"/>
    <n v="0"/>
    <x v="56"/>
    <x v="22"/>
    <n v="126.41"/>
    <n v="28.05"/>
    <x v="224"/>
    <n v="22.3"/>
    <n v="67.599999999999994"/>
  </r>
  <r>
    <n v="790092970"/>
    <n v="197251"/>
    <n v="4078418"/>
    <n v="2585"/>
    <x v="4"/>
    <n v="54261"/>
    <x v="13"/>
    <x v="50"/>
    <x v="50"/>
    <x v="225"/>
    <x v="225"/>
    <x v="225"/>
    <x v="50"/>
    <s v="AZ"/>
    <s v="Tucson"/>
    <s v="AZ"/>
    <s v="Mesa"/>
    <x v="2"/>
    <n v="742558"/>
    <s v="501-1000"/>
    <n v="497"/>
    <x v="179"/>
    <x v="175"/>
    <n v="493.5"/>
    <n v="558.5"/>
    <x v="0"/>
    <s v="10.04"/>
    <s v="00:00-05:59"/>
    <x v="0"/>
    <x v="0"/>
    <n v="-2"/>
    <n v="0"/>
    <n v="0"/>
    <n v="35.4"/>
    <n v="0"/>
    <n v="0.46700000000000003"/>
    <n v="0.41799999999999998"/>
    <n v="4154.54"/>
    <x v="0"/>
    <n v="1"/>
    <n v="1"/>
    <n v="0"/>
    <n v="1"/>
    <n v="0"/>
    <n v="1"/>
    <n v="0"/>
    <x v="9"/>
    <x v="35"/>
    <n v="481.31"/>
    <n v="113.86"/>
    <x v="225"/>
    <n v="11.9"/>
    <n v="26.6"/>
  </r>
  <r>
    <n v="697794767"/>
    <n v="629903"/>
    <n v="9143903"/>
    <n v="9666"/>
    <x v="9"/>
    <n v="52389"/>
    <x v="7"/>
    <x v="81"/>
    <x v="81"/>
    <x v="226"/>
    <x v="226"/>
    <x v="226"/>
    <x v="89"/>
    <s v="OH"/>
    <s v="Toledo"/>
    <s v="CO"/>
    <s v="Fort Collins"/>
    <x v="2"/>
    <n v="709390"/>
    <s v="301-500"/>
    <n v="365"/>
    <x v="192"/>
    <x v="176"/>
    <n v="369.5"/>
    <n v="442.4"/>
    <x v="3"/>
    <s v="7.12"/>
    <s v="18:00-23:59"/>
    <x v="6"/>
    <x v="0"/>
    <n v="4"/>
    <n v="0"/>
    <n v="1.2"/>
    <n v="58.8"/>
    <n v="0"/>
    <n v="0.72"/>
    <n v="0.495"/>
    <n v="2192.2199999999998"/>
    <x v="0"/>
    <n v="1"/>
    <n v="1"/>
    <n v="0"/>
    <n v="1"/>
    <n v="0"/>
    <n v="1"/>
    <n v="0"/>
    <x v="58"/>
    <x v="23"/>
    <n v="386.31"/>
    <n v="85.72"/>
    <x v="226"/>
    <n v="10.3"/>
    <n v="1.1000000000000001"/>
  </r>
  <r>
    <n v="128189836"/>
    <n v="903035"/>
    <n v="7110622"/>
    <n v="3200"/>
    <x v="2"/>
    <n v="53553"/>
    <x v="10"/>
    <x v="60"/>
    <x v="60"/>
    <x v="227"/>
    <x v="227"/>
    <x v="227"/>
    <x v="165"/>
    <s v="NY"/>
    <s v="Buffalo"/>
    <s v="NC"/>
    <s v="Wilmington"/>
    <x v="1"/>
    <n v="734898"/>
    <s v="301-500"/>
    <n v="498"/>
    <x v="54"/>
    <x v="177"/>
    <n v="500.4"/>
    <n v="539.5"/>
    <x v="2"/>
    <s v="12.97"/>
    <s v="10:00-13:59"/>
    <x v="0"/>
    <x v="0"/>
    <n v="2"/>
    <n v="0"/>
    <n v="0"/>
    <n v="36.799999999999997"/>
    <n v="0"/>
    <n v="0.95899999999999996"/>
    <n v="0.68899999999999995"/>
    <n v="6296.16"/>
    <x v="0"/>
    <n v="1"/>
    <n v="1"/>
    <n v="0"/>
    <n v="1"/>
    <n v="0"/>
    <n v="1"/>
    <n v="0"/>
    <x v="4"/>
    <x v="20"/>
    <n v="489.54"/>
    <n v="73.53"/>
    <x v="227"/>
    <n v="26.8"/>
    <n v="18"/>
  </r>
  <r>
    <n v="753903309"/>
    <n v="656116"/>
    <n v="9996207"/>
    <n v="5061"/>
    <x v="2"/>
    <n v="55138"/>
    <x v="2"/>
    <x v="79"/>
    <x v="79"/>
    <x v="228"/>
    <x v="228"/>
    <x v="228"/>
    <x v="78"/>
    <s v="TX"/>
    <s v="Austin"/>
    <s v="NY"/>
    <s v="Buffalo"/>
    <x v="3"/>
    <n v="756369"/>
    <s v="301-500"/>
    <n v="312"/>
    <x v="191"/>
    <x v="178"/>
    <n v="307.7"/>
    <n v="348.4"/>
    <x v="0"/>
    <s v="5.19"/>
    <s v="06:00-09:59"/>
    <x v="1"/>
    <x v="0"/>
    <n v="-11"/>
    <n v="0"/>
    <n v="0"/>
    <n v="54.9"/>
    <n v="0"/>
    <n v="0.50600000000000001"/>
    <n v="0.69899999999999995"/>
    <n v="28257.05"/>
    <x v="2"/>
    <n v="1"/>
    <n v="1"/>
    <n v="0"/>
    <n v="1"/>
    <n v="0"/>
    <n v="1"/>
    <n v="0"/>
    <x v="46"/>
    <x v="63"/>
    <n v="246.38"/>
    <n v="73.78"/>
    <x v="228"/>
    <n v="0.1"/>
    <n v="20.5"/>
  </r>
  <r>
    <n v="806340901"/>
    <n v="854639"/>
    <n v="7417985"/>
    <n v="3811"/>
    <x v="6"/>
    <n v="59399"/>
    <x v="8"/>
    <x v="37"/>
    <x v="37"/>
    <x v="229"/>
    <x v="229"/>
    <x v="163"/>
    <x v="36"/>
    <s v="TX"/>
    <s v="El Paso"/>
    <s v="NC"/>
    <s v="Raleigh"/>
    <x v="1"/>
    <n v="765850"/>
    <s v="101-300"/>
    <n v="235"/>
    <x v="124"/>
    <x v="155"/>
    <n v="231.4"/>
    <n v="297.7"/>
    <x v="0"/>
    <s v="4.24"/>
    <s v="18:00-23:59"/>
    <x v="6"/>
    <x v="0"/>
    <n v="-32"/>
    <n v="0"/>
    <n v="0"/>
    <n v="51.1"/>
    <n v="0"/>
    <n v="0.73099999999999998"/>
    <n v="0.745"/>
    <n v="5007.87"/>
    <x v="0"/>
    <n v="1"/>
    <n v="1"/>
    <n v="0"/>
    <n v="1"/>
    <n v="0"/>
    <n v="1"/>
    <n v="0"/>
    <x v="16"/>
    <x v="0"/>
    <n v="242.66"/>
    <n v="60.79"/>
    <x v="229"/>
    <n v="11.8"/>
    <n v="21.1"/>
  </r>
  <r>
    <n v="990626742"/>
    <n v="872246"/>
    <n v="4860684"/>
    <n v="6578"/>
    <x v="5"/>
    <n v="50544"/>
    <x v="11"/>
    <x v="161"/>
    <x v="161"/>
    <x v="230"/>
    <x v="230"/>
    <x v="229"/>
    <x v="166"/>
    <s v="WA"/>
    <s v="Everett"/>
    <s v="CO"/>
    <s v="Aurora"/>
    <x v="2"/>
    <n v="742390"/>
    <s v="0-100"/>
    <n v="60"/>
    <x v="193"/>
    <x v="179"/>
    <n v="66.5"/>
    <n v="120.4"/>
    <x v="2"/>
    <s v="1.51"/>
    <s v="18:00-23:59"/>
    <x v="2"/>
    <x v="0"/>
    <n v="-8"/>
    <n v="0"/>
    <n v="0"/>
    <n v="57.4"/>
    <n v="0"/>
    <n v="0.93600000000000005"/>
    <n v="0.48399999999999999"/>
    <n v="4161.47"/>
    <x v="0"/>
    <n v="1"/>
    <n v="1"/>
    <n v="0"/>
    <n v="1"/>
    <n v="0"/>
    <n v="1"/>
    <n v="0"/>
    <x v="17"/>
    <x v="77"/>
    <n v="99.71"/>
    <n v="21.08"/>
    <x v="230"/>
    <n v="41.8"/>
    <n v="18.399999999999999"/>
  </r>
  <r>
    <n v="844609017"/>
    <n v="217301"/>
    <n v="5453786"/>
    <n v="5548"/>
    <x v="6"/>
    <n v="53663"/>
    <x v="6"/>
    <x v="162"/>
    <x v="162"/>
    <x v="231"/>
    <x v="231"/>
    <x v="230"/>
    <x v="167"/>
    <s v="AZ"/>
    <s v="Tempe"/>
    <s v="OH"/>
    <s v="Dayton"/>
    <x v="0"/>
    <n v="774885"/>
    <s v="101-300"/>
    <n v="306"/>
    <x v="194"/>
    <x v="180"/>
    <n v="315.10000000000002"/>
    <n v="341.7"/>
    <x v="3"/>
    <s v="5.45"/>
    <s v="18:00-23:59"/>
    <x v="4"/>
    <x v="0"/>
    <n v="-12"/>
    <n v="0"/>
    <n v="0"/>
    <n v="55.6"/>
    <n v="0"/>
    <n v="0.70299999999999996"/>
    <n v="0.55900000000000005"/>
    <n v="19714.57"/>
    <x v="1"/>
    <n v="1"/>
    <n v="1"/>
    <n v="0"/>
    <n v="1"/>
    <n v="0"/>
    <n v="1"/>
    <n v="0"/>
    <x v="56"/>
    <x v="46"/>
    <n v="231.47"/>
    <n v="34.93"/>
    <x v="231"/>
    <n v="13"/>
    <n v="38.200000000000003"/>
  </r>
  <r>
    <n v="387169808"/>
    <n v="738720"/>
    <n v="2375453"/>
    <n v="6056"/>
    <x v="0"/>
    <n v="52239"/>
    <x v="11"/>
    <x v="163"/>
    <x v="163"/>
    <x v="232"/>
    <x v="232"/>
    <x v="231"/>
    <x v="168"/>
    <s v="FL"/>
    <s v="Miami"/>
    <s v="NC"/>
    <s v="Raleigh"/>
    <x v="1"/>
    <n v="789749"/>
    <s v="101-300"/>
    <n v="131"/>
    <x v="120"/>
    <x v="181"/>
    <n v="125.6"/>
    <n v="171"/>
    <x v="0"/>
    <s v="3.03"/>
    <s v="18:00-23:59"/>
    <x v="1"/>
    <x v="0"/>
    <n v="1"/>
    <n v="0"/>
    <n v="0"/>
    <n v="37.9"/>
    <n v="0"/>
    <n v="0.79900000000000004"/>
    <n v="0.90400000000000003"/>
    <n v="101882.02"/>
    <x v="2"/>
    <n v="1"/>
    <n v="1"/>
    <n v="0"/>
    <n v="1"/>
    <n v="0"/>
    <n v="1"/>
    <n v="0"/>
    <x v="28"/>
    <x v="36"/>
    <n v="124.84"/>
    <n v="21.39"/>
    <x v="232"/>
    <n v="16.600000000000001"/>
    <n v="26.1"/>
  </r>
  <r>
    <n v="131088245"/>
    <n v="183667"/>
    <n v="1981186"/>
    <n v="3568"/>
    <x v="6"/>
    <n v="53773"/>
    <x v="4"/>
    <x v="112"/>
    <x v="111"/>
    <x v="233"/>
    <x v="233"/>
    <x v="232"/>
    <x v="169"/>
    <s v="NJ"/>
    <s v="Jersey City"/>
    <s v="NJ"/>
    <s v="Newark"/>
    <x v="3"/>
    <n v="748114"/>
    <s v="301-500"/>
    <n v="338"/>
    <x v="195"/>
    <x v="182"/>
    <n v="337.3"/>
    <n v="381"/>
    <x v="1"/>
    <s v="7.5"/>
    <s v="18:00-23:59"/>
    <x v="2"/>
    <x v="0"/>
    <n v="-4"/>
    <n v="0"/>
    <n v="0"/>
    <n v="61.8"/>
    <n v="0"/>
    <n v="0.625"/>
    <n v="0.82399999999999995"/>
    <n v="9828.68"/>
    <x v="1"/>
    <n v="1"/>
    <n v="1"/>
    <n v="0"/>
    <n v="1"/>
    <n v="0"/>
    <n v="1"/>
    <n v="0"/>
    <x v="62"/>
    <x v="30"/>
    <n v="275.33999999999997"/>
    <n v="74.19"/>
    <x v="233"/>
    <n v="21.8"/>
    <n v="10.6"/>
  </r>
  <r>
    <n v="293720285"/>
    <n v="787277"/>
    <n v="6022741"/>
    <n v="3693"/>
    <x v="4"/>
    <n v="52627"/>
    <x v="8"/>
    <x v="45"/>
    <x v="45"/>
    <x v="234"/>
    <x v="234"/>
    <x v="233"/>
    <x v="44"/>
    <s v="WA"/>
    <s v="Everett"/>
    <s v="GA"/>
    <s v="Macon"/>
    <x v="1"/>
    <n v="775499"/>
    <s v="101-300"/>
    <n v="111"/>
    <x v="196"/>
    <x v="183"/>
    <n v="111.8"/>
    <n v="162.6"/>
    <x v="0"/>
    <s v="2.71"/>
    <s v="06:00-09:59"/>
    <x v="2"/>
    <x v="0"/>
    <n v="-16"/>
    <n v="0"/>
    <n v="0"/>
    <n v="41.3"/>
    <n v="0"/>
    <n v="0.65600000000000003"/>
    <n v="0.78600000000000003"/>
    <n v="1062.95"/>
    <x v="0"/>
    <n v="1"/>
    <n v="1"/>
    <n v="0"/>
    <n v="1"/>
    <n v="0"/>
    <n v="1"/>
    <n v="0"/>
    <x v="31"/>
    <x v="34"/>
    <n v="148.9"/>
    <n v="25.11"/>
    <x v="234"/>
    <n v="3.4"/>
    <n v="12.5"/>
  </r>
  <r>
    <n v="393421844"/>
    <n v="198246"/>
    <n v="9626108"/>
    <n v="5555"/>
    <x v="0"/>
    <n v="56618"/>
    <x v="4"/>
    <x v="164"/>
    <x v="164"/>
    <x v="235"/>
    <x v="235"/>
    <x v="234"/>
    <x v="170"/>
    <s v="CO"/>
    <s v="Colorado Springs"/>
    <s v="AZ"/>
    <s v="Phoenix"/>
    <x v="2"/>
    <n v="795889"/>
    <s v="101-300"/>
    <n v="198"/>
    <x v="197"/>
    <x v="111"/>
    <n v="196.9"/>
    <n v="250.3"/>
    <x v="1"/>
    <s v="3.79"/>
    <s v="14:00-17:59"/>
    <x v="6"/>
    <x v="0"/>
    <n v="-8"/>
    <n v="0"/>
    <n v="0"/>
    <n v="22.2"/>
    <n v="0"/>
    <n v="0.53600000000000003"/>
    <n v="0.76"/>
    <n v="90161.1"/>
    <x v="2"/>
    <n v="1"/>
    <n v="1"/>
    <n v="0"/>
    <n v="1"/>
    <n v="0"/>
    <n v="1"/>
    <n v="0"/>
    <x v="16"/>
    <x v="75"/>
    <n v="227.15"/>
    <n v="28.81"/>
    <x v="235"/>
    <n v="11.5"/>
    <n v="15.1"/>
  </r>
  <r>
    <n v="854517058"/>
    <n v="857168"/>
    <n v="2813543"/>
    <n v="1659"/>
    <x v="6"/>
    <n v="56780"/>
    <x v="10"/>
    <x v="91"/>
    <x v="91"/>
    <x v="236"/>
    <x v="236"/>
    <x v="235"/>
    <x v="90"/>
    <s v="MO"/>
    <s v="Independence"/>
    <s v="GA"/>
    <s v="Columbus"/>
    <x v="1"/>
    <n v="768731"/>
    <s v="101-300"/>
    <n v="164"/>
    <x v="198"/>
    <x v="114"/>
    <n v="170.8"/>
    <n v="227.5"/>
    <x v="3"/>
    <s v="3.62"/>
    <s v="14:00-17:59"/>
    <x v="6"/>
    <x v="0"/>
    <n v="-7"/>
    <n v="56"/>
    <n v="0"/>
    <n v="52.1"/>
    <n v="0"/>
    <n v="0.59899999999999998"/>
    <n v="0.501"/>
    <n v="9270.31"/>
    <x v="1"/>
    <n v="1"/>
    <n v="1"/>
    <n v="0"/>
    <n v="1"/>
    <n v="0"/>
    <n v="1"/>
    <n v="0"/>
    <x v="48"/>
    <x v="78"/>
    <n v="197.14"/>
    <n v="33.9"/>
    <x v="236"/>
    <n v="23.7"/>
    <n v="32.5"/>
  </r>
  <r>
    <n v="918630985"/>
    <n v="249811"/>
    <n v="2795765"/>
    <n v="8392"/>
    <x v="2"/>
    <n v="58015"/>
    <x v="7"/>
    <x v="165"/>
    <x v="105"/>
    <x v="237"/>
    <x v="237"/>
    <x v="236"/>
    <x v="103"/>
    <s v="NY"/>
    <s v="Rochester"/>
    <s v="NY"/>
    <s v="Syracuse"/>
    <x v="3"/>
    <n v="742838"/>
    <s v="0-100"/>
    <n v="98"/>
    <x v="199"/>
    <x v="184"/>
    <n v="97.1"/>
    <n v="131.1"/>
    <x v="0"/>
    <s v="2.15"/>
    <s v="06:00-09:59"/>
    <x v="4"/>
    <x v="0"/>
    <n v="6"/>
    <n v="0"/>
    <n v="0"/>
    <n v="82.7"/>
    <n v="0"/>
    <n v="0.71799999999999997"/>
    <n v="0.83899999999999997"/>
    <n v="20888.11"/>
    <x v="1"/>
    <n v="1"/>
    <n v="1"/>
    <n v="0"/>
    <n v="1"/>
    <n v="0"/>
    <n v="1"/>
    <n v="0"/>
    <x v="68"/>
    <x v="45"/>
    <n v="99.88"/>
    <n v="16.440000000000001"/>
    <x v="237"/>
    <n v="11.1"/>
    <n v="13"/>
  </r>
  <r>
    <n v="431769776"/>
    <n v="197251"/>
    <n v="4078418"/>
    <n v="2585"/>
    <x v="4"/>
    <n v="53130"/>
    <x v="4"/>
    <x v="166"/>
    <x v="165"/>
    <x v="238"/>
    <x v="238"/>
    <x v="237"/>
    <x v="171"/>
    <s v="MI"/>
    <s v="Flint"/>
    <s v="CO"/>
    <s v="Colorado Springs"/>
    <x v="2"/>
    <n v="711743"/>
    <s v="101-300"/>
    <n v="235"/>
    <x v="200"/>
    <x v="129"/>
    <n v="246.4"/>
    <n v="297.3"/>
    <x v="0"/>
    <s v="4.99"/>
    <s v="06:00-09:59"/>
    <x v="0"/>
    <x v="0"/>
    <n v="20"/>
    <n v="0"/>
    <n v="0"/>
    <n v="75.8"/>
    <n v="0"/>
    <n v="0.77500000000000002"/>
    <n v="0.68899999999999995"/>
    <n v="28588.6"/>
    <x v="2"/>
    <n v="1"/>
    <n v="0"/>
    <n v="1"/>
    <n v="0"/>
    <n v="1"/>
    <n v="0"/>
    <n v="1"/>
    <x v="24"/>
    <x v="26"/>
    <n v="207.88"/>
    <n v="61.57"/>
    <x v="238"/>
    <n v="11.9"/>
    <n v="25"/>
  </r>
  <r>
    <n v="464883950"/>
    <n v="197251"/>
    <n v="4078418"/>
    <n v="2585"/>
    <x v="4"/>
    <n v="50096"/>
    <x v="8"/>
    <x v="116"/>
    <x v="115"/>
    <x v="239"/>
    <x v="239"/>
    <x v="238"/>
    <x v="172"/>
    <s v="PA"/>
    <s v="Harrisburg"/>
    <s v="NC"/>
    <s v="Greensboro"/>
    <x v="1"/>
    <n v="770769"/>
    <s v="301-500"/>
    <n v="431"/>
    <x v="201"/>
    <x v="185"/>
    <n v="438.2"/>
    <n v="495.7"/>
    <x v="0"/>
    <s v="7.42"/>
    <s v="18:00-23:59"/>
    <x v="6"/>
    <x v="0"/>
    <n v="-5"/>
    <n v="0"/>
    <n v="0"/>
    <n v="53.7"/>
    <n v="0"/>
    <n v="0.73199999999999998"/>
    <n v="0.73099999999999998"/>
    <n v="2484.6999999999998"/>
    <x v="0"/>
    <n v="1"/>
    <n v="1"/>
    <n v="0"/>
    <n v="1"/>
    <n v="0"/>
    <n v="1"/>
    <n v="0"/>
    <x v="43"/>
    <x v="15"/>
    <n v="443.55"/>
    <n v="102.47"/>
    <x v="239"/>
    <n v="11.9"/>
    <n v="14.5"/>
  </r>
  <r>
    <n v="476908532"/>
    <n v="197251"/>
    <n v="4078418"/>
    <n v="2585"/>
    <x v="4"/>
    <n v="53858"/>
    <x v="12"/>
    <x v="64"/>
    <x v="64"/>
    <x v="240"/>
    <x v="240"/>
    <x v="239"/>
    <x v="82"/>
    <s v="TN"/>
    <s v="Chattanooga"/>
    <s v="TN"/>
    <s v="Knoxville"/>
    <x v="1"/>
    <n v="733303"/>
    <s v="0-100"/>
    <n v="67"/>
    <x v="202"/>
    <x v="186"/>
    <n v="62.9"/>
    <n v="78.3"/>
    <x v="0"/>
    <s v="1.79"/>
    <s v="06:00-09:59"/>
    <x v="4"/>
    <x v="0"/>
    <n v="-6"/>
    <n v="0"/>
    <n v="0"/>
    <n v="52.5"/>
    <n v="0"/>
    <n v="0.65100000000000002"/>
    <n v="0.47"/>
    <n v="865.77"/>
    <x v="0"/>
    <n v="1"/>
    <n v="1"/>
    <n v="0"/>
    <n v="1"/>
    <n v="0"/>
    <n v="1"/>
    <n v="0"/>
    <x v="81"/>
    <x v="8"/>
    <n v="54.84"/>
    <n v="11.47"/>
    <x v="240"/>
    <n v="11.9"/>
    <n v="19"/>
  </r>
  <r>
    <n v="106556040"/>
    <n v="876646"/>
    <n v="2191066"/>
    <n v="1769"/>
    <x v="1"/>
    <n v="52708"/>
    <x v="1"/>
    <x v="80"/>
    <x v="80"/>
    <x v="241"/>
    <x v="241"/>
    <x v="240"/>
    <x v="79"/>
    <s v="CA"/>
    <s v="Sacramento"/>
    <s v="CA"/>
    <s v="Los Angeles"/>
    <x v="2"/>
    <n v="739562"/>
    <s v="101-300"/>
    <n v="124"/>
    <x v="203"/>
    <x v="93"/>
    <n v="124.4"/>
    <n v="137"/>
    <x v="4"/>
    <s v="2.31"/>
    <s v="18:00-23:59"/>
    <x v="5"/>
    <x v="0"/>
    <n v="-23"/>
    <n v="0"/>
    <n v="0"/>
    <n v="5"/>
    <n v="0"/>
    <n v="0.61599999999999999"/>
    <n v="0.57499999999999996"/>
    <n v="11072.31"/>
    <x v="1"/>
    <n v="1"/>
    <n v="1"/>
    <n v="0"/>
    <n v="1"/>
    <n v="0"/>
    <n v="1"/>
    <n v="0"/>
    <x v="82"/>
    <x v="79"/>
    <n v="106.39"/>
    <n v="15.96"/>
    <x v="241"/>
    <n v="17.2"/>
    <n v="0"/>
  </r>
  <r>
    <n v="294782734"/>
    <n v="358607"/>
    <n v="5727085"/>
    <n v="6864"/>
    <x v="1"/>
    <n v="55397"/>
    <x v="5"/>
    <x v="108"/>
    <x v="107"/>
    <x v="242"/>
    <x v="242"/>
    <x v="241"/>
    <x v="107"/>
    <s v="TN"/>
    <s v="Memphis"/>
    <s v="NY"/>
    <s v="Albany"/>
    <x v="3"/>
    <n v="737287"/>
    <s v="101-300"/>
    <n v="200"/>
    <x v="138"/>
    <x v="37"/>
    <n v="194.1"/>
    <n v="258.89999999999998"/>
    <x v="0"/>
    <s v="4.56"/>
    <s v="00:00-05:59"/>
    <x v="1"/>
    <x v="0"/>
    <n v="-26"/>
    <n v="0"/>
    <n v="0"/>
    <n v="98"/>
    <n v="0"/>
    <n v="0.55800000000000005"/>
    <n v="0.59399999999999997"/>
    <n v="14660.14"/>
    <x v="1"/>
    <n v="1"/>
    <n v="1"/>
    <n v="0"/>
    <n v="1"/>
    <n v="0"/>
    <n v="1"/>
    <n v="0"/>
    <x v="22"/>
    <x v="35"/>
    <n v="179.55"/>
    <n v="37.04"/>
    <x v="242"/>
    <n v="7.3"/>
    <n v="41.5"/>
  </r>
  <r>
    <n v="253815116"/>
    <n v="120422"/>
    <n v="3995870"/>
    <n v="6423"/>
    <x v="2"/>
    <n v="56152"/>
    <x v="12"/>
    <x v="167"/>
    <x v="166"/>
    <x v="243"/>
    <x v="243"/>
    <x v="242"/>
    <x v="173"/>
    <s v="NY"/>
    <s v="Syracuse"/>
    <s v="NC"/>
    <s v="Raleigh"/>
    <x v="1"/>
    <n v="734898"/>
    <s v="0-100"/>
    <n v="109"/>
    <x v="204"/>
    <x v="56"/>
    <n v="106.7"/>
    <n v="125.1"/>
    <x v="0"/>
    <s v="1.44"/>
    <s v="00:00-05:59"/>
    <x v="0"/>
    <x v="0"/>
    <n v="-34"/>
    <n v="29"/>
    <n v="0"/>
    <n v="73.8"/>
    <n v="0"/>
    <n v="0.84199999999999997"/>
    <n v="0.58799999999999997"/>
    <n v="4205.29"/>
    <x v="0"/>
    <n v="1"/>
    <n v="1"/>
    <n v="0"/>
    <n v="1"/>
    <n v="0"/>
    <n v="1"/>
    <n v="0"/>
    <x v="83"/>
    <x v="41"/>
    <n v="114.01"/>
    <n v="14.44"/>
    <x v="243"/>
    <n v="14.6"/>
    <n v="3.4"/>
  </r>
  <r>
    <n v="708082645"/>
    <n v="216739"/>
    <n v="8574680"/>
    <n v="1860"/>
    <x v="4"/>
    <n v="50456"/>
    <x v="7"/>
    <x v="109"/>
    <x v="108"/>
    <x v="244"/>
    <x v="244"/>
    <x v="243"/>
    <x v="108"/>
    <s v="NY"/>
    <s v="Albany"/>
    <s v="NY"/>
    <s v="Syracuse"/>
    <x v="3"/>
    <n v="742838"/>
    <s v="0-100"/>
    <n v="95"/>
    <x v="205"/>
    <x v="187"/>
    <n v="100.2"/>
    <n v="136.1"/>
    <x v="1"/>
    <s v="0.03"/>
    <s v="10:00-13:59"/>
    <x v="4"/>
    <x v="0"/>
    <n v="-88"/>
    <n v="0"/>
    <n v="0"/>
    <n v="73.7"/>
    <n v="0"/>
    <n v="0.88500000000000001"/>
    <n v="0.70799999999999996"/>
    <n v="4577.46"/>
    <x v="0"/>
    <n v="1"/>
    <n v="1"/>
    <n v="0"/>
    <n v="1"/>
    <n v="0"/>
    <n v="1"/>
    <n v="0"/>
    <x v="6"/>
    <x v="58"/>
    <n v="86.09"/>
    <n v="18.579999999999998"/>
    <x v="244"/>
    <n v="14.3"/>
    <n v="11.7"/>
  </r>
  <r>
    <n v="805818425"/>
    <n v="872246"/>
    <n v="4860684"/>
    <n v="6578"/>
    <x v="5"/>
    <n v="55914"/>
    <x v="2"/>
    <x v="168"/>
    <x v="167"/>
    <x v="245"/>
    <x v="245"/>
    <x v="244"/>
    <x v="174"/>
    <s v="IL"/>
    <s v="Peoria"/>
    <s v="GA"/>
    <s v="Augusta"/>
    <x v="1"/>
    <n v="714749"/>
    <s v="501-1000"/>
    <n v="989"/>
    <x v="31"/>
    <x v="54"/>
    <n v="990.5"/>
    <n v="1013.6"/>
    <x v="2"/>
    <s v="19.23"/>
    <s v="06:00-09:59"/>
    <x v="1"/>
    <x v="3"/>
    <n v="57"/>
    <n v="0"/>
    <n v="0"/>
    <n v="72.5"/>
    <n v="0"/>
    <n v="0.65"/>
    <n v="0.63500000000000001"/>
    <n v="20076.580000000002"/>
    <x v="1"/>
    <n v="1"/>
    <n v="0"/>
    <n v="1"/>
    <n v="0"/>
    <n v="1"/>
    <n v="0"/>
    <n v="1"/>
    <x v="84"/>
    <x v="80"/>
    <n v="681.45"/>
    <n v="195.16"/>
    <x v="245"/>
    <n v="41.8"/>
    <n v="17"/>
  </r>
  <r>
    <n v="530338918"/>
    <n v="514850"/>
    <n v="3253031"/>
    <n v="6450"/>
    <x v="3"/>
    <n v="54368"/>
    <x v="13"/>
    <x v="169"/>
    <x v="168"/>
    <x v="246"/>
    <x v="246"/>
    <x v="245"/>
    <x v="175"/>
    <s v="IL"/>
    <s v="Aurora"/>
    <s v="CA"/>
    <s v="Oakland"/>
    <x v="2"/>
    <n v="745603"/>
    <s v="101-300"/>
    <n v="281"/>
    <x v="206"/>
    <x v="60"/>
    <n v="293.7"/>
    <n v="350.9"/>
    <x v="0"/>
    <s v="4.94"/>
    <s v="14:00-17:59"/>
    <x v="4"/>
    <x v="0"/>
    <n v="-22"/>
    <n v="0"/>
    <n v="0"/>
    <n v="7.8"/>
    <n v="0"/>
    <n v="0.71299999999999997"/>
    <n v="0.73199999999999998"/>
    <n v="7772.55"/>
    <x v="1"/>
    <n v="1"/>
    <n v="1"/>
    <n v="0"/>
    <n v="1"/>
    <n v="0"/>
    <n v="1"/>
    <n v="0"/>
    <x v="19"/>
    <x v="52"/>
    <n v="298.08999999999997"/>
    <n v="47.38"/>
    <x v="246"/>
    <n v="0.1"/>
    <n v="80.7"/>
  </r>
  <r>
    <n v="174716780"/>
    <n v="656116"/>
    <n v="9996207"/>
    <n v="5061"/>
    <x v="2"/>
    <n v="54088"/>
    <x v="11"/>
    <x v="15"/>
    <x v="15"/>
    <x v="247"/>
    <x v="247"/>
    <x v="246"/>
    <x v="15"/>
    <s v="MO"/>
    <s v="Springfield"/>
    <s v="CA"/>
    <s v="Fresno"/>
    <x v="2"/>
    <n v="733586"/>
    <s v="101-300"/>
    <n v="127"/>
    <x v="207"/>
    <x v="188"/>
    <n v="119.7"/>
    <n v="188.1"/>
    <x v="0"/>
    <s v="3.26"/>
    <s v="10:00-13:59"/>
    <x v="6"/>
    <x v="0"/>
    <n v="-25"/>
    <n v="0"/>
    <n v="0"/>
    <n v="51.3"/>
    <n v="0"/>
    <n v="0.65900000000000003"/>
    <n v="0.83599999999999997"/>
    <n v="96663.52"/>
    <x v="2"/>
    <n v="1"/>
    <n v="1"/>
    <n v="0"/>
    <n v="1"/>
    <n v="0"/>
    <n v="1"/>
    <n v="0"/>
    <x v="52"/>
    <x v="46"/>
    <n v="125.17"/>
    <n v="31.09"/>
    <x v="247"/>
    <n v="0.1"/>
    <n v="26.6"/>
  </r>
  <r>
    <n v="252336745"/>
    <n v="301629"/>
    <n v="8633773"/>
    <n v="7331"/>
    <x v="1"/>
    <n v="59223"/>
    <x v="2"/>
    <x v="46"/>
    <x v="46"/>
    <x v="248"/>
    <x v="248"/>
    <x v="247"/>
    <x v="176"/>
    <s v="MI"/>
    <s v="Lansing"/>
    <s v="NY"/>
    <s v="Albany"/>
    <x v="3"/>
    <n v="788047"/>
    <s v="0-100"/>
    <n v="40"/>
    <x v="208"/>
    <x v="144"/>
    <n v="39.799999999999997"/>
    <n v="64.2"/>
    <x v="3"/>
    <s v="4.7"/>
    <s v="00:00-05:59"/>
    <x v="0"/>
    <x v="4"/>
    <n v="192"/>
    <n v="426"/>
    <n v="0"/>
    <n v="60.6"/>
    <n v="0"/>
    <n v="0.58699999999999997"/>
    <n v="0.53800000000000003"/>
    <n v="10453.9"/>
    <x v="1"/>
    <n v="1"/>
    <n v="0"/>
    <n v="1"/>
    <n v="0"/>
    <n v="1"/>
    <n v="0"/>
    <n v="1"/>
    <x v="1"/>
    <x v="16"/>
    <n v="58.67"/>
    <n v="7.34"/>
    <x v="248"/>
    <n v="63.5"/>
    <n v="12.3"/>
  </r>
  <r>
    <n v="895609471"/>
    <n v="996865"/>
    <n v="2022698"/>
    <n v="6463"/>
    <x v="5"/>
    <n v="58399"/>
    <x v="5"/>
    <x v="170"/>
    <x v="169"/>
    <x v="249"/>
    <x v="249"/>
    <x v="248"/>
    <x v="177"/>
    <s v="IL"/>
    <s v="Aurora"/>
    <s v="GA"/>
    <s v="Macon"/>
    <x v="1"/>
    <n v="714749"/>
    <s v="301-500"/>
    <n v="290"/>
    <x v="112"/>
    <x v="189"/>
    <n v="287"/>
    <n v="306.10000000000002"/>
    <x v="0"/>
    <s v="6.75"/>
    <s v="06:00-09:59"/>
    <x v="6"/>
    <x v="0"/>
    <n v="-36"/>
    <n v="0"/>
    <n v="0"/>
    <n v="22.6"/>
    <n v="0"/>
    <n v="0.78500000000000003"/>
    <n v="0.63800000000000001"/>
    <n v="1518.88"/>
    <x v="0"/>
    <n v="1"/>
    <n v="1"/>
    <n v="0"/>
    <n v="1"/>
    <n v="0"/>
    <n v="1"/>
    <n v="0"/>
    <x v="85"/>
    <x v="66"/>
    <n v="219.29"/>
    <n v="43.38"/>
    <x v="249"/>
    <n v="8.8000000000000007"/>
    <n v="25.8"/>
  </r>
  <r>
    <n v="779863265"/>
    <n v="358607"/>
    <n v="5727085"/>
    <n v="6864"/>
    <x v="1"/>
    <n v="51937"/>
    <x v="6"/>
    <x v="78"/>
    <x v="78"/>
    <x v="250"/>
    <x v="250"/>
    <x v="249"/>
    <x v="77"/>
    <s v="IL"/>
    <s v="Springfield"/>
    <s v="MO"/>
    <s v="Springfield"/>
    <x v="0"/>
    <n v="754209"/>
    <s v="101-300"/>
    <n v="170"/>
    <x v="198"/>
    <x v="190"/>
    <n v="168.1"/>
    <n v="229.1"/>
    <x v="0"/>
    <s v="2.87"/>
    <s v="10:00-13:59"/>
    <x v="3"/>
    <x v="0"/>
    <n v="-35"/>
    <n v="0"/>
    <n v="0"/>
    <n v="56.1"/>
    <n v="0"/>
    <n v="0.55800000000000005"/>
    <n v="0.76800000000000002"/>
    <n v="48034.2"/>
    <x v="2"/>
    <n v="1"/>
    <n v="1"/>
    <n v="0"/>
    <n v="1"/>
    <n v="0"/>
    <n v="1"/>
    <n v="0"/>
    <x v="25"/>
    <x v="10"/>
    <n v="205.18"/>
    <n v="24"/>
    <x v="250"/>
    <n v="7.3"/>
    <n v="49.7"/>
  </r>
  <r>
    <n v="132917811"/>
    <n v="496922"/>
    <n v="9075854"/>
    <n v="8869"/>
    <x v="1"/>
    <n v="51146"/>
    <x v="10"/>
    <x v="9"/>
    <x v="9"/>
    <x v="251"/>
    <x v="251"/>
    <x v="250"/>
    <x v="9"/>
    <s v="FL"/>
    <s v="Orlando"/>
    <s v="IL"/>
    <s v="Aurora"/>
    <x v="0"/>
    <n v="774588"/>
    <s v="301-500"/>
    <n v="314"/>
    <x v="209"/>
    <x v="191"/>
    <n v="314.3"/>
    <n v="337.8"/>
    <x v="3"/>
    <s v="3.92"/>
    <s v="06:00-09:59"/>
    <x v="4"/>
    <x v="0"/>
    <n v="-65"/>
    <n v="0"/>
    <n v="0"/>
    <n v="70.3"/>
    <n v="0"/>
    <n v="0.71499999999999997"/>
    <n v="0.88700000000000001"/>
    <n v="19727.89"/>
    <x v="1"/>
    <n v="1"/>
    <n v="1"/>
    <n v="0"/>
    <n v="1"/>
    <n v="0"/>
    <n v="1"/>
    <n v="0"/>
    <x v="5"/>
    <x v="38"/>
    <n v="276.55"/>
    <n v="56"/>
    <x v="251"/>
    <n v="9.3000000000000007"/>
    <n v="28.2"/>
  </r>
  <r>
    <n v="198524063"/>
    <n v="334053"/>
    <n v="6672134"/>
    <n v="1466"/>
    <x v="5"/>
    <n v="55152"/>
    <x v="5"/>
    <x v="171"/>
    <x v="170"/>
    <x v="252"/>
    <x v="252"/>
    <x v="251"/>
    <x v="178"/>
    <s v="NJ"/>
    <s v="Jersey City"/>
    <s v="IL"/>
    <s v="Chicago"/>
    <x v="0"/>
    <n v="755514"/>
    <s v="0-100"/>
    <n v="62"/>
    <x v="117"/>
    <x v="22"/>
    <n v="57.9"/>
    <n v="96.9"/>
    <x v="0"/>
    <s v="2.69"/>
    <s v="14:00-17:59"/>
    <x v="5"/>
    <x v="0"/>
    <n v="-8"/>
    <n v="0"/>
    <n v="0"/>
    <n v="54.1"/>
    <n v="0"/>
    <n v="0.67100000000000004"/>
    <n v="0.58499999999999996"/>
    <n v="16038.27"/>
    <x v="1"/>
    <n v="1"/>
    <n v="1"/>
    <n v="0"/>
    <n v="1"/>
    <n v="0"/>
    <n v="1"/>
    <n v="0"/>
    <x v="39"/>
    <x v="26"/>
    <n v="78.510000000000005"/>
    <n v="13.73"/>
    <x v="252"/>
    <n v="28.7"/>
    <n v="47.9"/>
  </r>
  <r>
    <n v="901131404"/>
    <n v="456699"/>
    <n v="1415846"/>
    <n v="1197"/>
    <x v="4"/>
    <n v="54299"/>
    <x v="5"/>
    <x v="172"/>
    <x v="171"/>
    <x v="253"/>
    <x v="253"/>
    <x v="252"/>
    <x v="78"/>
    <s v="NC"/>
    <s v="Greensboro"/>
    <s v="NC"/>
    <s v="Greensboro"/>
    <x v="1"/>
    <n v="752322"/>
    <s v="501-1000"/>
    <n v="865"/>
    <x v="210"/>
    <x v="66"/>
    <n v="870.7"/>
    <n v="937"/>
    <x v="2"/>
    <s v="18.82"/>
    <s v="10:00-13:59"/>
    <x v="6"/>
    <x v="0"/>
    <n v="-38"/>
    <n v="0"/>
    <n v="0"/>
    <n v="54.1"/>
    <n v="0"/>
    <n v="0.80400000000000005"/>
    <n v="0.78"/>
    <n v="80788.570000000007"/>
    <x v="2"/>
    <n v="1"/>
    <n v="1"/>
    <n v="0"/>
    <n v="1"/>
    <n v="0"/>
    <n v="1"/>
    <n v="0"/>
    <x v="59"/>
    <x v="15"/>
    <n v="838.25"/>
    <n v="191.75"/>
    <x v="253"/>
    <n v="15.2"/>
    <n v="16.600000000000001"/>
  </r>
  <r>
    <n v="669601448"/>
    <n v="329974"/>
    <n v="5641923"/>
    <n v="4304"/>
    <x v="1"/>
    <n v="58118"/>
    <x v="4"/>
    <x v="116"/>
    <x v="115"/>
    <x v="254"/>
    <x v="254"/>
    <x v="253"/>
    <x v="116"/>
    <s v="TX"/>
    <s v="El Paso"/>
    <s v="TX"/>
    <s v="San Antonio"/>
    <x v="1"/>
    <n v="710286"/>
    <s v="101-300"/>
    <n v="293"/>
    <x v="211"/>
    <x v="192"/>
    <n v="303.5"/>
    <n v="347.7"/>
    <x v="0"/>
    <s v="6.83"/>
    <s v="06:00-09:59"/>
    <x v="6"/>
    <x v="0"/>
    <n v="-34"/>
    <n v="0"/>
    <n v="0"/>
    <n v="55.2"/>
    <n v="0"/>
    <n v="0.71199999999999997"/>
    <n v="0.82199999999999995"/>
    <n v="15354.19"/>
    <x v="1"/>
    <n v="1"/>
    <n v="1"/>
    <n v="0"/>
    <n v="1"/>
    <n v="0"/>
    <n v="1"/>
    <n v="0"/>
    <x v="52"/>
    <x v="17"/>
    <n v="269.11"/>
    <n v="51.15"/>
    <x v="254"/>
    <n v="28.3"/>
    <n v="56.8"/>
  </r>
  <r>
    <n v="330997172"/>
    <n v="249811"/>
    <n v="2795765"/>
    <n v="8392"/>
    <x v="2"/>
    <n v="58634"/>
    <x v="3"/>
    <x v="173"/>
    <x v="172"/>
    <x v="255"/>
    <x v="255"/>
    <x v="254"/>
    <x v="179"/>
    <s v="NJ"/>
    <s v="Elizabeth"/>
    <s v="TN"/>
    <s v="Chattanooga"/>
    <x v="1"/>
    <n v="729716"/>
    <s v="101-300"/>
    <n v="266"/>
    <x v="36"/>
    <x v="193"/>
    <n v="252"/>
    <n v="281.2"/>
    <x v="0"/>
    <s v="4.81"/>
    <s v="10:00-13:59"/>
    <x v="4"/>
    <x v="0"/>
    <n v="-6"/>
    <n v="0"/>
    <n v="0"/>
    <n v="42.2"/>
    <n v="0"/>
    <n v="0.66900000000000004"/>
    <n v="0.46100000000000002"/>
    <n v="2924.86"/>
    <x v="0"/>
    <n v="1"/>
    <n v="1"/>
    <n v="0"/>
    <n v="1"/>
    <n v="0"/>
    <n v="1"/>
    <n v="0"/>
    <x v="81"/>
    <x v="16"/>
    <n v="208.15"/>
    <n v="46.94"/>
    <x v="255"/>
    <n v="11.1"/>
    <n v="23.7"/>
  </r>
  <r>
    <n v="503935666"/>
    <n v="555884"/>
    <n v="7907400"/>
    <n v="7287"/>
    <x v="5"/>
    <n v="57759"/>
    <x v="7"/>
    <x v="139"/>
    <x v="139"/>
    <x v="256"/>
    <x v="256"/>
    <x v="255"/>
    <x v="143"/>
    <s v="AZ"/>
    <s v="Tucson"/>
    <s v="NY"/>
    <s v="Rochester"/>
    <x v="3"/>
    <n v="767013"/>
    <s v="101-300"/>
    <n v="306"/>
    <x v="212"/>
    <x v="68"/>
    <n v="314.39999999999998"/>
    <n v="383.9"/>
    <x v="0"/>
    <s v="6.27"/>
    <s v="06:00-09:59"/>
    <x v="1"/>
    <x v="0"/>
    <n v="-37"/>
    <n v="0"/>
    <n v="0"/>
    <n v="73.7"/>
    <n v="0"/>
    <n v="0.65"/>
    <n v="0.41299999999999998"/>
    <n v="2968.42"/>
    <x v="0"/>
    <n v="1"/>
    <n v="1"/>
    <n v="0"/>
    <n v="1"/>
    <n v="0"/>
    <n v="1"/>
    <n v="0"/>
    <x v="14"/>
    <x v="77"/>
    <n v="263.08"/>
    <n v="83.38"/>
    <x v="256"/>
    <n v="19.5"/>
    <n v="66.8"/>
  </r>
  <r>
    <n v="550791704"/>
    <n v="500156"/>
    <n v="3138181"/>
    <n v="7528"/>
    <x v="0"/>
    <n v="57953"/>
    <x v="3"/>
    <x v="24"/>
    <x v="24"/>
    <x v="257"/>
    <x v="257"/>
    <x v="256"/>
    <x v="24"/>
    <s v="NJ"/>
    <s v="Elizabeth"/>
    <s v="IL"/>
    <s v="Springfield"/>
    <x v="0"/>
    <n v="755514"/>
    <s v="101-300"/>
    <n v="116"/>
    <x v="213"/>
    <x v="94"/>
    <n v="131.1"/>
    <n v="149.30000000000001"/>
    <x v="0"/>
    <s v="2.07"/>
    <s v="06:00-09:59"/>
    <x v="1"/>
    <x v="0"/>
    <n v="-10"/>
    <n v="0"/>
    <n v="0"/>
    <n v="75.400000000000006"/>
    <n v="0"/>
    <n v="0.56699999999999995"/>
    <n v="0.64"/>
    <n v="36535.800000000003"/>
    <x v="2"/>
    <n v="1"/>
    <n v="1"/>
    <n v="0"/>
    <n v="1"/>
    <n v="0"/>
    <n v="1"/>
    <n v="0"/>
    <x v="25"/>
    <x v="36"/>
    <n v="99.04"/>
    <n v="26.44"/>
    <x v="257"/>
    <n v="24.1"/>
    <n v="24.5"/>
  </r>
  <r>
    <n v="587098457"/>
    <n v="460663"/>
    <n v="8434500"/>
    <n v="4843"/>
    <x v="0"/>
    <n v="54784"/>
    <x v="1"/>
    <x v="174"/>
    <x v="173"/>
    <x v="258"/>
    <x v="258"/>
    <x v="257"/>
    <x v="180"/>
    <s v="TX"/>
    <s v="San Antonio"/>
    <s v="TX"/>
    <s v="Austin"/>
    <x v="1"/>
    <n v="710286"/>
    <s v="301-500"/>
    <n v="292"/>
    <x v="127"/>
    <x v="0"/>
    <n v="293.10000000000002"/>
    <n v="353.3"/>
    <x v="0"/>
    <s v="4.96"/>
    <s v="06:00-09:59"/>
    <x v="5"/>
    <x v="0"/>
    <n v="-45"/>
    <n v="0"/>
    <n v="0"/>
    <n v="48.7"/>
    <n v="0"/>
    <n v="0.88100000000000001"/>
    <n v="0.53600000000000003"/>
    <n v="2529.59"/>
    <x v="0"/>
    <n v="1"/>
    <n v="1"/>
    <n v="0"/>
    <n v="1"/>
    <n v="0"/>
    <n v="1"/>
    <n v="0"/>
    <x v="86"/>
    <x v="66"/>
    <n v="302.97000000000003"/>
    <n v="56.55"/>
    <x v="258"/>
    <n v="13.9"/>
    <n v="18.600000000000001"/>
  </r>
  <r>
    <n v="466034277"/>
    <n v="344098"/>
    <n v="6261415"/>
    <n v="3027"/>
    <x v="0"/>
    <n v="59024"/>
    <x v="6"/>
    <x v="175"/>
    <x v="174"/>
    <x v="259"/>
    <x v="259"/>
    <x v="258"/>
    <x v="181"/>
    <s v="IL"/>
    <s v="Rockford"/>
    <s v="GA"/>
    <s v="Columbus"/>
    <x v="1"/>
    <n v="714749"/>
    <s v="501-1000"/>
    <n v="856"/>
    <x v="214"/>
    <x v="116"/>
    <n v="852.3"/>
    <n v="933.5"/>
    <x v="0"/>
    <s v="20.27"/>
    <s v="14:00-17:59"/>
    <x v="3"/>
    <x v="4"/>
    <n v="159"/>
    <n v="36"/>
    <n v="0"/>
    <n v="34.4"/>
    <n v="0"/>
    <n v="0.50600000000000001"/>
    <n v="0.495"/>
    <n v="3462.57"/>
    <x v="0"/>
    <n v="1"/>
    <n v="0"/>
    <n v="1"/>
    <n v="0"/>
    <n v="1"/>
    <n v="0"/>
    <n v="1"/>
    <x v="37"/>
    <x v="67"/>
    <n v="614.6"/>
    <n v="104.34"/>
    <x v="259"/>
    <n v="11.4"/>
    <n v="32.6"/>
  </r>
  <r>
    <n v="269016920"/>
    <n v="308496"/>
    <n v="5076817"/>
    <n v="3747"/>
    <x v="5"/>
    <n v="51461"/>
    <x v="6"/>
    <x v="65"/>
    <x v="65"/>
    <x v="260"/>
    <x v="260"/>
    <x v="259"/>
    <x v="64"/>
    <s v="NJ"/>
    <s v="Trenton"/>
    <s v="MO"/>
    <s v="Independence"/>
    <x v="0"/>
    <n v="712499"/>
    <s v="101-300"/>
    <n v="167"/>
    <x v="215"/>
    <x v="194"/>
    <n v="163.6"/>
    <n v="211.1"/>
    <x v="1"/>
    <s v="3.27"/>
    <s v="18:00-23:59"/>
    <x v="3"/>
    <x v="0"/>
    <n v="-31"/>
    <n v="0"/>
    <n v="0"/>
    <n v="23.1"/>
    <n v="0"/>
    <n v="0.54300000000000004"/>
    <n v="0.53300000000000003"/>
    <n v="15696.28"/>
    <x v="1"/>
    <n v="1"/>
    <n v="1"/>
    <n v="0"/>
    <n v="1"/>
    <n v="0"/>
    <n v="1"/>
    <n v="0"/>
    <x v="14"/>
    <x v="56"/>
    <n v="155.84"/>
    <n v="41.91"/>
    <x v="260"/>
    <n v="15.5"/>
    <n v="56.3"/>
  </r>
  <r>
    <n v="497341481"/>
    <n v="835392"/>
    <n v="4194548"/>
    <n v="4005"/>
    <x v="8"/>
    <n v="51159"/>
    <x v="10"/>
    <x v="176"/>
    <x v="175"/>
    <x v="261"/>
    <x v="261"/>
    <x v="260"/>
    <x v="182"/>
    <s v="TN"/>
    <s v="Knoxville"/>
    <s v="TN"/>
    <s v="Memphis"/>
    <x v="1"/>
    <n v="733303"/>
    <s v="301-500"/>
    <n v="348"/>
    <x v="187"/>
    <x v="195"/>
    <n v="346.2"/>
    <n v="356.5"/>
    <x v="0"/>
    <s v="11.48"/>
    <s v="14:00-17:59"/>
    <x v="1"/>
    <x v="0"/>
    <n v="-24"/>
    <n v="0"/>
    <n v="0"/>
    <n v="57"/>
    <n v="0"/>
    <n v="0.85299999999999998"/>
    <n v="0.623"/>
    <n v="1172.52"/>
    <x v="0"/>
    <n v="1"/>
    <n v="1"/>
    <n v="0"/>
    <n v="1"/>
    <n v="0"/>
    <n v="1"/>
    <n v="0"/>
    <x v="57"/>
    <x v="81"/>
    <n v="264.8"/>
    <n v="63.13"/>
    <x v="261"/>
    <n v="31.7"/>
    <n v="31.2"/>
  </r>
  <r>
    <n v="434618074"/>
    <n v="500156"/>
    <n v="3138181"/>
    <n v="7528"/>
    <x v="0"/>
    <n v="50386"/>
    <x v="6"/>
    <x v="177"/>
    <x v="176"/>
    <x v="262"/>
    <x v="262"/>
    <x v="261"/>
    <x v="112"/>
    <s v="FL"/>
    <s v="Jacksonville"/>
    <s v="MI"/>
    <s v="Grand Rapids"/>
    <x v="0"/>
    <n v="747876"/>
    <s v="301-500"/>
    <n v="366"/>
    <x v="216"/>
    <x v="196"/>
    <n v="368.6"/>
    <n v="398.1"/>
    <x v="0"/>
    <s v="7.98"/>
    <s v="06:00-09:59"/>
    <x v="4"/>
    <x v="0"/>
    <n v="15"/>
    <n v="0"/>
    <n v="0"/>
    <n v="59.1"/>
    <n v="0"/>
    <n v="0.61699999999999999"/>
    <n v="0.51100000000000001"/>
    <n v="2535.81"/>
    <x v="0"/>
    <n v="1"/>
    <n v="1"/>
    <n v="0"/>
    <n v="1"/>
    <n v="0"/>
    <n v="1"/>
    <n v="0"/>
    <x v="6"/>
    <x v="22"/>
    <n v="326.18"/>
    <n v="44.99"/>
    <x v="262"/>
    <n v="24.1"/>
    <n v="17.899999999999999"/>
  </r>
  <r>
    <n v="874807770"/>
    <n v="972064"/>
    <n v="2818692"/>
    <n v="8158"/>
    <x v="1"/>
    <n v="57192"/>
    <x v="1"/>
    <x v="178"/>
    <x v="177"/>
    <x v="263"/>
    <x v="263"/>
    <x v="262"/>
    <x v="183"/>
    <s v="IL"/>
    <s v="Peoria"/>
    <s v="AZ"/>
    <s v="Mesa"/>
    <x v="2"/>
    <n v="775527"/>
    <s v="501-1000"/>
    <n v="633"/>
    <x v="217"/>
    <x v="197"/>
    <n v="630.4"/>
    <n v="676.9"/>
    <x v="2"/>
    <s v="14.69"/>
    <s v="06:00-09:59"/>
    <x v="1"/>
    <x v="0"/>
    <n v="-54"/>
    <n v="0"/>
    <n v="0"/>
    <n v="54.6"/>
    <n v="0"/>
    <n v="0.56200000000000006"/>
    <n v="0.36399999999999999"/>
    <n v="2921.19"/>
    <x v="0"/>
    <n v="1"/>
    <n v="1"/>
    <n v="0"/>
    <n v="1"/>
    <n v="0"/>
    <n v="1"/>
    <n v="0"/>
    <x v="40"/>
    <x v="47"/>
    <n v="476.24"/>
    <n v="87.65"/>
    <x v="263"/>
    <n v="10"/>
    <n v="27.9"/>
  </r>
  <r>
    <n v="448303473"/>
    <n v="665492"/>
    <n v="5960271"/>
    <n v="7015"/>
    <x v="1"/>
    <n v="59910"/>
    <x v="7"/>
    <x v="179"/>
    <x v="178"/>
    <x v="264"/>
    <x v="264"/>
    <x v="263"/>
    <x v="48"/>
    <s v="FL"/>
    <s v="Fort Lauderdale"/>
    <s v="AZ"/>
    <s v="Phoenix"/>
    <x v="2"/>
    <n v="756949"/>
    <s v="101-300"/>
    <n v="214"/>
    <x v="196"/>
    <x v="198"/>
    <n v="213.5"/>
    <n v="298.8"/>
    <x v="0"/>
    <s v="20.12"/>
    <s v="10:00-13:59"/>
    <x v="3"/>
    <x v="4"/>
    <n v="956"/>
    <n v="214"/>
    <n v="0"/>
    <n v="43.8"/>
    <n v="0"/>
    <n v="0.55700000000000005"/>
    <n v="0.66400000000000003"/>
    <n v="72476.88"/>
    <x v="2"/>
    <n v="1"/>
    <n v="0"/>
    <n v="1"/>
    <n v="0"/>
    <n v="1"/>
    <n v="0"/>
    <n v="1"/>
    <x v="8"/>
    <x v="10"/>
    <n v="260.39"/>
    <n v="49.16"/>
    <x v="264"/>
    <n v="5.6"/>
    <n v="4.9000000000000004"/>
  </r>
  <r>
    <n v="934120892"/>
    <n v="245051"/>
    <n v="1739653"/>
    <n v="4763"/>
    <x v="7"/>
    <n v="54775"/>
    <x v="1"/>
    <x v="180"/>
    <x v="179"/>
    <x v="265"/>
    <x v="265"/>
    <x v="264"/>
    <x v="184"/>
    <s v="WA"/>
    <s v="Spokane"/>
    <s v="WA"/>
    <s v="Everett"/>
    <x v="2"/>
    <n v="745653"/>
    <s v="101-300"/>
    <n v="199"/>
    <x v="211"/>
    <x v="199"/>
    <n v="193.3"/>
    <n v="234.9"/>
    <x v="0"/>
    <s v="4.82"/>
    <s v="14:00-17:59"/>
    <x v="4"/>
    <x v="0"/>
    <n v="-38"/>
    <n v="0"/>
    <n v="0"/>
    <n v="53"/>
    <n v="0"/>
    <n v="0.53700000000000003"/>
    <n v="0.83899999999999997"/>
    <n v="17360.55"/>
    <x v="1"/>
    <n v="1"/>
    <n v="1"/>
    <n v="0"/>
    <n v="1"/>
    <n v="0"/>
    <n v="1"/>
    <n v="0"/>
    <x v="26"/>
    <x v="56"/>
    <n v="160.26"/>
    <n v="24.76"/>
    <x v="265"/>
    <n v="12.9"/>
    <n v="58"/>
  </r>
  <r>
    <n v="709448939"/>
    <n v="197251"/>
    <n v="4078418"/>
    <n v="2585"/>
    <x v="4"/>
    <n v="53409"/>
    <x v="8"/>
    <x v="181"/>
    <x v="180"/>
    <x v="266"/>
    <x v="266"/>
    <x v="265"/>
    <x v="95"/>
    <s v="NC"/>
    <s v="Greensboro"/>
    <s v="CO"/>
    <s v="Pueblo"/>
    <x v="2"/>
    <n v="760341"/>
    <s v="101-300"/>
    <n v="215"/>
    <x v="218"/>
    <x v="200"/>
    <n v="212.3"/>
    <n v="254.2"/>
    <x v="0"/>
    <s v="5.96"/>
    <s v="18:00-23:59"/>
    <x v="0"/>
    <x v="4"/>
    <n v="186"/>
    <n v="121"/>
    <n v="0"/>
    <n v="38.4"/>
    <n v="0"/>
    <n v="0.58499999999999996"/>
    <n v="0.81200000000000006"/>
    <n v="4103.21"/>
    <x v="0"/>
    <n v="1"/>
    <n v="0"/>
    <n v="1"/>
    <n v="0"/>
    <n v="1"/>
    <n v="0"/>
    <n v="1"/>
    <x v="17"/>
    <x v="26"/>
    <n v="217.78"/>
    <n v="47.33"/>
    <x v="266"/>
    <n v="11.9"/>
    <n v="19"/>
  </r>
  <r>
    <n v="740190407"/>
    <n v="629903"/>
    <n v="9143903"/>
    <n v="9666"/>
    <x v="9"/>
    <n v="50689"/>
    <x v="2"/>
    <x v="182"/>
    <x v="181"/>
    <x v="267"/>
    <x v="267"/>
    <x v="266"/>
    <x v="185"/>
    <s v="NJ"/>
    <s v="Newark"/>
    <s v="NC"/>
    <s v="Greensboro"/>
    <x v="1"/>
    <n v="724967"/>
    <s v="301-500"/>
    <n v="444"/>
    <x v="219"/>
    <x v="201"/>
    <n v="441.5"/>
    <n v="453"/>
    <x v="3"/>
    <s v="10.23"/>
    <s v="06:00-09:59"/>
    <x v="5"/>
    <x v="0"/>
    <n v="-14"/>
    <n v="0"/>
    <n v="0"/>
    <n v="35.200000000000003"/>
    <n v="0"/>
    <n v="0.83099999999999996"/>
    <n v="0.63600000000000001"/>
    <n v="15134.16"/>
    <x v="1"/>
    <n v="1"/>
    <n v="1"/>
    <n v="0"/>
    <n v="1"/>
    <n v="0"/>
    <n v="1"/>
    <n v="0"/>
    <x v="45"/>
    <x v="82"/>
    <n v="396.34"/>
    <n v="57.68"/>
    <x v="267"/>
    <n v="10.3"/>
    <n v="7.6"/>
  </r>
  <r>
    <n v="191221925"/>
    <n v="260263"/>
    <n v="5674183"/>
    <n v="5736"/>
    <x v="7"/>
    <n v="57028"/>
    <x v="1"/>
    <x v="179"/>
    <x v="178"/>
    <x v="268"/>
    <x v="268"/>
    <x v="267"/>
    <x v="186"/>
    <s v="TN"/>
    <s v="Clarksville"/>
    <s v="TN"/>
    <s v="Clarksville"/>
    <x v="1"/>
    <n v="733303"/>
    <s v="0-100"/>
    <n v="54"/>
    <x v="155"/>
    <x v="202"/>
    <n v="53.8"/>
    <n v="66.900000000000006"/>
    <x v="2"/>
    <s v="0.95"/>
    <s v="00:00-05:59"/>
    <x v="3"/>
    <x v="0"/>
    <n v="-33"/>
    <n v="0"/>
    <n v="0"/>
    <n v="30.1"/>
    <n v="0"/>
    <n v="0.97099999999999997"/>
    <n v="0.65600000000000003"/>
    <n v="2660.16"/>
    <x v="0"/>
    <n v="1"/>
    <n v="1"/>
    <n v="0"/>
    <n v="1"/>
    <n v="0"/>
    <n v="1"/>
    <n v="0"/>
    <x v="33"/>
    <x v="26"/>
    <n v="45.36"/>
    <n v="10.62"/>
    <x v="268"/>
    <n v="30.8"/>
    <n v="31"/>
  </r>
  <r>
    <n v="156488296"/>
    <n v="249811"/>
    <n v="2795765"/>
    <n v="8392"/>
    <x v="2"/>
    <n v="57262"/>
    <x v="13"/>
    <x v="146"/>
    <x v="146"/>
    <x v="269"/>
    <x v="269"/>
    <x v="268"/>
    <x v="151"/>
    <s v="MI"/>
    <s v="Ann Arbor"/>
    <s v="NJ"/>
    <s v="Newark"/>
    <x v="3"/>
    <n v="742039"/>
    <s v="101-300"/>
    <n v="159"/>
    <x v="67"/>
    <x v="203"/>
    <n v="150.30000000000001"/>
    <n v="165.2"/>
    <x v="0"/>
    <s v="3.64"/>
    <s v="14:00-17:59"/>
    <x v="5"/>
    <x v="0"/>
    <n v="-31"/>
    <n v="0"/>
    <n v="0"/>
    <n v="42.3"/>
    <n v="0"/>
    <n v="0.64800000000000002"/>
    <n v="0.69"/>
    <n v="5163.09"/>
    <x v="0"/>
    <n v="1"/>
    <n v="1"/>
    <n v="0"/>
    <n v="1"/>
    <n v="0"/>
    <n v="1"/>
    <n v="0"/>
    <x v="52"/>
    <x v="35"/>
    <n v="142.54"/>
    <n v="21.31"/>
    <x v="269"/>
    <n v="11.1"/>
    <n v="18"/>
  </r>
  <r>
    <n v="267052653"/>
    <n v="711878"/>
    <n v="1852264"/>
    <n v="2998"/>
    <x v="1"/>
    <n v="55664"/>
    <x v="5"/>
    <x v="183"/>
    <x v="182"/>
    <x v="270"/>
    <x v="270"/>
    <x v="269"/>
    <x v="174"/>
    <s v="NC"/>
    <s v="Durham"/>
    <s v="NC"/>
    <s v="Raleigh"/>
    <x v="1"/>
    <n v="752322"/>
    <s v="101-300"/>
    <n v="140"/>
    <x v="123"/>
    <x v="204"/>
    <n v="138"/>
    <n v="203.7"/>
    <x v="0"/>
    <s v="5.76"/>
    <s v="14:00-17:59"/>
    <x v="3"/>
    <x v="3"/>
    <n v="160"/>
    <n v="0"/>
    <n v="0"/>
    <n v="67.599999999999994"/>
    <n v="0"/>
    <n v="0.86899999999999999"/>
    <n v="0.78800000000000003"/>
    <n v="4883.5200000000004"/>
    <x v="0"/>
    <n v="1"/>
    <n v="0"/>
    <n v="1"/>
    <n v="0"/>
    <n v="1"/>
    <n v="0"/>
    <n v="1"/>
    <x v="49"/>
    <x v="39"/>
    <n v="169.91"/>
    <n v="32.33"/>
    <x v="270"/>
    <n v="61.5"/>
    <n v="8.6"/>
  </r>
  <r>
    <n v="269017588"/>
    <n v="287330"/>
    <n v="4348276"/>
    <n v="9338"/>
    <x v="3"/>
    <n v="56766"/>
    <x v="13"/>
    <x v="161"/>
    <x v="161"/>
    <x v="271"/>
    <x v="271"/>
    <x v="270"/>
    <x v="187"/>
    <s v="GA"/>
    <s v="Augusta"/>
    <s v="TX"/>
    <s v="Dallas"/>
    <x v="1"/>
    <n v="745157"/>
    <s v="101-300"/>
    <n v="180"/>
    <x v="220"/>
    <x v="205"/>
    <n v="178.7"/>
    <n v="245.1"/>
    <x v="2"/>
    <s v="4.64"/>
    <s v="14:00-17:59"/>
    <x v="2"/>
    <x v="0"/>
    <n v="19"/>
    <n v="0"/>
    <n v="0"/>
    <n v="43.2"/>
    <n v="0"/>
    <n v="0.65400000000000003"/>
    <n v="0.84699999999999998"/>
    <n v="10910.09"/>
    <x v="1"/>
    <n v="1"/>
    <n v="0"/>
    <n v="1"/>
    <n v="0"/>
    <n v="1"/>
    <n v="0"/>
    <n v="1"/>
    <x v="43"/>
    <x v="33"/>
    <n v="216.26"/>
    <n v="30.09"/>
    <x v="271"/>
    <n v="17.5"/>
    <n v="68.3"/>
  </r>
  <r>
    <n v="910069356"/>
    <n v="680099"/>
    <n v="7003042"/>
    <n v="6535"/>
    <x v="3"/>
    <n v="59361"/>
    <x v="1"/>
    <x v="184"/>
    <x v="183"/>
    <x v="272"/>
    <x v="272"/>
    <x v="271"/>
    <x v="67"/>
    <s v="FL"/>
    <s v="Tampa"/>
    <s v="NY"/>
    <s v="Buffalo"/>
    <x v="3"/>
    <n v="710118"/>
    <s v="301-500"/>
    <n v="460"/>
    <x v="221"/>
    <x v="8"/>
    <n v="461.1"/>
    <n v="504.1"/>
    <x v="2"/>
    <s v="9.24"/>
    <s v="14:00-17:59"/>
    <x v="4"/>
    <x v="0"/>
    <n v="-22"/>
    <n v="0"/>
    <n v="0"/>
    <n v="47.7"/>
    <n v="0"/>
    <n v="0.60599999999999998"/>
    <n v="0.73"/>
    <n v="18058.849999999999"/>
    <x v="1"/>
    <n v="1"/>
    <n v="1"/>
    <n v="0"/>
    <n v="1"/>
    <n v="0"/>
    <n v="1"/>
    <n v="0"/>
    <x v="24"/>
    <x v="4"/>
    <n v="389.66"/>
    <n v="86.34"/>
    <x v="272"/>
    <n v="28.3"/>
    <n v="38.200000000000003"/>
  </r>
  <r>
    <n v="763398699"/>
    <n v="439902"/>
    <n v="2935113"/>
    <n v="9815"/>
    <x v="6"/>
    <n v="50952"/>
    <x v="13"/>
    <x v="185"/>
    <x v="184"/>
    <x v="273"/>
    <x v="273"/>
    <x v="272"/>
    <x v="68"/>
    <s v="WA"/>
    <s v="Tacoma"/>
    <s v="TX"/>
    <s v="San Antonio"/>
    <x v="1"/>
    <n v="777840"/>
    <s v="301-500"/>
    <n v="464"/>
    <x v="186"/>
    <x v="206"/>
    <n v="472.4"/>
    <n v="505.8"/>
    <x v="0"/>
    <s v="9.93"/>
    <s v="18:00-23:59"/>
    <x v="3"/>
    <x v="0"/>
    <n v="-18"/>
    <n v="0"/>
    <n v="0"/>
    <n v="23.5"/>
    <n v="0"/>
    <n v="0.51400000000000001"/>
    <n v="0.53100000000000003"/>
    <n v="5514.6"/>
    <x v="0"/>
    <n v="1"/>
    <n v="1"/>
    <n v="0"/>
    <n v="1"/>
    <n v="0"/>
    <n v="1"/>
    <n v="0"/>
    <x v="58"/>
    <x v="9"/>
    <n v="349.08"/>
    <n v="105.84"/>
    <x v="273"/>
    <n v="45.7"/>
    <n v="38.700000000000003"/>
  </r>
  <r>
    <n v="153432064"/>
    <n v="876646"/>
    <n v="2191066"/>
    <n v="1769"/>
    <x v="1"/>
    <n v="56142"/>
    <x v="6"/>
    <x v="59"/>
    <x v="59"/>
    <x v="274"/>
    <x v="274"/>
    <x v="273"/>
    <x v="26"/>
    <s v="CO"/>
    <s v="Aurora"/>
    <s v="PA"/>
    <s v="Pittsburgh"/>
    <x v="3"/>
    <n v="728157"/>
    <s v="101-300"/>
    <n v="248"/>
    <x v="216"/>
    <x v="207"/>
    <n v="247.4"/>
    <n v="318.60000000000002"/>
    <x v="4"/>
    <s v="8.55 hrs"/>
    <s v="10:00-13:59"/>
    <x v="4"/>
    <x v="4"/>
    <n v="211"/>
    <n v="283"/>
    <n v="0"/>
    <n v="72.099999999999994"/>
    <n v="0"/>
    <n v="0.69099999999999995"/>
    <n v="0.47599999999999998"/>
    <n v="12969.62"/>
    <x v="1"/>
    <n v="1"/>
    <n v="0"/>
    <n v="1"/>
    <n v="0"/>
    <n v="1"/>
    <n v="0"/>
    <n v="1"/>
    <x v="38"/>
    <x v="64"/>
    <n v="284.7"/>
    <n v="62.73"/>
    <x v="274"/>
    <n v="17.2"/>
    <n v="1.9"/>
  </r>
  <r>
    <n v="823668399"/>
    <n v="265840"/>
    <n v="5163555"/>
    <n v="9800"/>
    <x v="0"/>
    <n v="55967"/>
    <x v="7"/>
    <x v="43"/>
    <x v="43"/>
    <x v="275"/>
    <x v="275"/>
    <x v="274"/>
    <x v="127"/>
    <s v="OH"/>
    <s v="Columbus"/>
    <s v="TX"/>
    <s v="San Antonio"/>
    <x v="1"/>
    <n v="782862"/>
    <s v="301-500"/>
    <n v="343"/>
    <x v="25"/>
    <x v="208"/>
    <n v="335.7"/>
    <n v="385.5"/>
    <x v="0"/>
    <s v="7.48"/>
    <s v="18:00-23:59"/>
    <x v="1"/>
    <x v="0"/>
    <n v="-16"/>
    <n v="0"/>
    <n v="0"/>
    <n v="67.3"/>
    <n v="0"/>
    <n v="0.46899999999999997"/>
    <n v="0.66700000000000004"/>
    <n v="5608.8"/>
    <x v="0"/>
    <n v="1"/>
    <n v="1"/>
    <n v="0"/>
    <n v="1"/>
    <n v="0"/>
    <n v="1"/>
    <n v="0"/>
    <x v="68"/>
    <x v="75"/>
    <n v="330.38"/>
    <n v="49.72"/>
    <x v="275"/>
    <n v="14.9"/>
    <n v="14.9"/>
  </r>
  <r>
    <n v="187597497"/>
    <n v="217301"/>
    <n v="5453786"/>
    <n v="5548"/>
    <x v="6"/>
    <n v="57205"/>
    <x v="1"/>
    <x v="155"/>
    <x v="155"/>
    <x v="276"/>
    <x v="276"/>
    <x v="275"/>
    <x v="188"/>
    <s v="OH"/>
    <s v="Cincinnati"/>
    <s v="TX"/>
    <s v="Houston"/>
    <x v="1"/>
    <n v="782862"/>
    <s v="101-300"/>
    <n v="231"/>
    <x v="222"/>
    <x v="209"/>
    <n v="231.8"/>
    <n v="276.8"/>
    <x v="3"/>
    <s v="4.66"/>
    <s v="18:00-23:59"/>
    <x v="6"/>
    <x v="0"/>
    <n v="-14"/>
    <n v="0"/>
    <n v="0"/>
    <n v="29.6"/>
    <n v="0"/>
    <n v="0.59399999999999997"/>
    <n v="0.65800000000000003"/>
    <n v="24152.45"/>
    <x v="2"/>
    <n v="1"/>
    <n v="1"/>
    <n v="0"/>
    <n v="1"/>
    <n v="0"/>
    <n v="1"/>
    <n v="0"/>
    <x v="41"/>
    <x v="78"/>
    <n v="173.36"/>
    <n v="44.23"/>
    <x v="276"/>
    <n v="13"/>
    <n v="54.7"/>
  </r>
  <r>
    <n v="392168202"/>
    <n v="479201"/>
    <n v="7550190"/>
    <n v="5887"/>
    <x v="4"/>
    <n v="52484"/>
    <x v="11"/>
    <x v="119"/>
    <x v="118"/>
    <x v="277"/>
    <x v="277"/>
    <x v="276"/>
    <x v="119"/>
    <s v="WA"/>
    <s v="Seattle"/>
    <s v="OH"/>
    <s v="Toledo"/>
    <x v="0"/>
    <n v="785905"/>
    <s v="101-300"/>
    <n v="227"/>
    <x v="223"/>
    <x v="116"/>
    <n v="222.7"/>
    <n v="269.3"/>
    <x v="3"/>
    <s v="6.58"/>
    <s v="14:00-17:59"/>
    <x v="6"/>
    <x v="0"/>
    <n v="-19"/>
    <n v="0"/>
    <n v="0"/>
    <n v="45.8"/>
    <n v="0"/>
    <n v="0.68799999999999994"/>
    <n v="0.73099999999999998"/>
    <n v="3484.45"/>
    <x v="0"/>
    <n v="1"/>
    <n v="1"/>
    <n v="0"/>
    <n v="1"/>
    <n v="0"/>
    <n v="1"/>
    <n v="0"/>
    <x v="54"/>
    <x v="18"/>
    <n v="242.86"/>
    <n v="40.6"/>
    <x v="277"/>
    <n v="13.1"/>
    <n v="67.599999999999994"/>
  </r>
  <r>
    <n v="575788930"/>
    <n v="634277"/>
    <n v="1059486"/>
    <n v="6232"/>
    <x v="4"/>
    <n v="51854"/>
    <x v="6"/>
    <x v="48"/>
    <x v="48"/>
    <x v="278"/>
    <x v="278"/>
    <x v="277"/>
    <x v="47"/>
    <s v="CO"/>
    <s v="Aurora"/>
    <s v="CO"/>
    <s v="Fort Collins"/>
    <x v="2"/>
    <n v="705397"/>
    <s v="101-300"/>
    <n v="209"/>
    <x v="224"/>
    <x v="19"/>
    <n v="204.6"/>
    <n v="291.60000000000002"/>
    <x v="0"/>
    <s v="5.24"/>
    <s v="06:00-09:59"/>
    <x v="6"/>
    <x v="0"/>
    <n v="-39"/>
    <n v="0"/>
    <n v="0"/>
    <n v="31.2"/>
    <n v="0"/>
    <n v="0.65800000000000003"/>
    <n v="0.38400000000000001"/>
    <n v="10100.32"/>
    <x v="1"/>
    <n v="1"/>
    <n v="1"/>
    <n v="0"/>
    <n v="1"/>
    <n v="0"/>
    <n v="1"/>
    <n v="0"/>
    <x v="72"/>
    <x v="83"/>
    <n v="263.77"/>
    <n v="62.94"/>
    <x v="278"/>
    <n v="4.7"/>
    <n v="34.299999999999997"/>
  </r>
  <r>
    <n v="810751262"/>
    <n v="301629"/>
    <n v="8633773"/>
    <n v="7331"/>
    <x v="1"/>
    <n v="53231"/>
    <x v="7"/>
    <x v="73"/>
    <x v="73"/>
    <x v="279"/>
    <x v="279"/>
    <x v="278"/>
    <x v="72"/>
    <s v="PA"/>
    <s v="Erie"/>
    <s v="OH"/>
    <s v="Cincinnati"/>
    <x v="0"/>
    <n v="798676"/>
    <s v="0-100"/>
    <n v="69"/>
    <x v="177"/>
    <x v="210"/>
    <n v="67.2"/>
    <n v="126.5"/>
    <x v="3"/>
    <s v="1.17"/>
    <s v="06:00-09:59"/>
    <x v="1"/>
    <x v="0"/>
    <n v="-26"/>
    <n v="0"/>
    <n v="0"/>
    <n v="45.4"/>
    <n v="0"/>
    <n v="0.70599999999999996"/>
    <n v="0.61399999999999999"/>
    <n v="10194.52"/>
    <x v="1"/>
    <n v="1"/>
    <n v="1"/>
    <n v="0"/>
    <n v="1"/>
    <n v="0"/>
    <n v="1"/>
    <n v="0"/>
    <x v="85"/>
    <x v="74"/>
    <n v="91.91"/>
    <n v="24.78"/>
    <x v="279"/>
    <n v="63.5"/>
    <n v="9.6"/>
  </r>
  <r>
    <n v="555282394"/>
    <n v="322086"/>
    <n v="7751158"/>
    <n v="4987"/>
    <x v="2"/>
    <n v="52597"/>
    <x v="7"/>
    <x v="186"/>
    <x v="185"/>
    <x v="280"/>
    <x v="280"/>
    <x v="279"/>
    <x v="189"/>
    <s v="CO"/>
    <s v="Aurora"/>
    <s v="TX"/>
    <s v="Austin"/>
    <x v="1"/>
    <n v="703172"/>
    <s v="101-300"/>
    <n v="210"/>
    <x v="225"/>
    <x v="80"/>
    <n v="206.9"/>
    <n v="209.4"/>
    <x v="1"/>
    <s v="4.18"/>
    <s v="10:00-13:59"/>
    <x v="1"/>
    <x v="0"/>
    <n v="-21"/>
    <n v="0"/>
    <n v="0"/>
    <n v="58.9"/>
    <n v="0"/>
    <n v="0.89300000000000002"/>
    <n v="0.69199999999999995"/>
    <n v="20040.759999999998"/>
    <x v="1"/>
    <n v="1"/>
    <n v="1"/>
    <n v="0"/>
    <n v="1"/>
    <n v="0"/>
    <n v="1"/>
    <n v="0"/>
    <x v="30"/>
    <x v="59"/>
    <n v="130.46"/>
    <n v="23.64"/>
    <x v="280"/>
    <n v="23.2"/>
    <n v="55.8"/>
  </r>
  <r>
    <n v="621475287"/>
    <n v="246316"/>
    <n v="1352896"/>
    <n v="5426"/>
    <x v="7"/>
    <n v="57829"/>
    <x v="3"/>
    <x v="18"/>
    <x v="18"/>
    <x v="281"/>
    <x v="281"/>
    <x v="280"/>
    <x v="18"/>
    <s v="PA"/>
    <s v="Erie"/>
    <s v="PA"/>
    <s v="Harrisburg"/>
    <x v="3"/>
    <n v="739365"/>
    <s v="301-500"/>
    <n v="420"/>
    <x v="226"/>
    <x v="159"/>
    <n v="413.6"/>
    <n v="435.6"/>
    <x v="0"/>
    <s v="6.12"/>
    <s v="10:00-13:59"/>
    <x v="3"/>
    <x v="0"/>
    <n v="-73"/>
    <n v="0"/>
    <n v="0"/>
    <n v="89.1"/>
    <n v="0"/>
    <n v="0.84399999999999997"/>
    <n v="0.502"/>
    <n v="2419.8000000000002"/>
    <x v="0"/>
    <n v="1"/>
    <n v="1"/>
    <n v="0"/>
    <n v="1"/>
    <n v="0"/>
    <n v="1"/>
    <n v="0"/>
    <x v="31"/>
    <x v="5"/>
    <n v="342.28"/>
    <n v="52.37"/>
    <x v="281"/>
    <n v="28.1"/>
    <n v="16.899999999999999"/>
  </r>
  <r>
    <n v="751842899"/>
    <n v="249811"/>
    <n v="2795765"/>
    <n v="8392"/>
    <x v="2"/>
    <n v="58186"/>
    <x v="12"/>
    <x v="187"/>
    <x v="186"/>
    <x v="282"/>
    <x v="282"/>
    <x v="281"/>
    <x v="159"/>
    <s v="IL"/>
    <s v="Rockford"/>
    <s v="TN"/>
    <s v="Memphis"/>
    <x v="1"/>
    <n v="758407"/>
    <s v="101-300"/>
    <n v="258"/>
    <x v="98"/>
    <x v="211"/>
    <n v="255.1"/>
    <n v="279.39999999999998"/>
    <x v="0"/>
    <s v="5.93"/>
    <s v="18:00-23:59"/>
    <x v="2"/>
    <x v="0"/>
    <n v="-16"/>
    <n v="0"/>
    <n v="0"/>
    <n v="40"/>
    <n v="0"/>
    <n v="0.67100000000000004"/>
    <n v="0.46800000000000003"/>
    <n v="921.32"/>
    <x v="0"/>
    <n v="1"/>
    <n v="1"/>
    <n v="0"/>
    <n v="1"/>
    <n v="0"/>
    <n v="1"/>
    <n v="0"/>
    <x v="87"/>
    <x v="84"/>
    <n v="249.81"/>
    <n v="51.48"/>
    <x v="282"/>
    <n v="11.1"/>
    <n v="15.9"/>
  </r>
  <r>
    <n v="574641329"/>
    <n v="263032"/>
    <n v="4191175"/>
    <n v="6486"/>
    <x v="9"/>
    <n v="53983"/>
    <x v="6"/>
    <x v="109"/>
    <x v="108"/>
    <x v="283"/>
    <x v="283"/>
    <x v="282"/>
    <x v="108"/>
    <s v="PA"/>
    <s v="Pittsburgh"/>
    <s v="TX"/>
    <s v="Houston"/>
    <x v="1"/>
    <n v="734732"/>
    <s v="301-500"/>
    <n v="315"/>
    <x v="227"/>
    <x v="46"/>
    <n v="317.7"/>
    <n v="380.6"/>
    <x v="4"/>
    <s v="7.66"/>
    <s v="06:00-09:59"/>
    <x v="4"/>
    <x v="0"/>
    <n v="33"/>
    <n v="0"/>
    <n v="0"/>
    <n v="60.6"/>
    <n v="0"/>
    <n v="0.74399999999999999"/>
    <n v="0.28999999999999998"/>
    <n v="74889.490000000005"/>
    <x v="2"/>
    <n v="1"/>
    <n v="0"/>
    <n v="1"/>
    <n v="0"/>
    <n v="1"/>
    <n v="0"/>
    <n v="1"/>
    <x v="29"/>
    <x v="61"/>
    <n v="250.18"/>
    <n v="45.36"/>
    <x v="283"/>
    <n v="13.2"/>
    <n v="19.899999999999999"/>
  </r>
  <r>
    <n v="544726404"/>
    <n v="220116"/>
    <n v="6933742"/>
    <n v="5218"/>
    <x v="0"/>
    <n v="56963"/>
    <x v="8"/>
    <x v="157"/>
    <x v="157"/>
    <x v="284"/>
    <x v="284"/>
    <x v="283"/>
    <x v="161"/>
    <s v="MO"/>
    <s v="Independence"/>
    <s v="NY"/>
    <s v="Rochester"/>
    <x v="3"/>
    <n v="739953"/>
    <s v="101-300"/>
    <n v="266"/>
    <x v="199"/>
    <x v="212"/>
    <n v="266.2"/>
    <n v="285.7"/>
    <x v="0"/>
    <s v="6.38"/>
    <s v="06:00-09:59"/>
    <x v="5"/>
    <x v="0"/>
    <n v="-27"/>
    <n v="0"/>
    <n v="0"/>
    <n v="73"/>
    <n v="0"/>
    <n v="0.752"/>
    <n v="0.66"/>
    <n v="5848.49"/>
    <x v="0"/>
    <n v="1"/>
    <n v="1"/>
    <n v="0"/>
    <n v="1"/>
    <n v="0"/>
    <n v="1"/>
    <n v="0"/>
    <x v="88"/>
    <x v="85"/>
    <n v="227.75"/>
    <n v="61.16"/>
    <x v="284"/>
    <n v="31.9"/>
    <n v="42"/>
  </r>
  <r>
    <n v="393310667"/>
    <n v="207175"/>
    <n v="8077999"/>
    <n v="4152"/>
    <x v="6"/>
    <n v="56684"/>
    <x v="8"/>
    <x v="32"/>
    <x v="32"/>
    <x v="285"/>
    <x v="285"/>
    <x v="284"/>
    <x v="49"/>
    <s v="OH"/>
    <s v="Cincinnati"/>
    <s v="OH"/>
    <s v="Columbus"/>
    <x v="0"/>
    <n v="797593"/>
    <s v="0-100"/>
    <n v="32"/>
    <x v="228"/>
    <x v="213"/>
    <n v="26"/>
    <n v="63.5"/>
    <x v="3"/>
    <s v="1.22"/>
    <s v="14:00-17:59"/>
    <x v="5"/>
    <x v="0"/>
    <n v="-17"/>
    <n v="0"/>
    <n v="0"/>
    <n v="45.3"/>
    <n v="0"/>
    <n v="0.56000000000000005"/>
    <n v="0.2"/>
    <n v="7265.53"/>
    <x v="1"/>
    <n v="1"/>
    <n v="1"/>
    <n v="0"/>
    <n v="1"/>
    <n v="0"/>
    <n v="1"/>
    <n v="0"/>
    <x v="40"/>
    <x v="30"/>
    <n v="53.31"/>
    <n v="13.92"/>
    <x v="285"/>
    <n v="16.8"/>
    <n v="7.7"/>
  </r>
  <r>
    <n v="331465414"/>
    <n v="946335"/>
    <n v="1247595"/>
    <n v="6675"/>
    <x v="1"/>
    <n v="50656"/>
    <x v="4"/>
    <x v="188"/>
    <x v="187"/>
    <x v="286"/>
    <x v="286"/>
    <x v="285"/>
    <x v="190"/>
    <s v="TN"/>
    <s v="Clarksville"/>
    <s v="MO"/>
    <s v="Columbia"/>
    <x v="0"/>
    <n v="722184"/>
    <s v="0-100"/>
    <n v="25"/>
    <x v="28"/>
    <x v="149"/>
    <n v="19.8"/>
    <n v="63.7"/>
    <x v="0"/>
    <s v="0.9"/>
    <s v="06:00-09:59"/>
    <x v="6"/>
    <x v="0"/>
    <n v="-36"/>
    <n v="0"/>
    <n v="0"/>
    <n v="68.900000000000006"/>
    <n v="0"/>
    <n v="0.7"/>
    <n v="0.64"/>
    <n v="2288.7600000000002"/>
    <x v="0"/>
    <n v="1"/>
    <n v="1"/>
    <n v="0"/>
    <n v="1"/>
    <n v="0"/>
    <n v="1"/>
    <n v="0"/>
    <x v="76"/>
    <x v="74"/>
    <n v="42.07"/>
    <n v="12.32"/>
    <x v="286"/>
    <n v="32.6"/>
    <n v="7.1"/>
  </r>
  <r>
    <n v="910614025"/>
    <n v="913694"/>
    <n v="2229110"/>
    <n v="8408"/>
    <x v="4"/>
    <n v="57743"/>
    <x v="6"/>
    <x v="189"/>
    <x v="188"/>
    <x v="287"/>
    <x v="287"/>
    <x v="286"/>
    <x v="191"/>
    <s v="PA"/>
    <s v="Allentown"/>
    <s v="TX"/>
    <s v="El Paso"/>
    <x v="1"/>
    <n v="734732"/>
    <s v="101-300"/>
    <n v="314"/>
    <x v="229"/>
    <x v="214"/>
    <n v="314.7"/>
    <n v="324.89999999999998"/>
    <x v="0"/>
    <s v="5.65"/>
    <s v="06:00-09:59"/>
    <x v="6"/>
    <x v="0"/>
    <n v="-42"/>
    <n v="0"/>
    <n v="0"/>
    <n v="42.1"/>
    <n v="0"/>
    <n v="0.63200000000000001"/>
    <n v="0.875"/>
    <n v="3241.42"/>
    <x v="0"/>
    <n v="1"/>
    <n v="1"/>
    <n v="0"/>
    <n v="1"/>
    <n v="0"/>
    <n v="1"/>
    <n v="0"/>
    <x v="46"/>
    <x v="33"/>
    <n v="251.47"/>
    <n v="33.53"/>
    <x v="287"/>
    <n v="9.1"/>
    <n v="56.6"/>
  </r>
  <r>
    <n v="650127661"/>
    <n v="903035"/>
    <n v="7110622"/>
    <n v="3200"/>
    <x v="2"/>
    <n v="56839"/>
    <x v="3"/>
    <x v="190"/>
    <x v="189"/>
    <x v="288"/>
    <x v="288"/>
    <x v="287"/>
    <x v="192"/>
    <s v="GA"/>
    <s v="Savannah"/>
    <s v="GA"/>
    <s v="Atlanta"/>
    <x v="1"/>
    <n v="783084"/>
    <s v="101-300"/>
    <n v="310"/>
    <x v="207"/>
    <x v="215"/>
    <n v="304.10000000000002"/>
    <n v="376.7"/>
    <x v="2"/>
    <s v="4.57"/>
    <s v="10:00-13:59"/>
    <x v="0"/>
    <x v="0"/>
    <n v="-25"/>
    <n v="33"/>
    <n v="0"/>
    <n v="55.8"/>
    <n v="0"/>
    <n v="0.64"/>
    <n v="0.53300000000000003"/>
    <n v="21038.53"/>
    <x v="1"/>
    <n v="1"/>
    <n v="1"/>
    <n v="0"/>
    <n v="1"/>
    <n v="0"/>
    <n v="1"/>
    <n v="0"/>
    <x v="51"/>
    <x v="47"/>
    <n v="243.59"/>
    <n v="59.49"/>
    <x v="288"/>
    <n v="26.8"/>
    <n v="0.7"/>
  </r>
  <r>
    <n v="222210617"/>
    <n v="733052"/>
    <n v="2642635"/>
    <n v="8989"/>
    <x v="1"/>
    <n v="59988"/>
    <x v="1"/>
    <x v="191"/>
    <x v="190"/>
    <x v="289"/>
    <x v="289"/>
    <x v="288"/>
    <x v="193"/>
    <s v="OH"/>
    <s v="Columbus"/>
    <s v="NC"/>
    <s v="Durham"/>
    <x v="1"/>
    <n v="745838"/>
    <s v="0-100"/>
    <n v="25"/>
    <x v="132"/>
    <x v="216"/>
    <n v="19.600000000000001"/>
    <n v="72.2"/>
    <x v="2"/>
    <s v="1.43"/>
    <s v="14:00-17:59"/>
    <x v="2"/>
    <x v="0"/>
    <n v="-4"/>
    <n v="0"/>
    <n v="0"/>
    <n v="37.700000000000003"/>
    <n v="0"/>
    <n v="0.57099999999999995"/>
    <n v="0.71899999999999997"/>
    <n v="3633.18"/>
    <x v="0"/>
    <n v="1"/>
    <n v="1"/>
    <n v="0"/>
    <n v="1"/>
    <n v="0"/>
    <n v="1"/>
    <n v="0"/>
    <x v="64"/>
    <x v="86"/>
    <n v="56.85"/>
    <n v="10.74"/>
    <x v="289"/>
    <n v="11.9"/>
    <n v="19.5"/>
  </r>
  <r>
    <n v="470626529"/>
    <n v="391704"/>
    <n v="7897151"/>
    <n v="4556"/>
    <x v="1"/>
    <n v="56312"/>
    <x v="4"/>
    <x v="192"/>
    <x v="191"/>
    <x v="290"/>
    <x v="290"/>
    <x v="289"/>
    <x v="194"/>
    <s v="FL"/>
    <s v="Fort Lauderdale"/>
    <s v="OH"/>
    <s v="Cleveland"/>
    <x v="0"/>
    <n v="756614"/>
    <s v="101-300"/>
    <n v="200"/>
    <x v="230"/>
    <x v="191"/>
    <n v="196.6"/>
    <n v="235.9"/>
    <x v="4"/>
    <s v="4.63"/>
    <s v="06:00-09:59"/>
    <x v="3"/>
    <x v="0"/>
    <n v="-23"/>
    <n v="0"/>
    <n v="0"/>
    <n v="57.6"/>
    <n v="0"/>
    <n v="0.68600000000000005"/>
    <n v="0.70299999999999996"/>
    <n v="55681.15"/>
    <x v="2"/>
    <n v="1"/>
    <n v="1"/>
    <n v="0"/>
    <n v="1"/>
    <n v="0"/>
    <n v="1"/>
    <n v="0"/>
    <x v="71"/>
    <x v="26"/>
    <n v="177.55"/>
    <n v="46.22"/>
    <x v="290"/>
    <n v="11.3"/>
    <n v="35.700000000000003"/>
  </r>
  <r>
    <n v="561616250"/>
    <n v="854639"/>
    <n v="7417985"/>
    <n v="3811"/>
    <x v="6"/>
    <n v="57938"/>
    <x v="7"/>
    <x v="193"/>
    <x v="192"/>
    <x v="291"/>
    <x v="291"/>
    <x v="290"/>
    <x v="195"/>
    <s v="MI"/>
    <s v="Ann Arbor"/>
    <s v="FL"/>
    <s v="Orlando"/>
    <x v="1"/>
    <n v="780769"/>
    <s v="101-300"/>
    <n v="145"/>
    <x v="150"/>
    <x v="217"/>
    <n v="139.19999999999999"/>
    <n v="175.9"/>
    <x v="0"/>
    <s v="1.87"/>
    <s v="18:00-23:59"/>
    <x v="6"/>
    <x v="0"/>
    <n v="-26"/>
    <n v="0"/>
    <n v="0"/>
    <n v="55.8"/>
    <n v="0"/>
    <n v="0.46800000000000003"/>
    <n v="0.57599999999999996"/>
    <n v="12151.92"/>
    <x v="1"/>
    <n v="1"/>
    <n v="1"/>
    <n v="0"/>
    <n v="1"/>
    <n v="0"/>
    <n v="1"/>
    <n v="0"/>
    <x v="25"/>
    <x v="87"/>
    <n v="123.03"/>
    <n v="23.65"/>
    <x v="291"/>
    <n v="11.8"/>
    <n v="14.9"/>
  </r>
  <r>
    <n v="219066986"/>
    <n v="961722"/>
    <n v="5449324"/>
    <n v="7019"/>
    <x v="4"/>
    <n v="59954"/>
    <x v="10"/>
    <x v="127"/>
    <x v="126"/>
    <x v="292"/>
    <x v="292"/>
    <x v="291"/>
    <x v="128"/>
    <s v="CO"/>
    <s v="Colorado Springs"/>
    <s v="NY"/>
    <s v="Buffalo"/>
    <x v="3"/>
    <n v="757961"/>
    <s v="101-300"/>
    <n v="209"/>
    <x v="231"/>
    <x v="218"/>
    <n v="209.6"/>
    <n v="252.9"/>
    <x v="2"/>
    <s v="5.96"/>
    <s v="10:00-13:59"/>
    <x v="0"/>
    <x v="0"/>
    <n v="-7"/>
    <n v="0"/>
    <n v="0"/>
    <n v="81.400000000000006"/>
    <n v="0"/>
    <n v="0.503"/>
    <n v="0.64"/>
    <n v="60883.57"/>
    <x v="2"/>
    <n v="1"/>
    <n v="1"/>
    <n v="0"/>
    <n v="1"/>
    <n v="0"/>
    <n v="1"/>
    <n v="0"/>
    <x v="53"/>
    <x v="38"/>
    <n v="221.52"/>
    <n v="37.01"/>
    <x v="292"/>
    <n v="12.7"/>
    <n v="7.1"/>
  </r>
  <r>
    <n v="404133583"/>
    <n v="903035"/>
    <n v="7110622"/>
    <n v="3200"/>
    <x v="2"/>
    <n v="56176"/>
    <x v="1"/>
    <x v="194"/>
    <x v="193"/>
    <x v="293"/>
    <x v="293"/>
    <x v="292"/>
    <x v="196"/>
    <s v="CO"/>
    <s v="Colorado Springs"/>
    <s v="CO"/>
    <s v="Fort Collins"/>
    <x v="2"/>
    <n v="705397"/>
    <s v="301-500"/>
    <n v="480"/>
    <x v="202"/>
    <x v="60"/>
    <n v="478.2"/>
    <n v="501.9"/>
    <x v="2"/>
    <s v="13.67"/>
    <s v="18:00-23:59"/>
    <x v="6"/>
    <x v="4"/>
    <n v="174"/>
    <n v="178"/>
    <n v="0"/>
    <n v="81"/>
    <n v="0"/>
    <n v="0.59299999999999997"/>
    <n v="0.67200000000000004"/>
    <n v="11422.21"/>
    <x v="1"/>
    <n v="1"/>
    <n v="0"/>
    <n v="1"/>
    <n v="0"/>
    <n v="1"/>
    <n v="0"/>
    <n v="1"/>
    <x v="13"/>
    <x v="31"/>
    <n v="368.66"/>
    <n v="55.82"/>
    <x v="293"/>
    <n v="26.8"/>
    <n v="9.9"/>
  </r>
  <r>
    <n v="828230915"/>
    <n v="944962"/>
    <n v="2016911"/>
    <n v="9792"/>
    <x v="7"/>
    <n v="53285"/>
    <x v="8"/>
    <x v="195"/>
    <x v="194"/>
    <x v="294"/>
    <x v="294"/>
    <x v="293"/>
    <x v="197"/>
    <s v="NY"/>
    <s v="New York"/>
    <s v="AZ"/>
    <s v="Flagstaff"/>
    <x v="2"/>
    <n v="781681"/>
    <s v="301-500"/>
    <n v="508"/>
    <x v="232"/>
    <x v="219"/>
    <n v="516.4"/>
    <n v="579.79999999999995"/>
    <x v="0"/>
    <s v="10.4"/>
    <s v="10:00-13:59"/>
    <x v="0"/>
    <x v="0"/>
    <n v="-12"/>
    <n v="47"/>
    <n v="0.4"/>
    <n v="64.5"/>
    <n v="0"/>
    <n v="0.59599999999999997"/>
    <n v="0.64400000000000002"/>
    <n v="5561.46"/>
    <x v="0"/>
    <n v="1"/>
    <n v="1"/>
    <n v="0"/>
    <n v="1"/>
    <n v="0"/>
    <n v="1"/>
    <n v="0"/>
    <x v="59"/>
    <x v="44"/>
    <n v="481.2"/>
    <n v="81.819999999999993"/>
    <x v="294"/>
    <n v="11.5"/>
    <n v="15.6"/>
  </r>
  <r>
    <n v="828519068"/>
    <n v="195325"/>
    <n v="3194789"/>
    <n v="7585"/>
    <x v="7"/>
    <n v="59777"/>
    <x v="7"/>
    <x v="196"/>
    <x v="195"/>
    <x v="295"/>
    <x v="295"/>
    <x v="294"/>
    <x v="198"/>
    <s v="PA"/>
    <s v="Harrisburg"/>
    <s v="NY"/>
    <s v="Rochester"/>
    <x v="3"/>
    <n v="775399"/>
    <s v="101-300"/>
    <n v="241"/>
    <x v="9"/>
    <x v="213"/>
    <n v="234"/>
    <n v="259"/>
    <x v="0"/>
    <s v="5.82"/>
    <s v="06:00-09:59"/>
    <x v="3"/>
    <x v="0"/>
    <n v="8"/>
    <n v="0"/>
    <n v="0"/>
    <n v="72.099999999999994"/>
    <n v="0"/>
    <n v="0.56100000000000005"/>
    <n v="0.83599999999999997"/>
    <n v="4923.13"/>
    <x v="0"/>
    <n v="1"/>
    <n v="1"/>
    <n v="0"/>
    <n v="1"/>
    <n v="0"/>
    <n v="1"/>
    <n v="0"/>
    <x v="32"/>
    <x v="1"/>
    <n v="222.02"/>
    <n v="56.17"/>
    <x v="295"/>
    <n v="15"/>
    <n v="39"/>
  </r>
  <r>
    <n v="736873048"/>
    <n v="946335"/>
    <n v="1247595"/>
    <n v="6675"/>
    <x v="1"/>
    <n v="55559"/>
    <x v="11"/>
    <x v="197"/>
    <x v="196"/>
    <x v="296"/>
    <x v="296"/>
    <x v="295"/>
    <x v="199"/>
    <s v="CO"/>
    <s v="Colorado Springs"/>
    <s v="CA"/>
    <s v="San Diego"/>
    <x v="2"/>
    <n v="717088"/>
    <s v="301-500"/>
    <n v="371"/>
    <x v="220"/>
    <x v="109"/>
    <n v="377.9"/>
    <n v="428.3"/>
    <x v="0"/>
    <s v="7.2"/>
    <s v="06:00-09:59"/>
    <x v="4"/>
    <x v="0"/>
    <n v="5"/>
    <n v="0"/>
    <n v="0"/>
    <n v="41"/>
    <n v="0"/>
    <n v="0.66700000000000004"/>
    <n v="0.92400000000000004"/>
    <n v="21610.28"/>
    <x v="1"/>
    <n v="1"/>
    <n v="1"/>
    <n v="0"/>
    <n v="1"/>
    <n v="0"/>
    <n v="1"/>
    <n v="0"/>
    <x v="37"/>
    <x v="10"/>
    <n v="288.5"/>
    <n v="91.25"/>
    <x v="296"/>
    <n v="32.6"/>
    <n v="15.5"/>
  </r>
  <r>
    <n v="622517939"/>
    <n v="263032"/>
    <n v="4191175"/>
    <n v="6486"/>
    <x v="9"/>
    <n v="53563"/>
    <x v="6"/>
    <x v="198"/>
    <x v="197"/>
    <x v="297"/>
    <x v="297"/>
    <x v="296"/>
    <x v="200"/>
    <s v="PA"/>
    <s v="Pittsburgh"/>
    <s v="MI"/>
    <s v="Flint"/>
    <x v="0"/>
    <n v="719112"/>
    <s v="301-500"/>
    <n v="428"/>
    <x v="137"/>
    <x v="220"/>
    <n v="429.4"/>
    <n v="481.3"/>
    <x v="4"/>
    <s v="8.1"/>
    <s v="00:00-05:59"/>
    <x v="0"/>
    <x v="0"/>
    <n v="15"/>
    <n v="71"/>
    <n v="0"/>
    <n v="7.2"/>
    <n v="0"/>
    <n v="0.94699999999999995"/>
    <n v="0.373"/>
    <n v="2729.17"/>
    <x v="0"/>
    <n v="1"/>
    <n v="1"/>
    <n v="0"/>
    <n v="1"/>
    <n v="0"/>
    <n v="1"/>
    <n v="0"/>
    <x v="53"/>
    <x v="1"/>
    <n v="315.60000000000002"/>
    <n v="91.46"/>
    <x v="297"/>
    <n v="13.2"/>
    <n v="12.8"/>
  </r>
  <r>
    <n v="665791188"/>
    <n v="724834"/>
    <n v="1701771"/>
    <n v="6249"/>
    <x v="6"/>
    <n v="54584"/>
    <x v="4"/>
    <x v="54"/>
    <x v="54"/>
    <x v="298"/>
    <x v="298"/>
    <x v="297"/>
    <x v="54"/>
    <s v="AZ"/>
    <s v="Phoenix"/>
    <s v="NY"/>
    <s v="New York"/>
    <x v="3"/>
    <n v="767013"/>
    <s v="101-300"/>
    <n v="172"/>
    <x v="75"/>
    <x v="221"/>
    <n v="180.9"/>
    <n v="228.2"/>
    <x v="2"/>
    <s v="5.99"/>
    <s v="10:00-13:59"/>
    <x v="2"/>
    <x v="4"/>
    <n v="75"/>
    <n v="291"/>
    <n v="0"/>
    <n v="83.4"/>
    <n v="0"/>
    <n v="0.76"/>
    <n v="0.64500000000000002"/>
    <n v="8110.73"/>
    <x v="1"/>
    <n v="1"/>
    <n v="0"/>
    <n v="1"/>
    <n v="0"/>
    <n v="1"/>
    <n v="0"/>
    <n v="1"/>
    <x v="43"/>
    <x v="20"/>
    <n v="142.02000000000001"/>
    <n v="47.66"/>
    <x v="298"/>
    <n v="4.4000000000000004"/>
    <n v="7.6"/>
  </r>
  <r>
    <n v="816328133"/>
    <n v="358607"/>
    <n v="5727085"/>
    <n v="6864"/>
    <x v="1"/>
    <n v="54817"/>
    <x v="11"/>
    <x v="199"/>
    <x v="198"/>
    <x v="299"/>
    <x v="299"/>
    <x v="298"/>
    <x v="201"/>
    <s v="NJ"/>
    <s v="Newark"/>
    <s v="PA"/>
    <s v="Harrisburg"/>
    <x v="3"/>
    <n v="778087"/>
    <s v="101-300"/>
    <n v="300"/>
    <x v="233"/>
    <x v="222"/>
    <n v="308.10000000000002"/>
    <n v="362.4"/>
    <x v="0"/>
    <s v="10.21"/>
    <s v="06:00-09:59"/>
    <x v="3"/>
    <x v="4"/>
    <n v="220"/>
    <n v="271"/>
    <n v="0"/>
    <n v="93.4"/>
    <n v="0"/>
    <n v="0.80600000000000005"/>
    <n v="0.79400000000000004"/>
    <n v="7848.02"/>
    <x v="1"/>
    <n v="1"/>
    <n v="0"/>
    <n v="1"/>
    <n v="0"/>
    <n v="1"/>
    <n v="0"/>
    <n v="1"/>
    <x v="61"/>
    <x v="69"/>
    <n v="257.94"/>
    <n v="45.42"/>
    <x v="299"/>
    <n v="7.3"/>
    <n v="44.4"/>
  </r>
  <r>
    <n v="431162800"/>
    <n v="857168"/>
    <n v="2813543"/>
    <n v="1659"/>
    <x v="6"/>
    <n v="55041"/>
    <x v="8"/>
    <x v="82"/>
    <x v="82"/>
    <x v="300"/>
    <x v="300"/>
    <x v="299"/>
    <x v="81"/>
    <s v="TX"/>
    <s v="Austin"/>
    <s v="IL"/>
    <s v="Chicago"/>
    <x v="0"/>
    <n v="720079"/>
    <s v="0-100"/>
    <n v="98"/>
    <x v="121"/>
    <x v="186"/>
    <n v="95.4"/>
    <n v="114.4"/>
    <x v="3"/>
    <s v="2.45"/>
    <s v="10:00-13:59"/>
    <x v="3"/>
    <x v="0"/>
    <n v="18"/>
    <n v="0"/>
    <n v="0"/>
    <n v="53.6"/>
    <n v="0"/>
    <n v="0.58299999999999996"/>
    <n v="0.81499999999999995"/>
    <n v="11719.74"/>
    <x v="1"/>
    <n v="1"/>
    <n v="0"/>
    <n v="1"/>
    <n v="0"/>
    <n v="1"/>
    <n v="0"/>
    <n v="1"/>
    <x v="67"/>
    <x v="37"/>
    <n v="98.93"/>
    <n v="19.98"/>
    <x v="300"/>
    <n v="23.7"/>
    <n v="44.7"/>
  </r>
  <r>
    <n v="148766522"/>
    <n v="705397"/>
    <n v="5449368"/>
    <n v="5859"/>
    <x v="1"/>
    <n v="56182"/>
    <x v="13"/>
    <x v="80"/>
    <x v="80"/>
    <x v="301"/>
    <x v="301"/>
    <x v="300"/>
    <x v="202"/>
    <s v="AZ"/>
    <s v="Mesa"/>
    <s v="NC"/>
    <s v="Greensboro"/>
    <x v="1"/>
    <n v="757732"/>
    <s v="301-500"/>
    <n v="418"/>
    <x v="52"/>
    <x v="223"/>
    <n v="409.5"/>
    <n v="449.2"/>
    <x v="2"/>
    <s v="10.84"/>
    <s v="10:00-13:59"/>
    <x v="5"/>
    <x v="3"/>
    <n v="22"/>
    <n v="0"/>
    <n v="0"/>
    <n v="49.1"/>
    <n v="0"/>
    <n v="0.628"/>
    <n v="0.67900000000000005"/>
    <n v="22343.86"/>
    <x v="1"/>
    <n v="1"/>
    <n v="0"/>
    <n v="1"/>
    <n v="0"/>
    <n v="1"/>
    <n v="0"/>
    <n v="1"/>
    <x v="42"/>
    <x v="88"/>
    <n v="382.64"/>
    <n v="71.87"/>
    <x v="301"/>
    <n v="11.4"/>
    <n v="34.299999999999997"/>
  </r>
  <r>
    <n v="336779871"/>
    <n v="864544"/>
    <n v="5374922"/>
    <n v="8385"/>
    <x v="1"/>
    <n v="58026"/>
    <x v="4"/>
    <x v="31"/>
    <x v="31"/>
    <x v="302"/>
    <x v="302"/>
    <x v="301"/>
    <x v="30"/>
    <s v="MI"/>
    <s v="Flint"/>
    <s v="MI"/>
    <s v="Flint"/>
    <x v="0"/>
    <n v="711807"/>
    <s v="101-300"/>
    <n v="174"/>
    <x v="163"/>
    <x v="16"/>
    <n v="173.1"/>
    <n v="196.9"/>
    <x v="0"/>
    <s v="3.84"/>
    <s v="06:00-09:59"/>
    <x v="0"/>
    <x v="0"/>
    <n v="-18"/>
    <n v="0"/>
    <n v="0"/>
    <n v="72.8"/>
    <n v="0"/>
    <n v="0.57799999999999996"/>
    <n v="0.53200000000000003"/>
    <n v="21697.360000000001"/>
    <x v="1"/>
    <n v="1"/>
    <n v="1"/>
    <n v="0"/>
    <n v="1"/>
    <n v="0"/>
    <n v="1"/>
    <n v="0"/>
    <x v="27"/>
    <x v="52"/>
    <n v="173.58"/>
    <n v="29.68"/>
    <x v="302"/>
    <n v="24.5"/>
    <n v="59.7"/>
  </r>
  <r>
    <n v="524410834"/>
    <n v="816751"/>
    <n v="3011363"/>
    <n v="9996"/>
    <x v="7"/>
    <n v="53244"/>
    <x v="1"/>
    <x v="200"/>
    <x v="199"/>
    <x v="303"/>
    <x v="303"/>
    <x v="302"/>
    <x v="203"/>
    <s v="GA"/>
    <s v="Atlanta"/>
    <s v="GA"/>
    <s v="Macon"/>
    <x v="1"/>
    <n v="783084"/>
    <s v="501-1000"/>
    <n v="647"/>
    <x v="61"/>
    <x v="224"/>
    <n v="635.1"/>
    <n v="675.6"/>
    <x v="0"/>
    <s v="12.58"/>
    <s v="06:00-09:59"/>
    <x v="5"/>
    <x v="0"/>
    <n v="-30"/>
    <n v="0"/>
    <n v="0"/>
    <n v="67.900000000000006"/>
    <n v="0"/>
    <n v="0.61299999999999999"/>
    <n v="0.54200000000000004"/>
    <n v="5074.38"/>
    <x v="0"/>
    <n v="1"/>
    <n v="1"/>
    <n v="0"/>
    <n v="1"/>
    <n v="0"/>
    <n v="1"/>
    <n v="0"/>
    <x v="9"/>
    <x v="59"/>
    <n v="573.03"/>
    <n v="93.9"/>
    <x v="303"/>
    <n v="13.3"/>
    <n v="33.700000000000003"/>
  </r>
  <r>
    <n v="743520276"/>
    <n v="518373"/>
    <n v="7812810"/>
    <n v="2045"/>
    <x v="4"/>
    <n v="51040"/>
    <x v="11"/>
    <x v="125"/>
    <x v="124"/>
    <x v="304"/>
    <x v="304"/>
    <x v="303"/>
    <x v="125"/>
    <s v="OH"/>
    <s v="Cleveland"/>
    <s v="OH"/>
    <s v="Toledo"/>
    <x v="0"/>
    <n v="797593"/>
    <s v="301-500"/>
    <n v="297"/>
    <x v="234"/>
    <x v="212"/>
    <n v="301"/>
    <n v="330.8"/>
    <x v="0"/>
    <s v="5.93"/>
    <s v="14:00-17:59"/>
    <x v="6"/>
    <x v="0"/>
    <n v="-19"/>
    <n v="0"/>
    <n v="0"/>
    <n v="11.3"/>
    <n v="0"/>
    <n v="0.69299999999999995"/>
    <n v="0.254"/>
    <n v="2039.81"/>
    <x v="0"/>
    <n v="1"/>
    <n v="1"/>
    <n v="0"/>
    <n v="1"/>
    <n v="0"/>
    <n v="1"/>
    <n v="0"/>
    <x v="19"/>
    <x v="30"/>
    <n v="207.48"/>
    <n v="67.47"/>
    <x v="304"/>
    <n v="21.7"/>
    <n v="2.5"/>
  </r>
  <r>
    <n v="158821683"/>
    <n v="705397"/>
    <n v="5449368"/>
    <n v="5859"/>
    <x v="1"/>
    <n v="52273"/>
    <x v="1"/>
    <x v="34"/>
    <x v="34"/>
    <x v="305"/>
    <x v="305"/>
    <x v="304"/>
    <x v="204"/>
    <s v="OH"/>
    <s v="Columbus"/>
    <s v="TN"/>
    <s v="Knoxville"/>
    <x v="1"/>
    <n v="736170"/>
    <s v="101-300"/>
    <n v="280"/>
    <x v="235"/>
    <x v="225"/>
    <n v="280.89999999999998"/>
    <n v="319"/>
    <x v="2"/>
    <s v="6.05"/>
    <s v="18:00-23:59"/>
    <x v="6"/>
    <x v="0"/>
    <n v="7"/>
    <n v="0"/>
    <n v="0"/>
    <n v="50.5"/>
    <n v="0"/>
    <n v="0.89200000000000002"/>
    <n v="0.77500000000000002"/>
    <n v="5861.95"/>
    <x v="0"/>
    <n v="1"/>
    <n v="1"/>
    <n v="0"/>
    <n v="1"/>
    <n v="0"/>
    <n v="1"/>
    <n v="0"/>
    <x v="20"/>
    <x v="36"/>
    <n v="234.67"/>
    <n v="50.45"/>
    <x v="305"/>
    <n v="11.4"/>
    <n v="33.799999999999997"/>
  </r>
  <r>
    <n v="108253947"/>
    <n v="705397"/>
    <n v="5449368"/>
    <n v="5859"/>
    <x v="1"/>
    <n v="53629"/>
    <x v="8"/>
    <x v="24"/>
    <x v="24"/>
    <x v="306"/>
    <x v="306"/>
    <x v="305"/>
    <x v="24"/>
    <s v="NC"/>
    <s v="Wilmington"/>
    <s v="WA"/>
    <s v="Vancouver"/>
    <x v="2"/>
    <n v="773553"/>
    <s v="101-300"/>
    <n v="201"/>
    <x v="236"/>
    <x v="24"/>
    <n v="197.4"/>
    <n v="235.1"/>
    <x v="2"/>
    <s v="5.85"/>
    <s v="06:00-09:59"/>
    <x v="1"/>
    <x v="0"/>
    <n v="-49"/>
    <n v="0"/>
    <n v="0"/>
    <n v="52.4"/>
    <n v="0"/>
    <n v="0.69"/>
    <n v="0.77200000000000002"/>
    <n v="5597.61"/>
    <x v="0"/>
    <n v="1"/>
    <n v="1"/>
    <n v="0"/>
    <n v="1"/>
    <n v="0"/>
    <n v="1"/>
    <n v="0"/>
    <x v="45"/>
    <x v="46"/>
    <n v="146.18"/>
    <n v="43.94"/>
    <x v="306"/>
    <n v="11.4"/>
    <n v="42.5"/>
  </r>
  <r>
    <n v="319497661"/>
    <n v="391476"/>
    <n v="8999183"/>
    <n v="6618"/>
    <x v="2"/>
    <n v="52114"/>
    <x v="13"/>
    <x v="201"/>
    <x v="200"/>
    <x v="307"/>
    <x v="307"/>
    <x v="306"/>
    <x v="205"/>
    <s v="CA"/>
    <s v="Oakland"/>
    <s v="MO"/>
    <s v="Columbia"/>
    <x v="0"/>
    <n v="705882"/>
    <s v="101-300"/>
    <n v="174"/>
    <x v="200"/>
    <x v="81"/>
    <n v="171.3"/>
    <n v="197.3"/>
    <x v="2"/>
    <s v="4.19"/>
    <s v="06:00-09:59"/>
    <x v="4"/>
    <x v="0"/>
    <n v="-13"/>
    <n v="0"/>
    <n v="0"/>
    <n v="19.100000000000001"/>
    <n v="0"/>
    <n v="0.32600000000000001"/>
    <n v="0.60399999999999998"/>
    <n v="103088.04"/>
    <x v="2"/>
    <n v="1"/>
    <n v="1"/>
    <n v="0"/>
    <n v="1"/>
    <n v="0"/>
    <n v="1"/>
    <n v="0"/>
    <x v="45"/>
    <x v="46"/>
    <n v="124.46"/>
    <n v="36.44"/>
    <x v="307"/>
    <n v="51.7"/>
    <n v="46.2"/>
  </r>
  <r>
    <n v="423646570"/>
    <n v="623481"/>
    <n v="2737893"/>
    <n v="4627"/>
    <x v="3"/>
    <n v="57364"/>
    <x v="10"/>
    <x v="202"/>
    <x v="201"/>
    <x v="308"/>
    <x v="308"/>
    <x v="307"/>
    <x v="118"/>
    <s v="TX"/>
    <s v="Austin"/>
    <s v="WA"/>
    <s v="Seattle"/>
    <x v="2"/>
    <n v="730603"/>
    <s v="101-300"/>
    <n v="206"/>
    <x v="237"/>
    <x v="226"/>
    <n v="199.9"/>
    <n v="228.8"/>
    <x v="0"/>
    <s v="5.92"/>
    <s v="18:00-23:59"/>
    <x v="5"/>
    <x v="0"/>
    <n v="-30"/>
    <n v="87"/>
    <n v="0"/>
    <n v="28.6"/>
    <n v="0"/>
    <n v="0.60799999999999998"/>
    <n v="0.93"/>
    <n v="3450.7"/>
    <x v="0"/>
    <n v="1"/>
    <n v="1"/>
    <n v="0"/>
    <n v="1"/>
    <n v="0"/>
    <n v="1"/>
    <n v="0"/>
    <x v="5"/>
    <x v="29"/>
    <n v="174.7"/>
    <n v="26.62"/>
    <x v="308"/>
    <n v="22.3"/>
    <n v="68.7"/>
  </r>
  <r>
    <n v="326810757"/>
    <n v="581741"/>
    <n v="3790237"/>
    <n v="1995"/>
    <x v="5"/>
    <n v="51677"/>
    <x v="1"/>
    <x v="203"/>
    <x v="202"/>
    <x v="309"/>
    <x v="309"/>
    <x v="308"/>
    <x v="13"/>
    <s v="PA"/>
    <s v="Erie"/>
    <s v="WA"/>
    <s v="Spokane"/>
    <x v="2"/>
    <n v="739373"/>
    <s v="101-300"/>
    <n v="281"/>
    <x v="238"/>
    <x v="208"/>
    <n v="280.8"/>
    <n v="314.5"/>
    <x v="2"/>
    <s v="10.35"/>
    <s v="00:00-05:59"/>
    <x v="4"/>
    <x v="4"/>
    <n v="242"/>
    <n v="125"/>
    <n v="1.8"/>
    <n v="67.599999999999994"/>
    <n v="0"/>
    <n v="0.84299999999999997"/>
    <n v="0.83799999999999997"/>
    <n v="11667.82"/>
    <x v="1"/>
    <n v="1"/>
    <n v="0"/>
    <n v="1"/>
    <n v="0"/>
    <n v="1"/>
    <n v="0"/>
    <n v="1"/>
    <x v="45"/>
    <x v="89"/>
    <n v="228.96"/>
    <n v="33.299999999999997"/>
    <x v="309"/>
    <n v="17.5"/>
    <n v="27.8"/>
  </r>
  <r>
    <n v="923935280"/>
    <n v="903035"/>
    <n v="7110622"/>
    <n v="3200"/>
    <x v="2"/>
    <n v="53094"/>
    <x v="2"/>
    <x v="125"/>
    <x v="124"/>
    <x v="158"/>
    <x v="310"/>
    <x v="309"/>
    <x v="125"/>
    <s v="WA"/>
    <s v="Vancouver"/>
    <s v="PA"/>
    <s v="Harrisburg"/>
    <x v="3"/>
    <n v="726173"/>
    <s v="101-300"/>
    <n v="131"/>
    <x v="210"/>
    <x v="227"/>
    <n v="125"/>
    <n v="190"/>
    <x v="2"/>
    <s v="2.41"/>
    <s v="18:00-23:59"/>
    <x v="6"/>
    <x v="0"/>
    <n v="-9"/>
    <n v="0"/>
    <n v="0"/>
    <n v="61.3"/>
    <n v="0"/>
    <n v="0.627"/>
    <n v="0.57799999999999996"/>
    <n v="7422.51"/>
    <x v="1"/>
    <n v="1"/>
    <n v="1"/>
    <n v="0"/>
    <n v="1"/>
    <n v="0"/>
    <n v="1"/>
    <n v="0"/>
    <x v="48"/>
    <x v="25"/>
    <n v="149.63999999999999"/>
    <n v="38.15"/>
    <x v="310"/>
    <n v="26.8"/>
    <n v="0"/>
  </r>
  <r>
    <n v="247354744"/>
    <n v="662275"/>
    <n v="7818496"/>
    <n v="8629"/>
    <x v="4"/>
    <n v="59190"/>
    <x v="11"/>
    <x v="152"/>
    <x v="152"/>
    <x v="310"/>
    <x v="311"/>
    <x v="310"/>
    <x v="157"/>
    <s v="NJ"/>
    <s v="Jersey City"/>
    <s v="CO"/>
    <s v="Denver"/>
    <x v="2"/>
    <n v="704543"/>
    <s v="101-300"/>
    <n v="289"/>
    <x v="239"/>
    <x v="2"/>
    <n v="288.8"/>
    <n v="337.8"/>
    <x v="3"/>
    <s v="5.76"/>
    <s v="00:00-05:59"/>
    <x v="2"/>
    <x v="0"/>
    <n v="-21"/>
    <n v="0"/>
    <n v="0"/>
    <n v="30.9"/>
    <n v="0"/>
    <n v="0.46899999999999997"/>
    <n v="0.23799999999999999"/>
    <n v="18720.419999999998"/>
    <x v="1"/>
    <n v="1"/>
    <n v="1"/>
    <n v="0"/>
    <n v="1"/>
    <n v="0"/>
    <n v="1"/>
    <n v="0"/>
    <x v="24"/>
    <x v="63"/>
    <n v="216.14"/>
    <n v="53.66"/>
    <x v="311"/>
    <n v="31.4"/>
    <n v="53.6"/>
  </r>
  <r>
    <n v="920511515"/>
    <n v="955662"/>
    <n v="8315831"/>
    <n v="9445"/>
    <x v="1"/>
    <n v="55873"/>
    <x v="9"/>
    <x v="204"/>
    <x v="203"/>
    <x v="311"/>
    <x v="312"/>
    <x v="311"/>
    <x v="206"/>
    <s v="NC"/>
    <s v="Greensboro"/>
    <s v="NY"/>
    <s v="Albany"/>
    <x v="3"/>
    <n v="789831"/>
    <s v="0-100"/>
    <n v="100"/>
    <x v="81"/>
    <x v="21"/>
    <n v="102.1"/>
    <n v="180.4"/>
    <x v="1"/>
    <s v="1.6"/>
    <s v="18:00-23:59"/>
    <x v="6"/>
    <x v="0"/>
    <n v="-34"/>
    <n v="0"/>
    <n v="0.9"/>
    <n v="48"/>
    <n v="0"/>
    <n v="0.59199999999999997"/>
    <n v="0.59499999999999997"/>
    <n v="3557.29"/>
    <x v="0"/>
    <n v="1"/>
    <n v="1"/>
    <n v="0"/>
    <n v="1"/>
    <n v="0"/>
    <n v="1"/>
    <n v="0"/>
    <x v="70"/>
    <x v="22"/>
    <n v="143.69"/>
    <n v="35.58"/>
    <x v="312"/>
    <n v="18.100000000000001"/>
    <n v="33.299999999999997"/>
  </r>
  <r>
    <n v="374361983"/>
    <n v="629903"/>
    <n v="9143903"/>
    <n v="9666"/>
    <x v="9"/>
    <n v="52284"/>
    <x v="8"/>
    <x v="110"/>
    <x v="109"/>
    <x v="312"/>
    <x v="313"/>
    <x v="312"/>
    <x v="207"/>
    <s v="MO"/>
    <s v="Springfield"/>
    <s v="AZ"/>
    <s v="Flagstaff"/>
    <x v="2"/>
    <n v="792123"/>
    <s v="501-1000"/>
    <n v="1019"/>
    <x v="10"/>
    <x v="228"/>
    <n v="1022.9"/>
    <n v="1088"/>
    <x v="3"/>
    <s v="28.38"/>
    <s v="06:00-09:59"/>
    <x v="1"/>
    <x v="3"/>
    <n v="215"/>
    <n v="0"/>
    <n v="0"/>
    <n v="47.6"/>
    <n v="0"/>
    <n v="0.66"/>
    <n v="0.55200000000000005"/>
    <n v="14547"/>
    <x v="1"/>
    <n v="1"/>
    <n v="0"/>
    <n v="1"/>
    <n v="0"/>
    <n v="1"/>
    <n v="0"/>
    <n v="1"/>
    <x v="20"/>
    <x v="88"/>
    <n v="695.78"/>
    <n v="147.58000000000001"/>
    <x v="313"/>
    <n v="10.3"/>
    <n v="17.899999999999999"/>
  </r>
  <r>
    <n v="410791488"/>
    <n v="813536"/>
    <n v="3500715"/>
    <n v="5737"/>
    <x v="0"/>
    <n v="55052"/>
    <x v="4"/>
    <x v="121"/>
    <x v="120"/>
    <x v="313"/>
    <x v="314"/>
    <x v="313"/>
    <x v="208"/>
    <s v="TN"/>
    <s v="Knoxville"/>
    <s v="CA"/>
    <s v="San Diego"/>
    <x v="2"/>
    <n v="796425"/>
    <s v="0-100"/>
    <n v="55"/>
    <x v="240"/>
    <x v="137"/>
    <n v="57.7"/>
    <n v="80.8"/>
    <x v="2"/>
    <s v="1.54"/>
    <s v="18:00-23:59"/>
    <x v="6"/>
    <x v="0"/>
    <n v="-12"/>
    <n v="0"/>
    <n v="0"/>
    <n v="49.4"/>
    <n v="0"/>
    <n v="0.48399999999999999"/>
    <n v="0.58199999999999996"/>
    <n v="22455.8"/>
    <x v="1"/>
    <n v="1"/>
    <n v="1"/>
    <n v="0"/>
    <n v="1"/>
    <n v="0"/>
    <n v="1"/>
    <n v="0"/>
    <x v="52"/>
    <x v="88"/>
    <n v="60.37"/>
    <n v="16.440000000000001"/>
    <x v="314"/>
    <n v="6.9"/>
    <n v="49"/>
  </r>
  <r>
    <n v="452318696"/>
    <n v="897549"/>
    <n v="9722815"/>
    <n v="6592"/>
    <x v="6"/>
    <n v="57062"/>
    <x v="5"/>
    <x v="205"/>
    <x v="204"/>
    <x v="314"/>
    <x v="315"/>
    <x v="314"/>
    <x v="209"/>
    <s v="AZ"/>
    <s v="Phoenix"/>
    <s v="AZ"/>
    <s v="Tempe"/>
    <x v="2"/>
    <n v="742558"/>
    <s v="501-1000"/>
    <n v="603"/>
    <x v="241"/>
    <x v="229"/>
    <n v="601.20000000000005"/>
    <n v="689.8"/>
    <x v="0"/>
    <s v="16.25"/>
    <s v="06:00-09:59"/>
    <x v="6"/>
    <x v="4"/>
    <n v="61"/>
    <n v="152"/>
    <n v="0"/>
    <n v="61.5"/>
    <n v="0"/>
    <n v="0.63"/>
    <n v="0.622"/>
    <n v="3328.38"/>
    <x v="0"/>
    <n v="1"/>
    <n v="0"/>
    <n v="1"/>
    <n v="0"/>
    <n v="1"/>
    <n v="0"/>
    <n v="1"/>
    <x v="20"/>
    <x v="8"/>
    <n v="500.59"/>
    <n v="137.75"/>
    <x v="315"/>
    <n v="13.4"/>
    <n v="48.9"/>
  </r>
  <r>
    <n v="228832213"/>
    <n v="325772"/>
    <n v="9997381"/>
    <n v="8099"/>
    <x v="8"/>
    <n v="51589"/>
    <x v="7"/>
    <x v="206"/>
    <x v="205"/>
    <x v="315"/>
    <x v="316"/>
    <x v="315"/>
    <x v="210"/>
    <s v="NC"/>
    <s v="Charlotte"/>
    <s v="NC"/>
    <s v="Durham"/>
    <x v="1"/>
    <n v="752322"/>
    <s v="501-1000"/>
    <n v="692"/>
    <x v="242"/>
    <x v="230"/>
    <n v="694.7"/>
    <n v="770.9"/>
    <x v="2"/>
    <s v="14.02"/>
    <s v="14:00-17:59"/>
    <x v="2"/>
    <x v="0"/>
    <n v="-36"/>
    <n v="0"/>
    <n v="0"/>
    <n v="69.2"/>
    <n v="0"/>
    <n v="0.36499999999999999"/>
    <n v="0.45"/>
    <n v="12923.52"/>
    <x v="1"/>
    <n v="1"/>
    <n v="1"/>
    <n v="0"/>
    <n v="1"/>
    <n v="0"/>
    <n v="1"/>
    <n v="0"/>
    <x v="5"/>
    <x v="77"/>
    <n v="529.75"/>
    <n v="112.4"/>
    <x v="316"/>
    <n v="4.7"/>
    <n v="11.1"/>
  </r>
  <r>
    <n v="108299923"/>
    <n v="865388"/>
    <n v="4218542"/>
    <n v="5496"/>
    <x v="2"/>
    <n v="59353"/>
    <x v="6"/>
    <x v="207"/>
    <x v="206"/>
    <x v="316"/>
    <x v="317"/>
    <x v="316"/>
    <x v="211"/>
    <s v="MO"/>
    <s v="Independence"/>
    <s v="GA"/>
    <s v="Augusta"/>
    <x v="1"/>
    <n v="768731"/>
    <s v="101-300"/>
    <n v="176"/>
    <x v="243"/>
    <x v="231"/>
    <n v="176.8"/>
    <n v="226.3"/>
    <x v="0"/>
    <s v="6.41"/>
    <s v="06:00-09:59"/>
    <x v="5"/>
    <x v="4"/>
    <n v="189"/>
    <n v="182"/>
    <n v="0"/>
    <n v="36"/>
    <n v="0"/>
    <n v="0.78400000000000003"/>
    <n v="0.58799999999999997"/>
    <n v="2567.16"/>
    <x v="0"/>
    <n v="1"/>
    <n v="0"/>
    <n v="1"/>
    <n v="0"/>
    <n v="1"/>
    <n v="0"/>
    <n v="1"/>
    <x v="86"/>
    <x v="59"/>
    <n v="161.49"/>
    <n v="33.81"/>
    <x v="317"/>
    <n v="10.3"/>
    <n v="4.3"/>
  </r>
  <r>
    <n v="634063428"/>
    <n v="356702"/>
    <n v="4426900"/>
    <n v="1502"/>
    <x v="1"/>
    <n v="52520"/>
    <x v="13"/>
    <x v="21"/>
    <x v="21"/>
    <x v="317"/>
    <x v="318"/>
    <x v="317"/>
    <x v="21"/>
    <s v="FL"/>
    <s v="Orlando"/>
    <s v="OH"/>
    <s v="Columbus"/>
    <x v="0"/>
    <n v="756614"/>
    <s v="301-500"/>
    <n v="330"/>
    <x v="244"/>
    <x v="68"/>
    <n v="330.8"/>
    <n v="403.4"/>
    <x v="0"/>
    <s v="4.56"/>
    <s v="06:00-09:59"/>
    <x v="2"/>
    <x v="0"/>
    <n v="-34"/>
    <n v="0"/>
    <n v="0"/>
    <n v="41.6"/>
    <n v="0"/>
    <n v="0.54700000000000004"/>
    <n v="0.56599999999999995"/>
    <n v="6187.95"/>
    <x v="1"/>
    <n v="1"/>
    <n v="1"/>
    <n v="0"/>
    <n v="1"/>
    <n v="0"/>
    <n v="1"/>
    <n v="0"/>
    <x v="20"/>
    <x v="42"/>
    <n v="250.17"/>
    <n v="57.33"/>
    <x v="318"/>
    <n v="47.2"/>
    <n v="4.0999999999999996"/>
  </r>
  <r>
    <n v="902100304"/>
    <n v="377932"/>
    <n v="9508103"/>
    <n v="6699"/>
    <x v="2"/>
    <n v="54648"/>
    <x v="3"/>
    <x v="155"/>
    <x v="155"/>
    <x v="318"/>
    <x v="319"/>
    <x v="318"/>
    <x v="160"/>
    <s v="NJ"/>
    <s v="Paterson"/>
    <s v="MO"/>
    <s v="Independence"/>
    <x v="0"/>
    <n v="712499"/>
    <s v="101-300"/>
    <n v="235"/>
    <x v="245"/>
    <x v="232"/>
    <n v="228.8"/>
    <n v="283.60000000000002"/>
    <x v="3"/>
    <s v="5.17"/>
    <s v="14:00-17:59"/>
    <x v="6"/>
    <x v="0"/>
    <n v="-31"/>
    <n v="75"/>
    <n v="0"/>
    <n v="57"/>
    <n v="0"/>
    <n v="0.5"/>
    <n v="0.83"/>
    <n v="7957.62"/>
    <x v="1"/>
    <n v="1"/>
    <n v="1"/>
    <n v="0"/>
    <n v="1"/>
    <n v="0"/>
    <n v="1"/>
    <n v="0"/>
    <x v="43"/>
    <x v="48"/>
    <n v="203.41"/>
    <n v="29.55"/>
    <x v="319"/>
    <n v="13.9"/>
    <n v="38"/>
  </r>
  <r>
    <n v="562412302"/>
    <n v="724834"/>
    <n v="1701771"/>
    <n v="6249"/>
    <x v="6"/>
    <n v="55729"/>
    <x v="3"/>
    <x v="128"/>
    <x v="127"/>
    <x v="319"/>
    <x v="320"/>
    <x v="319"/>
    <x v="212"/>
    <s v="PA"/>
    <s v="Philadelphia"/>
    <s v="PA"/>
    <s v="Harrisburg"/>
    <x v="3"/>
    <n v="739365"/>
    <s v="101-300"/>
    <n v="207"/>
    <x v="118"/>
    <x v="199"/>
    <n v="199.5"/>
    <n v="227.1"/>
    <x v="2"/>
    <s v="6.05"/>
    <s v="10:00-13:59"/>
    <x v="2"/>
    <x v="0"/>
    <n v="4"/>
    <n v="0"/>
    <n v="0"/>
    <n v="77.099999999999994"/>
    <n v="0"/>
    <n v="0.629"/>
    <n v="0.68200000000000005"/>
    <n v="8160.13"/>
    <x v="1"/>
    <n v="1"/>
    <n v="1"/>
    <n v="0"/>
    <n v="1"/>
    <n v="0"/>
    <n v="1"/>
    <n v="0"/>
    <x v="62"/>
    <x v="36"/>
    <n v="146.13999999999999"/>
    <n v="41.45"/>
    <x v="320"/>
    <n v="4.4000000000000004"/>
    <n v="1"/>
  </r>
  <r>
    <n v="288650860"/>
    <n v="705397"/>
    <n v="5449368"/>
    <n v="5859"/>
    <x v="1"/>
    <n v="50694"/>
    <x v="10"/>
    <x v="134"/>
    <x v="134"/>
    <x v="320"/>
    <x v="321"/>
    <x v="320"/>
    <x v="136"/>
    <s v="CA"/>
    <s v="Oakland"/>
    <s v="CO"/>
    <s v="Fort Collins"/>
    <x v="2"/>
    <n v="728940"/>
    <s v="101-300"/>
    <n v="291"/>
    <x v="246"/>
    <x v="226"/>
    <n v="292.5"/>
    <n v="331.7"/>
    <x v="2"/>
    <s v="6.19"/>
    <s v="18:00-23:59"/>
    <x v="1"/>
    <x v="0"/>
    <n v="2"/>
    <n v="0"/>
    <n v="0"/>
    <n v="54.7"/>
    <n v="0"/>
    <n v="0.75800000000000001"/>
    <n v="0.57599999999999996"/>
    <n v="2968.67"/>
    <x v="0"/>
    <n v="1"/>
    <n v="1"/>
    <n v="0"/>
    <n v="1"/>
    <n v="0"/>
    <n v="1"/>
    <n v="0"/>
    <x v="52"/>
    <x v="9"/>
    <n v="297.33"/>
    <n v="44.03"/>
    <x v="321"/>
    <n v="11.4"/>
    <n v="35.6"/>
  </r>
  <r>
    <n v="238712095"/>
    <n v="197251"/>
    <n v="4078418"/>
    <n v="2585"/>
    <x v="4"/>
    <n v="57807"/>
    <x v="7"/>
    <x v="208"/>
    <x v="207"/>
    <x v="321"/>
    <x v="322"/>
    <x v="321"/>
    <x v="213"/>
    <s v="MI"/>
    <s v="Flint"/>
    <s v="IL"/>
    <s v="Rockford"/>
    <x v="0"/>
    <n v="748997"/>
    <s v="101-300"/>
    <n v="111"/>
    <x v="247"/>
    <x v="181"/>
    <n v="113.9"/>
    <n v="166.6"/>
    <x v="0"/>
    <s v="1.52"/>
    <s v="10:00-13:59"/>
    <x v="1"/>
    <x v="0"/>
    <n v="-31"/>
    <n v="0"/>
    <n v="0"/>
    <n v="70.8"/>
    <n v="0"/>
    <n v="0.73399999999999999"/>
    <n v="0.89200000000000002"/>
    <n v="1136.19"/>
    <x v="0"/>
    <n v="1"/>
    <n v="1"/>
    <n v="0"/>
    <n v="1"/>
    <n v="0"/>
    <n v="1"/>
    <n v="0"/>
    <x v="8"/>
    <x v="48"/>
    <n v="107.01"/>
    <n v="34.33"/>
    <x v="322"/>
    <n v="11.9"/>
    <n v="15.9"/>
  </r>
  <r>
    <n v="508244633"/>
    <n v="705397"/>
    <n v="5449368"/>
    <n v="5859"/>
    <x v="1"/>
    <n v="53683"/>
    <x v="10"/>
    <x v="54"/>
    <x v="54"/>
    <x v="322"/>
    <x v="323"/>
    <x v="322"/>
    <x v="214"/>
    <s v="MO"/>
    <s v="Kansas City"/>
    <s v="MO"/>
    <s v="Kansas City"/>
    <x v="0"/>
    <n v="774798"/>
    <s v="101-300"/>
    <n v="243"/>
    <x v="202"/>
    <x v="166"/>
    <n v="239.3"/>
    <n v="262.5"/>
    <x v="2"/>
    <s v="6.32"/>
    <s v="18:00-23:59"/>
    <x v="2"/>
    <x v="0"/>
    <n v="8"/>
    <n v="0"/>
    <n v="0"/>
    <n v="80.7"/>
    <n v="0"/>
    <n v="0.71"/>
    <n v="0.56699999999999995"/>
    <n v="12858.35"/>
    <x v="1"/>
    <n v="1"/>
    <n v="1"/>
    <n v="0"/>
    <n v="1"/>
    <n v="0"/>
    <n v="1"/>
    <n v="0"/>
    <x v="6"/>
    <x v="16"/>
    <n v="237.81"/>
    <n v="54.52"/>
    <x v="323"/>
    <n v="11.4"/>
    <n v="29.2"/>
  </r>
  <r>
    <n v="671855941"/>
    <n v="198246"/>
    <n v="9626108"/>
    <n v="5555"/>
    <x v="0"/>
    <n v="56704"/>
    <x v="6"/>
    <x v="209"/>
    <x v="208"/>
    <x v="323"/>
    <x v="324"/>
    <x v="323"/>
    <x v="215"/>
    <s v="MI"/>
    <s v="Detroit"/>
    <s v="TX"/>
    <s v="Austin"/>
    <x v="1"/>
    <n v="712046"/>
    <s v="101-300"/>
    <n v="269"/>
    <x v="248"/>
    <x v="233"/>
    <n v="276"/>
    <n v="311.5"/>
    <x v="1"/>
    <s v="5.92"/>
    <s v="10:00-13:59"/>
    <x v="5"/>
    <x v="0"/>
    <n v="-34"/>
    <n v="0"/>
    <n v="0"/>
    <n v="18.7"/>
    <n v="0"/>
    <n v="0.60699999999999998"/>
    <n v="0.85699999999999998"/>
    <n v="1455.87"/>
    <x v="0"/>
    <n v="1"/>
    <n v="1"/>
    <n v="0"/>
    <n v="1"/>
    <n v="0"/>
    <n v="1"/>
    <n v="0"/>
    <x v="4"/>
    <x v="82"/>
    <n v="239.05"/>
    <n v="58.16"/>
    <x v="324"/>
    <n v="11.5"/>
    <n v="5.9"/>
  </r>
  <r>
    <n v="855561271"/>
    <n v="391704"/>
    <n v="7897151"/>
    <n v="4556"/>
    <x v="1"/>
    <n v="57368"/>
    <x v="1"/>
    <x v="199"/>
    <x v="198"/>
    <x v="324"/>
    <x v="325"/>
    <x v="324"/>
    <x v="157"/>
    <s v="NY"/>
    <s v="Syracuse"/>
    <s v="MI"/>
    <s v="Grand Rapids"/>
    <x v="0"/>
    <n v="701498"/>
    <s v="101-300"/>
    <n v="268"/>
    <x v="171"/>
    <x v="234"/>
    <n v="281.3"/>
    <n v="351.9"/>
    <x v="4"/>
    <s v="6.01"/>
    <s v="18:00-23:59"/>
    <x v="3"/>
    <x v="0"/>
    <n v="19"/>
    <n v="0"/>
    <n v="0"/>
    <n v="75.3"/>
    <n v="0"/>
    <n v="0.80900000000000005"/>
    <n v="0.46800000000000003"/>
    <n v="20686.7"/>
    <x v="1"/>
    <n v="1"/>
    <n v="0"/>
    <n v="1"/>
    <n v="0"/>
    <n v="1"/>
    <n v="0"/>
    <n v="1"/>
    <x v="39"/>
    <x v="89"/>
    <n v="272.35000000000002"/>
    <n v="42.86"/>
    <x v="325"/>
    <n v="11.3"/>
    <n v="42.9"/>
  </r>
  <r>
    <n v="347079497"/>
    <n v="629903"/>
    <n v="9143903"/>
    <n v="9666"/>
    <x v="9"/>
    <n v="51971"/>
    <x v="11"/>
    <x v="149"/>
    <x v="149"/>
    <x v="325"/>
    <x v="326"/>
    <x v="325"/>
    <x v="216"/>
    <s v="TN"/>
    <s v="Chattanooga"/>
    <s v="TN"/>
    <s v="Knoxville"/>
    <x v="1"/>
    <n v="733303"/>
    <s v="101-300"/>
    <n v="295"/>
    <x v="201"/>
    <x v="235"/>
    <n v="305.5"/>
    <n v="389.2"/>
    <x v="3"/>
    <s v="5.43"/>
    <s v="18:00-23:59"/>
    <x v="2"/>
    <x v="0"/>
    <n v="-6"/>
    <n v="0"/>
    <n v="0"/>
    <n v="71.400000000000006"/>
    <n v="0"/>
    <n v="0.79300000000000004"/>
    <n v="0.72799999999999998"/>
    <n v="5679.6"/>
    <x v="0"/>
    <n v="1"/>
    <n v="1"/>
    <n v="0"/>
    <n v="1"/>
    <n v="0"/>
    <n v="1"/>
    <n v="0"/>
    <x v="9"/>
    <x v="35"/>
    <n v="333.33"/>
    <n v="43.09"/>
    <x v="326"/>
    <n v="10.3"/>
    <n v="0.6"/>
  </r>
  <r>
    <n v="637152602"/>
    <n v="779514"/>
    <n v="5130808"/>
    <n v="3731"/>
    <x v="4"/>
    <n v="59695"/>
    <x v="7"/>
    <x v="209"/>
    <x v="208"/>
    <x v="326"/>
    <x v="327"/>
    <x v="326"/>
    <x v="215"/>
    <s v="OH"/>
    <s v="Cleveland"/>
    <s v="AZ"/>
    <s v="Phoenix"/>
    <x v="2"/>
    <n v="759297"/>
    <s v="101-300"/>
    <n v="261"/>
    <x v="249"/>
    <x v="236"/>
    <n v="259.39999999999998"/>
    <n v="330.4"/>
    <x v="0"/>
    <s v="5.03"/>
    <s v="06:00-09:59"/>
    <x v="5"/>
    <x v="0"/>
    <n v="-12"/>
    <n v="0"/>
    <n v="0"/>
    <n v="26.8"/>
    <n v="0"/>
    <n v="0.78600000000000003"/>
    <n v="0.85399999999999998"/>
    <n v="15655.3"/>
    <x v="1"/>
    <n v="1"/>
    <n v="1"/>
    <n v="0"/>
    <n v="1"/>
    <n v="0"/>
    <n v="1"/>
    <n v="0"/>
    <x v="39"/>
    <x v="69"/>
    <n v="273.77"/>
    <n v="65.41"/>
    <x v="327"/>
    <n v="38.9"/>
    <n v="57.7"/>
  </r>
  <r>
    <n v="699924859"/>
    <n v="738551"/>
    <n v="7685149"/>
    <n v="7694"/>
    <x v="1"/>
    <n v="58055"/>
    <x v="3"/>
    <x v="84"/>
    <x v="84"/>
    <x v="327"/>
    <x v="328"/>
    <x v="327"/>
    <x v="217"/>
    <s v="FL"/>
    <s v="Tampa"/>
    <s v="NJ"/>
    <s v="Trenton"/>
    <x v="3"/>
    <n v="720446"/>
    <s v="0-100"/>
    <n v="103"/>
    <x v="228"/>
    <x v="217"/>
    <n v="100.4"/>
    <n v="160"/>
    <x v="0"/>
    <s v="2.31"/>
    <s v="18:00-23:59"/>
    <x v="4"/>
    <x v="0"/>
    <n v="-26"/>
    <n v="0"/>
    <n v="0"/>
    <n v="68.3"/>
    <n v="0"/>
    <n v="0.41299999999999998"/>
    <n v="0.50800000000000001"/>
    <n v="4988.54"/>
    <x v="0"/>
    <n v="1"/>
    <n v="1"/>
    <n v="0"/>
    <n v="1"/>
    <n v="0"/>
    <n v="1"/>
    <n v="0"/>
    <x v="17"/>
    <x v="10"/>
    <n v="110.58"/>
    <n v="33.15"/>
    <x v="328"/>
    <n v="4.0999999999999996"/>
    <n v="0"/>
  </r>
  <r>
    <n v="994807263"/>
    <n v="391704"/>
    <n v="7897151"/>
    <n v="4556"/>
    <x v="1"/>
    <n v="54218"/>
    <x v="10"/>
    <x v="210"/>
    <x v="209"/>
    <x v="328"/>
    <x v="329"/>
    <x v="328"/>
    <x v="218"/>
    <s v="TX"/>
    <s v="Houston"/>
    <s v="MI"/>
    <s v="Lansing"/>
    <x v="0"/>
    <n v="752402"/>
    <s v="0-100"/>
    <n v="49"/>
    <x v="221"/>
    <x v="237"/>
    <n v="53.7"/>
    <n v="79.3"/>
    <x v="4"/>
    <s v="0.98"/>
    <s v="14:00-17:59"/>
    <x v="5"/>
    <x v="0"/>
    <n v="-31"/>
    <n v="0"/>
    <n v="0"/>
    <n v="59.4"/>
    <n v="0"/>
    <n v="0.89600000000000002"/>
    <n v="0.70299999999999996"/>
    <n v="4321.5"/>
    <x v="0"/>
    <n v="1"/>
    <n v="1"/>
    <n v="0"/>
    <n v="1"/>
    <n v="0"/>
    <n v="1"/>
    <n v="0"/>
    <x v="89"/>
    <x v="58"/>
    <n v="49.77"/>
    <n v="11.28"/>
    <x v="329"/>
    <n v="11.3"/>
    <n v="42.8"/>
  </r>
  <r>
    <n v="817311263"/>
    <n v="835392"/>
    <n v="4194548"/>
    <n v="4005"/>
    <x v="8"/>
    <n v="51868"/>
    <x v="12"/>
    <x v="183"/>
    <x v="182"/>
    <x v="329"/>
    <x v="330"/>
    <x v="329"/>
    <x v="174"/>
    <s v="TN"/>
    <s v="Nashville"/>
    <s v="MO"/>
    <s v="St. Louis"/>
    <x v="0"/>
    <n v="722184"/>
    <s v="101-300"/>
    <n v="213"/>
    <x v="15"/>
    <x v="4"/>
    <n v="217.1"/>
    <n v="231"/>
    <x v="0"/>
    <s v="4.63"/>
    <s v="06:00-09:59"/>
    <x v="3"/>
    <x v="0"/>
    <n v="-69"/>
    <n v="0"/>
    <n v="0"/>
    <n v="28.4"/>
    <n v="0"/>
    <n v="0.629"/>
    <n v="0.73499999999999999"/>
    <n v="101488.67"/>
    <x v="2"/>
    <n v="1"/>
    <n v="1"/>
    <n v="0"/>
    <n v="1"/>
    <n v="0"/>
    <n v="1"/>
    <n v="0"/>
    <x v="9"/>
    <x v="77"/>
    <n v="197.17"/>
    <n v="32.880000000000003"/>
    <x v="330"/>
    <n v="31.7"/>
    <n v="41.5"/>
  </r>
  <r>
    <n v="965650861"/>
    <n v="634277"/>
    <n v="1059486"/>
    <n v="6232"/>
    <x v="4"/>
    <n v="51671"/>
    <x v="7"/>
    <x v="117"/>
    <x v="116"/>
    <x v="330"/>
    <x v="331"/>
    <x v="330"/>
    <x v="117"/>
    <s v="PA"/>
    <s v="Allentown"/>
    <s v="PA"/>
    <s v="Harrisburg"/>
    <x v="3"/>
    <n v="739365"/>
    <s v="0-100"/>
    <n v="21"/>
    <x v="79"/>
    <x v="238"/>
    <n v="14.3"/>
    <n v="69.400000000000006"/>
    <x v="0"/>
    <s v="1.1"/>
    <s v="14:00-17:59"/>
    <x v="5"/>
    <x v="0"/>
    <n v="-24"/>
    <n v="0"/>
    <n v="0"/>
    <n v="58.9"/>
    <n v="0"/>
    <n v="0.72799999999999998"/>
    <n v="0.60799999999999998"/>
    <n v="4127"/>
    <x v="0"/>
    <n v="1"/>
    <n v="1"/>
    <n v="0"/>
    <n v="1"/>
    <n v="0"/>
    <n v="1"/>
    <n v="0"/>
    <x v="40"/>
    <x v="90"/>
    <n v="45.73"/>
    <n v="10.19"/>
    <x v="331"/>
    <n v="4.7"/>
    <n v="58"/>
  </r>
  <r>
    <n v="480284107"/>
    <n v="498382"/>
    <n v="5673212"/>
    <n v="4943"/>
    <x v="7"/>
    <n v="59274"/>
    <x v="1"/>
    <x v="211"/>
    <x v="210"/>
    <x v="331"/>
    <x v="332"/>
    <x v="331"/>
    <x v="219"/>
    <s v="CO"/>
    <s v="Pueblo"/>
    <s v="AZ"/>
    <s v="Tempe"/>
    <x v="2"/>
    <n v="795889"/>
    <s v="0-100"/>
    <n v="20"/>
    <x v="250"/>
    <x v="87"/>
    <n v="18.5"/>
    <n v="56.3"/>
    <x v="0"/>
    <s v="1.2"/>
    <s v="00:00-05:59"/>
    <x v="0"/>
    <x v="0"/>
    <n v="-18"/>
    <n v="0"/>
    <n v="0"/>
    <n v="50.8"/>
    <n v="0"/>
    <n v="0.84699999999999998"/>
    <n v="0.46100000000000002"/>
    <n v="3037.01"/>
    <x v="0"/>
    <n v="1"/>
    <n v="1"/>
    <n v="0"/>
    <n v="1"/>
    <n v="0"/>
    <n v="1"/>
    <n v="0"/>
    <x v="9"/>
    <x v="30"/>
    <n v="45.01"/>
    <n v="11.22"/>
    <x v="332"/>
    <n v="12.5"/>
    <n v="13.4"/>
  </r>
  <r>
    <n v="177390472"/>
    <n v="343962"/>
    <n v="5672073"/>
    <n v="7396"/>
    <x v="2"/>
    <n v="51728"/>
    <x v="7"/>
    <x v="178"/>
    <x v="177"/>
    <x v="332"/>
    <x v="333"/>
    <x v="332"/>
    <x v="183"/>
    <s v="MO"/>
    <s v="Independence"/>
    <s v="IL"/>
    <s v="Rockford"/>
    <x v="0"/>
    <n v="763035"/>
    <s v="301-500"/>
    <n v="345"/>
    <x v="251"/>
    <x v="2"/>
    <n v="349"/>
    <n v="410.8"/>
    <x v="1"/>
    <s v="4.8"/>
    <s v="14:00-17:59"/>
    <x v="1"/>
    <x v="0"/>
    <n v="-58"/>
    <n v="0"/>
    <n v="0"/>
    <n v="28.6"/>
    <n v="0"/>
    <n v="0.56399999999999995"/>
    <n v="0.84099999999999997"/>
    <n v="5343.52"/>
    <x v="0"/>
    <n v="1"/>
    <n v="1"/>
    <n v="0"/>
    <n v="1"/>
    <n v="0"/>
    <n v="1"/>
    <n v="0"/>
    <x v="0"/>
    <x v="37"/>
    <n v="370.87"/>
    <n v="75.94"/>
    <x v="333"/>
    <n v="13.7"/>
    <n v="33.1"/>
  </r>
  <r>
    <n v="526351920"/>
    <n v="325772"/>
    <n v="9997381"/>
    <n v="8099"/>
    <x v="8"/>
    <n v="57632"/>
    <x v="14"/>
    <x v="212"/>
    <x v="211"/>
    <x v="333"/>
    <x v="334"/>
    <x v="333"/>
    <x v="220"/>
    <s v="NC"/>
    <s v="Charlotte"/>
    <s v="NJ"/>
    <s v="Newark"/>
    <x v="3"/>
    <n v="799317"/>
    <s v="0-100"/>
    <n v="29"/>
    <x v="252"/>
    <x v="157"/>
    <n v="23.6"/>
    <n v="56.7"/>
    <x v="2"/>
    <s v="1.52"/>
    <s v="06:00-09:59"/>
    <x v="2"/>
    <x v="0"/>
    <n v="0"/>
    <n v="0"/>
    <n v="0"/>
    <n v="53.9"/>
    <n v="0"/>
    <n v="0.47599999999999998"/>
    <n v="0.60399999999999998"/>
    <n v="66254.720000000001"/>
    <x v="2"/>
    <n v="1"/>
    <n v="1"/>
    <n v="0"/>
    <n v="1"/>
    <n v="0"/>
    <n v="1"/>
    <n v="0"/>
    <x v="1"/>
    <x v="58"/>
    <n v="44.5"/>
    <n v="6.5"/>
    <x v="334"/>
    <n v="4.7"/>
    <n v="26"/>
  </r>
  <r>
    <n v="896760809"/>
    <n v="903035"/>
    <n v="7110622"/>
    <n v="3200"/>
    <x v="2"/>
    <n v="56403"/>
    <x v="11"/>
    <x v="213"/>
    <x v="212"/>
    <x v="334"/>
    <x v="335"/>
    <x v="334"/>
    <x v="136"/>
    <s v="GA"/>
    <s v="Macon"/>
    <s v="GA"/>
    <s v="Columbus"/>
    <x v="1"/>
    <n v="783084"/>
    <s v="301-500"/>
    <n v="349"/>
    <x v="253"/>
    <x v="239"/>
    <n v="344.5"/>
    <n v="412.7"/>
    <x v="2"/>
    <s v="5.18"/>
    <s v="00:00-05:59"/>
    <x v="3"/>
    <x v="0"/>
    <n v="-22"/>
    <n v="0"/>
    <n v="0"/>
    <n v="73.2"/>
    <n v="0"/>
    <n v="0.70899999999999996"/>
    <n v="0.85499999999999998"/>
    <n v="3355.56"/>
    <x v="0"/>
    <n v="1"/>
    <n v="1"/>
    <n v="0"/>
    <n v="1"/>
    <n v="0"/>
    <n v="1"/>
    <n v="0"/>
    <x v="90"/>
    <x v="68"/>
    <n v="291.23"/>
    <n v="72.7"/>
    <x v="335"/>
    <n v="26.8"/>
    <n v="0"/>
  </r>
  <r>
    <n v="145421708"/>
    <n v="656116"/>
    <n v="9996207"/>
    <n v="5061"/>
    <x v="2"/>
    <n v="56092"/>
    <x v="2"/>
    <x v="185"/>
    <x v="184"/>
    <x v="335"/>
    <x v="336"/>
    <x v="335"/>
    <x v="207"/>
    <s v="WA"/>
    <s v="Spokane"/>
    <s v="CO"/>
    <s v="Aurora"/>
    <x v="2"/>
    <n v="742390"/>
    <s v="101-300"/>
    <n v="143"/>
    <x v="254"/>
    <x v="49"/>
    <n v="139.4"/>
    <n v="164.5"/>
    <x v="0"/>
    <s v="2.91"/>
    <s v="10:00-13:59"/>
    <x v="3"/>
    <x v="0"/>
    <n v="9"/>
    <n v="0"/>
    <n v="0"/>
    <n v="78.3"/>
    <n v="0"/>
    <n v="0.41599999999999998"/>
    <n v="0.623"/>
    <n v="15990.13"/>
    <x v="1"/>
    <n v="1"/>
    <n v="1"/>
    <n v="0"/>
    <n v="1"/>
    <n v="0"/>
    <n v="1"/>
    <n v="0"/>
    <x v="76"/>
    <x v="66"/>
    <n v="110.81"/>
    <n v="16.64"/>
    <x v="336"/>
    <n v="0.1"/>
    <n v="23.4"/>
  </r>
  <r>
    <n v="568387228"/>
    <n v="391476"/>
    <n v="8999183"/>
    <n v="6618"/>
    <x v="2"/>
    <n v="52142"/>
    <x v="6"/>
    <x v="200"/>
    <x v="199"/>
    <x v="336"/>
    <x v="337"/>
    <x v="336"/>
    <x v="203"/>
    <s v="NJ"/>
    <s v="Trenton"/>
    <s v="NJ"/>
    <s v="Elizabeth"/>
    <x v="3"/>
    <n v="748114"/>
    <s v="301-500"/>
    <n v="296"/>
    <x v="255"/>
    <x v="114"/>
    <n v="293.60000000000002"/>
    <n v="315.2"/>
    <x v="2"/>
    <s v="6.35"/>
    <s v="10:00-13:59"/>
    <x v="5"/>
    <x v="0"/>
    <n v="-33"/>
    <n v="0"/>
    <n v="0"/>
    <n v="40.1"/>
    <n v="0"/>
    <n v="0.49"/>
    <n v="0.63800000000000001"/>
    <n v="23471.15"/>
    <x v="1"/>
    <n v="1"/>
    <n v="1"/>
    <n v="0"/>
    <n v="1"/>
    <n v="0"/>
    <n v="1"/>
    <n v="0"/>
    <x v="17"/>
    <x v="82"/>
    <n v="197.97"/>
    <n v="58.39"/>
    <x v="337"/>
    <n v="51.7"/>
    <n v="49.2"/>
  </r>
  <r>
    <n v="120123575"/>
    <n v="813536"/>
    <n v="3500715"/>
    <n v="5737"/>
    <x v="0"/>
    <n v="59340"/>
    <x v="9"/>
    <x v="214"/>
    <x v="213"/>
    <x v="337"/>
    <x v="338"/>
    <x v="337"/>
    <x v="221"/>
    <s v="MO"/>
    <s v="Independence"/>
    <s v="MO"/>
    <s v="Springfield"/>
    <x v="0"/>
    <n v="774798"/>
    <s v="101-300"/>
    <n v="300"/>
    <x v="253"/>
    <x v="240"/>
    <n v="290.60000000000002"/>
    <n v="333.8"/>
    <x v="2"/>
    <s v="5.29"/>
    <s v="14:00-17:59"/>
    <x v="6"/>
    <x v="0"/>
    <n v="9"/>
    <n v="69"/>
    <n v="0"/>
    <n v="5"/>
    <n v="0"/>
    <n v="0.88400000000000001"/>
    <n v="0.34899999999999998"/>
    <n v="5039.84"/>
    <x v="0"/>
    <n v="1"/>
    <n v="1"/>
    <n v="0"/>
    <n v="1"/>
    <n v="0"/>
    <n v="1"/>
    <n v="0"/>
    <x v="49"/>
    <x v="71"/>
    <n v="269.37"/>
    <n v="64.010000000000005"/>
    <x v="338"/>
    <n v="6.9"/>
    <n v="42.8"/>
  </r>
  <r>
    <n v="593657365"/>
    <n v="852787"/>
    <n v="6075395"/>
    <n v="7668"/>
    <x v="8"/>
    <n v="56184"/>
    <x v="1"/>
    <x v="74"/>
    <x v="74"/>
    <x v="338"/>
    <x v="339"/>
    <x v="338"/>
    <x v="47"/>
    <s v="CA"/>
    <s v="Fresno"/>
    <s v="WA"/>
    <s v="Everett"/>
    <x v="2"/>
    <n v="795484"/>
    <s v="101-300"/>
    <n v="106"/>
    <x v="80"/>
    <x v="241"/>
    <n v="110.2"/>
    <n v="137.69999999999999"/>
    <x v="3"/>
    <s v="2.15"/>
    <s v="18:00-23:59"/>
    <x v="5"/>
    <x v="0"/>
    <n v="-28"/>
    <n v="0"/>
    <n v="0"/>
    <n v="70.3"/>
    <n v="0"/>
    <n v="0.53"/>
    <n v="0.60899999999999999"/>
    <n v="3789.71"/>
    <x v="0"/>
    <n v="1"/>
    <n v="1"/>
    <n v="0"/>
    <n v="1"/>
    <n v="0"/>
    <n v="1"/>
    <n v="0"/>
    <x v="33"/>
    <x v="35"/>
    <n v="108.42"/>
    <n v="27.24"/>
    <x v="339"/>
    <n v="15.7"/>
    <n v="64.900000000000006"/>
  </r>
  <r>
    <n v="183604337"/>
    <n v="724834"/>
    <n v="1701771"/>
    <n v="6249"/>
    <x v="6"/>
    <n v="56010"/>
    <x v="6"/>
    <x v="215"/>
    <x v="214"/>
    <x v="339"/>
    <x v="340"/>
    <x v="339"/>
    <x v="222"/>
    <s v="TN"/>
    <s v="Chattanooga"/>
    <s v="CA"/>
    <s v="Oakland"/>
    <x v="2"/>
    <n v="796425"/>
    <s v="101-300"/>
    <n v="263"/>
    <x v="256"/>
    <x v="242"/>
    <n v="258.60000000000002"/>
    <n v="331.4"/>
    <x v="2"/>
    <s v="8.51"/>
    <s v="10:00-13:59"/>
    <x v="4"/>
    <x v="3"/>
    <n v="93"/>
    <n v="0"/>
    <n v="0"/>
    <n v="97.6"/>
    <n v="0"/>
    <n v="0.23200000000000001"/>
    <n v="0.34399999999999997"/>
    <n v="4080.01"/>
    <x v="0"/>
    <n v="1"/>
    <n v="0"/>
    <n v="1"/>
    <n v="0"/>
    <n v="1"/>
    <n v="0"/>
    <n v="1"/>
    <x v="49"/>
    <x v="7"/>
    <n v="251.37"/>
    <n v="58.02"/>
    <x v="340"/>
    <n v="4.4000000000000004"/>
    <n v="13"/>
  </r>
  <r>
    <n v="436146289"/>
    <n v="724834"/>
    <n v="1701771"/>
    <n v="6249"/>
    <x v="6"/>
    <n v="50253"/>
    <x v="8"/>
    <x v="216"/>
    <x v="215"/>
    <x v="340"/>
    <x v="341"/>
    <x v="340"/>
    <x v="209"/>
    <s v="MO"/>
    <s v="Kansas City"/>
    <s v="IL"/>
    <s v="Aurora"/>
    <x v="0"/>
    <n v="763035"/>
    <s v="101-300"/>
    <n v="137"/>
    <x v="257"/>
    <x v="243"/>
    <n v="138.19999999999999"/>
    <n v="184.7"/>
    <x v="2"/>
    <s v="3.4"/>
    <s v="00:00-05:59"/>
    <x v="1"/>
    <x v="0"/>
    <n v="-13"/>
    <n v="0"/>
    <n v="0"/>
    <n v="63.8"/>
    <n v="0"/>
    <n v="0.85899999999999999"/>
    <n v="0.36799999999999999"/>
    <n v="22074.66"/>
    <x v="1"/>
    <n v="1"/>
    <n v="1"/>
    <n v="0"/>
    <n v="1"/>
    <n v="0"/>
    <n v="1"/>
    <n v="0"/>
    <x v="32"/>
    <x v="17"/>
    <n v="125.25"/>
    <n v="22.47"/>
    <x v="341"/>
    <n v="4.4000000000000004"/>
    <n v="10.1"/>
  </r>
  <r>
    <n v="718216692"/>
    <n v="245051"/>
    <n v="1739653"/>
    <n v="4763"/>
    <x v="7"/>
    <n v="54102"/>
    <x v="9"/>
    <x v="187"/>
    <x v="186"/>
    <x v="341"/>
    <x v="342"/>
    <x v="341"/>
    <x v="159"/>
    <s v="NY"/>
    <s v="Albany"/>
    <s v="AZ"/>
    <s v="Tempe"/>
    <x v="2"/>
    <n v="781681"/>
    <s v="101-300"/>
    <n v="301"/>
    <x v="258"/>
    <x v="149"/>
    <n v="301.60000000000002"/>
    <n v="339"/>
    <x v="0"/>
    <s v="10.13"/>
    <s v="14:00-17:59"/>
    <x v="2"/>
    <x v="2"/>
    <n v="205"/>
    <n v="0"/>
    <n v="3.9"/>
    <n v="42.8"/>
    <n v="0"/>
    <n v="0.78900000000000003"/>
    <n v="0.60399999999999998"/>
    <n v="16827.919999999998"/>
    <x v="1"/>
    <n v="1"/>
    <n v="0"/>
    <n v="1"/>
    <n v="0"/>
    <n v="1"/>
    <n v="0"/>
    <n v="1"/>
    <x v="22"/>
    <x v="23"/>
    <n v="234.25"/>
    <n v="66.19"/>
    <x v="342"/>
    <n v="12.9"/>
    <n v="73.2"/>
  </r>
  <r>
    <n v="560940492"/>
    <n v="662275"/>
    <n v="7818496"/>
    <n v="8629"/>
    <x v="4"/>
    <n v="53542"/>
    <x v="7"/>
    <x v="217"/>
    <x v="216"/>
    <x v="342"/>
    <x v="343"/>
    <x v="342"/>
    <x v="223"/>
    <s v="IL"/>
    <s v="Springfield"/>
    <s v="MO"/>
    <s v="Springfield"/>
    <x v="0"/>
    <n v="754209"/>
    <s v="0-100"/>
    <n v="100"/>
    <x v="259"/>
    <x v="244"/>
    <n v="93.9"/>
    <n v="149.80000000000001"/>
    <x v="3"/>
    <s v="2.1"/>
    <s v="10:00-13:59"/>
    <x v="1"/>
    <x v="0"/>
    <n v="-11"/>
    <n v="0"/>
    <n v="0"/>
    <n v="28.5"/>
    <n v="0"/>
    <n v="0.67600000000000005"/>
    <n v="0.70299999999999996"/>
    <n v="2981.86"/>
    <x v="0"/>
    <n v="1"/>
    <n v="1"/>
    <n v="0"/>
    <n v="1"/>
    <n v="0"/>
    <n v="1"/>
    <n v="0"/>
    <x v="45"/>
    <x v="56"/>
    <n v="135.94999999999999"/>
    <n v="31.15"/>
    <x v="343"/>
    <n v="31.4"/>
    <n v="50.7"/>
  </r>
  <r>
    <n v="715683222"/>
    <n v="246316"/>
    <n v="1352896"/>
    <n v="5426"/>
    <x v="7"/>
    <n v="52775"/>
    <x v="6"/>
    <x v="218"/>
    <x v="217"/>
    <x v="343"/>
    <x v="344"/>
    <x v="343"/>
    <x v="107"/>
    <s v="NC"/>
    <s v="Greensboro"/>
    <s v="CA"/>
    <s v="San Diego"/>
    <x v="2"/>
    <n v="778944"/>
    <s v="501-1000"/>
    <n v="852"/>
    <x v="260"/>
    <x v="116"/>
    <n v="841.4"/>
    <n v="893"/>
    <x v="0"/>
    <s v="16.93"/>
    <s v="10:00-13:59"/>
    <x v="6"/>
    <x v="0"/>
    <n v="-60"/>
    <n v="0"/>
    <n v="0"/>
    <n v="59.1"/>
    <n v="0"/>
    <n v="0.68500000000000005"/>
    <n v="0.75800000000000001"/>
    <n v="15710.44"/>
    <x v="1"/>
    <n v="1"/>
    <n v="1"/>
    <n v="0"/>
    <n v="1"/>
    <n v="0"/>
    <n v="1"/>
    <n v="0"/>
    <x v="63"/>
    <x v="40"/>
    <n v="559.13"/>
    <n v="157.22"/>
    <x v="344"/>
    <n v="28.1"/>
    <n v="14.7"/>
  </r>
  <r>
    <n v="534245762"/>
    <n v="356702"/>
    <n v="4426900"/>
    <n v="1502"/>
    <x v="1"/>
    <n v="57678"/>
    <x v="9"/>
    <x v="56"/>
    <x v="56"/>
    <x v="344"/>
    <x v="345"/>
    <x v="344"/>
    <x v="56"/>
    <s v="WA"/>
    <s v="Tacoma"/>
    <s v="WA"/>
    <s v="Spokane"/>
    <x v="2"/>
    <n v="745653"/>
    <s v="101-300"/>
    <n v="249"/>
    <x v="261"/>
    <x v="210"/>
    <n v="249.5"/>
    <n v="268"/>
    <x v="0"/>
    <s v="4.53"/>
    <s v="06:00-09:59"/>
    <x v="2"/>
    <x v="0"/>
    <n v="-21"/>
    <n v="82"/>
    <n v="0.7"/>
    <n v="67"/>
    <n v="0"/>
    <n v="0.214"/>
    <n v="0.55800000000000005"/>
    <n v="1611.51"/>
    <x v="0"/>
    <n v="1"/>
    <n v="1"/>
    <n v="0"/>
    <n v="1"/>
    <n v="0"/>
    <n v="1"/>
    <n v="0"/>
    <x v="58"/>
    <x v="38"/>
    <n v="195.38"/>
    <n v="35.65"/>
    <x v="345"/>
    <n v="47.2"/>
    <n v="0.8"/>
  </r>
  <r>
    <n v="861818706"/>
    <n v="955662"/>
    <n v="8315831"/>
    <n v="9445"/>
    <x v="1"/>
    <n v="56212"/>
    <x v="6"/>
    <x v="219"/>
    <x v="218"/>
    <x v="345"/>
    <x v="346"/>
    <x v="345"/>
    <x v="224"/>
    <s v="PA"/>
    <s v="Philadelphia"/>
    <s v="MI"/>
    <s v="Lansing"/>
    <x v="0"/>
    <n v="719112"/>
    <s v="101-300"/>
    <n v="106"/>
    <x v="262"/>
    <x v="196"/>
    <n v="103.4"/>
    <n v="130.1"/>
    <x v="1"/>
    <s v="2.47"/>
    <s v="10:00-13:59"/>
    <x v="5"/>
    <x v="0"/>
    <n v="-20"/>
    <n v="0"/>
    <n v="0"/>
    <n v="36.1"/>
    <n v="0"/>
    <n v="0.64200000000000002"/>
    <n v="0.66900000000000004"/>
    <n v="2578.11"/>
    <x v="0"/>
    <n v="1"/>
    <n v="1"/>
    <n v="0"/>
    <n v="1"/>
    <n v="0"/>
    <n v="1"/>
    <n v="0"/>
    <x v="85"/>
    <x v="73"/>
    <n v="82.18"/>
    <n v="15.81"/>
    <x v="346"/>
    <n v="18.100000000000001"/>
    <n v="27.2"/>
  </r>
  <r>
    <n v="787346882"/>
    <n v="623481"/>
    <n v="2737893"/>
    <n v="4627"/>
    <x v="3"/>
    <n v="54637"/>
    <x v="7"/>
    <x v="220"/>
    <x v="219"/>
    <x v="346"/>
    <x v="347"/>
    <x v="346"/>
    <x v="225"/>
    <s v="AZ"/>
    <s v="Mesa"/>
    <s v="MI"/>
    <s v="Flint"/>
    <x v="0"/>
    <n v="772918"/>
    <s v="301-500"/>
    <n v="516"/>
    <x v="263"/>
    <x v="132"/>
    <n v="518.70000000000005"/>
    <n v="627.9"/>
    <x v="0"/>
    <s v="10.5"/>
    <s v="06:00-09:59"/>
    <x v="4"/>
    <x v="0"/>
    <n v="-62"/>
    <n v="0"/>
    <n v="0"/>
    <n v="53"/>
    <n v="0"/>
    <n v="0.58199999999999996"/>
    <n v="0.47299999999999998"/>
    <n v="94145.76"/>
    <x v="2"/>
    <n v="1"/>
    <n v="1"/>
    <n v="0"/>
    <n v="1"/>
    <n v="0"/>
    <n v="1"/>
    <n v="0"/>
    <x v="62"/>
    <x v="75"/>
    <n v="425.38"/>
    <n v="80.23"/>
    <x v="347"/>
    <n v="22.3"/>
    <n v="79"/>
  </r>
  <r>
    <n v="548495473"/>
    <n v="439902"/>
    <n v="2935113"/>
    <n v="9815"/>
    <x v="6"/>
    <n v="56034"/>
    <x v="8"/>
    <x v="159"/>
    <x v="159"/>
    <x v="347"/>
    <x v="348"/>
    <x v="347"/>
    <x v="163"/>
    <s v="NY"/>
    <s v="Buffalo"/>
    <s v="NY"/>
    <s v="New York"/>
    <x v="3"/>
    <n v="742838"/>
    <s v="101-300"/>
    <n v="293"/>
    <x v="156"/>
    <x v="14"/>
    <n v="297.89999999999998"/>
    <n v="340.2"/>
    <x v="0"/>
    <s v="6.39"/>
    <s v="14:00-17:59"/>
    <x v="3"/>
    <x v="0"/>
    <n v="-4"/>
    <n v="0"/>
    <n v="0"/>
    <n v="52.2"/>
    <n v="0"/>
    <n v="0.82799999999999996"/>
    <n v="0.29899999999999999"/>
    <n v="14998.31"/>
    <x v="1"/>
    <n v="1"/>
    <n v="1"/>
    <n v="0"/>
    <n v="1"/>
    <n v="0"/>
    <n v="1"/>
    <n v="0"/>
    <x v="70"/>
    <x v="5"/>
    <n v="306.16000000000003"/>
    <n v="34.71"/>
    <x v="348"/>
    <n v="45.7"/>
    <n v="45"/>
  </r>
  <r>
    <n v="410864588"/>
    <n v="559381"/>
    <n v="4526280"/>
    <n v="9754"/>
    <x v="5"/>
    <n v="58457"/>
    <x v="3"/>
    <x v="14"/>
    <x v="14"/>
    <x v="348"/>
    <x v="349"/>
    <x v="348"/>
    <x v="226"/>
    <s v="NC"/>
    <s v="Durham"/>
    <s v="NC"/>
    <s v="Raleigh"/>
    <x v="1"/>
    <n v="752322"/>
    <s v="301-500"/>
    <n v="495"/>
    <x v="111"/>
    <x v="199"/>
    <n v="482.8"/>
    <n v="518"/>
    <x v="2"/>
    <s v="9.78"/>
    <s v="10:00-13:59"/>
    <x v="0"/>
    <x v="0"/>
    <n v="-38"/>
    <n v="0"/>
    <n v="0"/>
    <n v="61.6"/>
    <n v="0"/>
    <n v="0.82699999999999996"/>
    <n v="0.63400000000000001"/>
    <n v="3533.84"/>
    <x v="0"/>
    <n v="1"/>
    <n v="1"/>
    <n v="0"/>
    <n v="1"/>
    <n v="0"/>
    <n v="1"/>
    <n v="0"/>
    <x v="4"/>
    <x v="47"/>
    <n v="344.4"/>
    <n v="52.43"/>
    <x v="349"/>
    <n v="25"/>
    <n v="15.5"/>
  </r>
  <r>
    <n v="223666470"/>
    <n v="263032"/>
    <n v="4191175"/>
    <n v="6486"/>
    <x v="9"/>
    <n v="56476"/>
    <x v="2"/>
    <x v="4"/>
    <x v="4"/>
    <x v="349"/>
    <x v="350"/>
    <x v="349"/>
    <x v="227"/>
    <s v="WA"/>
    <s v="Spokane"/>
    <s v="AZ"/>
    <s v="Tempe"/>
    <x v="2"/>
    <n v="774774"/>
    <s v="101-300"/>
    <n v="246"/>
    <x v="264"/>
    <x v="151"/>
    <n v="244.6"/>
    <n v="307.39999999999998"/>
    <x v="4"/>
    <s v="6.36"/>
    <s v="18:00-23:59"/>
    <x v="3"/>
    <x v="0"/>
    <n v="3"/>
    <n v="0"/>
    <n v="0"/>
    <n v="10.9"/>
    <n v="0"/>
    <n v="0.71299999999999997"/>
    <n v="0.56499999999999995"/>
    <n v="57505.19"/>
    <x v="2"/>
    <n v="1"/>
    <n v="1"/>
    <n v="0"/>
    <n v="1"/>
    <n v="0"/>
    <n v="1"/>
    <n v="0"/>
    <x v="41"/>
    <x v="36"/>
    <n v="245.99"/>
    <n v="41.7"/>
    <x v="350"/>
    <n v="13.2"/>
    <n v="23.9"/>
  </r>
  <r>
    <n v="534900128"/>
    <n v="724834"/>
    <n v="1701771"/>
    <n v="6249"/>
    <x v="6"/>
    <n v="53148"/>
    <x v="0"/>
    <x v="221"/>
    <x v="220"/>
    <x v="350"/>
    <x v="351"/>
    <x v="350"/>
    <x v="28"/>
    <s v="WA"/>
    <s v="Tacoma"/>
    <s v="NY"/>
    <s v="Rochester"/>
    <x v="3"/>
    <n v="711247"/>
    <s v="301-500"/>
    <n v="369"/>
    <x v="265"/>
    <x v="191"/>
    <n v="375.3"/>
    <n v="406.4"/>
    <x v="2"/>
    <s v="9.08"/>
    <s v="10:00-13:59"/>
    <x v="5"/>
    <x v="0"/>
    <n v="-16"/>
    <n v="0"/>
    <n v="0"/>
    <n v="67.099999999999994"/>
    <n v="0"/>
    <n v="0.61899999999999999"/>
    <n v="0.629"/>
    <n v="103311.96"/>
    <x v="2"/>
    <n v="1"/>
    <n v="1"/>
    <n v="0"/>
    <n v="1"/>
    <n v="0"/>
    <n v="1"/>
    <n v="0"/>
    <x v="42"/>
    <x v="37"/>
    <n v="294.27"/>
    <n v="85.65"/>
    <x v="351"/>
    <n v="4.4000000000000004"/>
    <n v="13.9"/>
  </r>
  <r>
    <n v="122394554"/>
    <n v="500156"/>
    <n v="3138181"/>
    <n v="7528"/>
    <x v="0"/>
    <n v="53359"/>
    <x v="4"/>
    <x v="45"/>
    <x v="45"/>
    <x v="351"/>
    <x v="352"/>
    <x v="351"/>
    <x v="44"/>
    <s v="MO"/>
    <s v="St. Louis"/>
    <s v="NJ"/>
    <s v="Newark"/>
    <x v="3"/>
    <n v="714728"/>
    <s v="0-100"/>
    <n v="100"/>
    <x v="266"/>
    <x v="234"/>
    <n v="108.6"/>
    <n v="184.7"/>
    <x v="0"/>
    <s v="2.46"/>
    <s v="06:00-09:59"/>
    <x v="2"/>
    <x v="0"/>
    <n v="-31"/>
    <n v="0"/>
    <n v="1.6"/>
    <n v="53.4"/>
    <n v="0"/>
    <n v="0.629"/>
    <n v="0.38900000000000001"/>
    <n v="3612.59"/>
    <x v="0"/>
    <n v="1"/>
    <n v="1"/>
    <n v="0"/>
    <n v="1"/>
    <n v="0"/>
    <n v="1"/>
    <n v="0"/>
    <x v="45"/>
    <x v="34"/>
    <n v="149.59"/>
    <n v="32.24"/>
    <x v="352"/>
    <n v="24.1"/>
    <n v="32.4"/>
  </r>
  <r>
    <n v="448717183"/>
    <n v="847581"/>
    <n v="3919694"/>
    <n v="9050"/>
    <x v="7"/>
    <n v="51004"/>
    <x v="7"/>
    <x v="210"/>
    <x v="209"/>
    <x v="352"/>
    <x v="353"/>
    <x v="352"/>
    <x v="218"/>
    <s v="OH"/>
    <s v="Cincinnati"/>
    <s v="GA"/>
    <s v="Augusta"/>
    <x v="1"/>
    <n v="796938"/>
    <s v="301-500"/>
    <n v="357"/>
    <x v="172"/>
    <x v="85"/>
    <n v="346"/>
    <n v="416.5"/>
    <x v="0"/>
    <s v="8.04"/>
    <s v="14:00-17:59"/>
    <x v="5"/>
    <x v="0"/>
    <n v="4"/>
    <n v="0"/>
    <n v="0"/>
    <n v="81"/>
    <n v="0"/>
    <n v="0.64600000000000002"/>
    <n v="0.68200000000000005"/>
    <n v="2041.53"/>
    <x v="0"/>
    <n v="1"/>
    <n v="1"/>
    <n v="0"/>
    <n v="1"/>
    <n v="0"/>
    <n v="1"/>
    <n v="0"/>
    <x v="62"/>
    <x v="18"/>
    <n v="364.71"/>
    <n v="60.95"/>
    <x v="353"/>
    <n v="12.5"/>
    <n v="21.9"/>
  </r>
  <r>
    <n v="284547422"/>
    <n v="804314"/>
    <n v="1006810"/>
    <n v="7893"/>
    <x v="4"/>
    <n v="54717"/>
    <x v="0"/>
    <x v="117"/>
    <x v="116"/>
    <x v="353"/>
    <x v="354"/>
    <x v="353"/>
    <x v="117"/>
    <s v="WA"/>
    <s v="Spokane"/>
    <s v="CO"/>
    <s v="Pueblo"/>
    <x v="2"/>
    <n v="742390"/>
    <s v="301-500"/>
    <n v="419"/>
    <x v="267"/>
    <x v="221"/>
    <n v="425.9"/>
    <n v="485.5"/>
    <x v="0"/>
    <s v="11.41"/>
    <s v="10:00-13:59"/>
    <x v="5"/>
    <x v="0"/>
    <n v="19"/>
    <n v="0"/>
    <n v="0"/>
    <n v="53.6"/>
    <n v="0"/>
    <n v="0.433"/>
    <n v="0.81299999999999994"/>
    <n v="10749.01"/>
    <x v="1"/>
    <n v="1"/>
    <n v="0"/>
    <n v="1"/>
    <n v="0"/>
    <n v="1"/>
    <n v="0"/>
    <n v="1"/>
    <x v="2"/>
    <x v="65"/>
    <n v="342.75"/>
    <n v="49.18"/>
    <x v="218"/>
    <n v="11.6"/>
    <n v="0"/>
  </r>
  <r>
    <n v="960413104"/>
    <n v="724834"/>
    <n v="1701771"/>
    <n v="6249"/>
    <x v="6"/>
    <n v="53271"/>
    <x v="10"/>
    <x v="170"/>
    <x v="169"/>
    <x v="354"/>
    <x v="355"/>
    <x v="354"/>
    <x v="177"/>
    <s v="MO"/>
    <s v="Independence"/>
    <s v="MO"/>
    <s v="St. Louis"/>
    <x v="0"/>
    <n v="774798"/>
    <s v="101-300"/>
    <n v="126"/>
    <x v="268"/>
    <x v="245"/>
    <n v="119.9"/>
    <n v="193.7"/>
    <x v="2"/>
    <s v="2.56"/>
    <s v="06:00-09:59"/>
    <x v="6"/>
    <x v="0"/>
    <n v="-17"/>
    <n v="0"/>
    <n v="0"/>
    <n v="60.7"/>
    <n v="0"/>
    <n v="0.72199999999999998"/>
    <n v="0.70599999999999996"/>
    <n v="69089.84"/>
    <x v="2"/>
    <n v="1"/>
    <n v="1"/>
    <n v="0"/>
    <n v="1"/>
    <n v="0"/>
    <n v="1"/>
    <n v="0"/>
    <x v="52"/>
    <x v="58"/>
    <n v="124.66"/>
    <n v="42.37"/>
    <x v="354"/>
    <n v="4.4000000000000004"/>
    <n v="10.5"/>
  </r>
  <r>
    <n v="763706947"/>
    <n v="145561"/>
    <n v="2564689"/>
    <n v="1161"/>
    <x v="3"/>
    <n v="50209"/>
    <x v="1"/>
    <x v="123"/>
    <x v="122"/>
    <x v="355"/>
    <x v="356"/>
    <x v="355"/>
    <x v="123"/>
    <s v="GA"/>
    <s v="Savannah"/>
    <s v="IL"/>
    <s v="Chicago"/>
    <x v="0"/>
    <n v="717326"/>
    <s v="0-100"/>
    <n v="102"/>
    <x v="190"/>
    <x v="246"/>
    <n v="106.2"/>
    <n v="149.9"/>
    <x v="0"/>
    <s v="3.23"/>
    <s v="14:00-17:59"/>
    <x v="0"/>
    <x v="0"/>
    <n v="12"/>
    <n v="0"/>
    <n v="0"/>
    <n v="31"/>
    <n v="0"/>
    <n v="0.84599999999999997"/>
    <n v="0.57799999999999996"/>
    <n v="18205.400000000001"/>
    <x v="1"/>
    <n v="1"/>
    <n v="1"/>
    <n v="0"/>
    <n v="1"/>
    <n v="0"/>
    <n v="1"/>
    <n v="0"/>
    <x v="80"/>
    <x v="70"/>
    <n v="102.12"/>
    <n v="23.19"/>
    <x v="355"/>
    <n v="5.6"/>
    <n v="1.7"/>
  </r>
  <r>
    <n v="594025283"/>
    <n v="260263"/>
    <n v="5674183"/>
    <n v="5736"/>
    <x v="7"/>
    <n v="59079"/>
    <x v="8"/>
    <x v="38"/>
    <x v="38"/>
    <x v="356"/>
    <x v="357"/>
    <x v="356"/>
    <x v="37"/>
    <s v="MO"/>
    <s v="Kansas City"/>
    <s v="WA"/>
    <s v="Vancouver"/>
    <x v="2"/>
    <n v="707148"/>
    <s v="101-300"/>
    <n v="135"/>
    <x v="269"/>
    <x v="247"/>
    <n v="131.69999999999999"/>
    <n v="173.6"/>
    <x v="2"/>
    <s v="2.3"/>
    <s v="10:00-13:59"/>
    <x v="5"/>
    <x v="0"/>
    <n v="-22"/>
    <n v="0"/>
    <n v="0"/>
    <n v="44"/>
    <n v="0"/>
    <n v="0.38200000000000001"/>
    <n v="0.75800000000000001"/>
    <n v="8027.66"/>
    <x v="0"/>
    <n v="1"/>
    <n v="1"/>
    <n v="0"/>
    <n v="1"/>
    <n v="0"/>
    <n v="1"/>
    <n v="0"/>
    <x v="17"/>
    <x v="91"/>
    <n v="130.5"/>
    <n v="38.01"/>
    <x v="356"/>
    <n v="30.8"/>
    <n v="34"/>
  </r>
  <r>
    <n v="993381017"/>
    <n v="731262"/>
    <n v="4594297"/>
    <n v="3558"/>
    <x v="5"/>
    <n v="55539"/>
    <x v="1"/>
    <x v="117"/>
    <x v="116"/>
    <x v="357"/>
    <x v="358"/>
    <x v="357"/>
    <x v="206"/>
    <s v="NY"/>
    <s v="Albany"/>
    <s v="MI"/>
    <s v="Ann Arbor"/>
    <x v="0"/>
    <n v="701498"/>
    <s v="501-1000"/>
    <n v="608"/>
    <x v="270"/>
    <x v="177"/>
    <n v="612.5"/>
    <n v="662.3"/>
    <x v="2"/>
    <s v="10.46"/>
    <s v="14:00-17:59"/>
    <x v="5"/>
    <x v="0"/>
    <n v="3"/>
    <n v="0"/>
    <n v="0"/>
    <n v="55.1"/>
    <n v="0"/>
    <n v="0.76700000000000002"/>
    <n v="0.501"/>
    <n v="3871.09"/>
    <x v="0"/>
    <n v="1"/>
    <n v="1"/>
    <n v="0"/>
    <n v="1"/>
    <n v="0"/>
    <n v="1"/>
    <n v="0"/>
    <x v="40"/>
    <x v="34"/>
    <n v="512.96"/>
    <n v="123.46"/>
    <x v="357"/>
    <n v="10"/>
    <n v="81"/>
  </r>
  <r>
    <n v="840463141"/>
    <n v="287330"/>
    <n v="4348276"/>
    <n v="9338"/>
    <x v="3"/>
    <n v="50153"/>
    <x v="7"/>
    <x v="222"/>
    <x v="221"/>
    <x v="358"/>
    <x v="359"/>
    <x v="358"/>
    <x v="228"/>
    <s v="PA"/>
    <s v="Erie"/>
    <s v="PA"/>
    <s v="Philadelphia"/>
    <x v="3"/>
    <n v="739365"/>
    <s v="101-300"/>
    <n v="224"/>
    <x v="271"/>
    <x v="248"/>
    <n v="221.8"/>
    <n v="291.89999999999998"/>
    <x v="2"/>
    <s v="4.2"/>
    <s v="10:00-13:59"/>
    <x v="5"/>
    <x v="0"/>
    <n v="-26"/>
    <n v="0"/>
    <n v="0"/>
    <n v="53.5"/>
    <n v="0"/>
    <n v="0.55800000000000005"/>
    <n v="0.69099999999999995"/>
    <n v="5279.79"/>
    <x v="0"/>
    <n v="1"/>
    <n v="1"/>
    <n v="0"/>
    <n v="1"/>
    <n v="0"/>
    <n v="1"/>
    <n v="0"/>
    <x v="53"/>
    <x v="47"/>
    <n v="263.45999999999998"/>
    <n v="30.98"/>
    <x v="358"/>
    <n v="17.5"/>
    <n v="64.900000000000006"/>
  </r>
  <r>
    <n v="488536370"/>
    <n v="903035"/>
    <n v="7110622"/>
    <n v="3200"/>
    <x v="2"/>
    <n v="53593"/>
    <x v="7"/>
    <x v="138"/>
    <x v="138"/>
    <x v="359"/>
    <x v="360"/>
    <x v="359"/>
    <x v="142"/>
    <s v="PA"/>
    <s v="Erie"/>
    <s v="MO"/>
    <s v="Kansas City"/>
    <x v="0"/>
    <n v="731856"/>
    <s v="101-300"/>
    <n v="269"/>
    <x v="272"/>
    <x v="249"/>
    <n v="260.39999999999998"/>
    <n v="282.60000000000002"/>
    <x v="2"/>
    <s v="5.92"/>
    <s v="14:00-17:59"/>
    <x v="5"/>
    <x v="0"/>
    <n v="22"/>
    <n v="0"/>
    <n v="0"/>
    <n v="43.6"/>
    <n v="0"/>
    <n v="0.86099999999999999"/>
    <n v="0.71299999999999997"/>
    <n v="6402.29"/>
    <x v="0"/>
    <n v="1"/>
    <n v="0"/>
    <n v="1"/>
    <n v="0"/>
    <n v="1"/>
    <n v="0"/>
    <n v="1"/>
    <x v="48"/>
    <x v="90"/>
    <n v="176.58"/>
    <n v="57.39"/>
    <x v="81"/>
    <n v="26.8"/>
    <n v="8.3000000000000007"/>
  </r>
  <r>
    <n v="194628740"/>
    <n v="482554"/>
    <n v="1954280"/>
    <n v="4561"/>
    <x v="1"/>
    <n v="58606"/>
    <x v="2"/>
    <x v="222"/>
    <x v="221"/>
    <x v="360"/>
    <x v="361"/>
    <x v="360"/>
    <x v="228"/>
    <s v="GA"/>
    <s v="Columbus"/>
    <s v="GA"/>
    <s v="Savannah"/>
    <x v="1"/>
    <n v="783084"/>
    <s v="0-100"/>
    <n v="75"/>
    <x v="273"/>
    <x v="250"/>
    <n v="71.5"/>
    <n v="129"/>
    <x v="1"/>
    <s v="1.75"/>
    <s v="06:00-09:59"/>
    <x v="5"/>
    <x v="0"/>
    <n v="6"/>
    <n v="71"/>
    <n v="0"/>
    <n v="52.7"/>
    <n v="0"/>
    <n v="0.68200000000000005"/>
    <n v="0.69599999999999995"/>
    <n v="3562.2"/>
    <x v="0"/>
    <n v="1"/>
    <n v="1"/>
    <n v="0"/>
    <n v="1"/>
    <n v="0"/>
    <n v="1"/>
    <n v="0"/>
    <x v="83"/>
    <x v="21"/>
    <n v="109.3"/>
    <n v="21.11"/>
    <x v="359"/>
    <n v="16.100000000000001"/>
    <n v="40.1"/>
  </r>
  <r>
    <n v="568915703"/>
    <n v="245051"/>
    <n v="1739653"/>
    <n v="4763"/>
    <x v="7"/>
    <n v="51284"/>
    <x v="3"/>
    <x v="136"/>
    <x v="136"/>
    <x v="361"/>
    <x v="362"/>
    <x v="361"/>
    <x v="139"/>
    <s v="TX"/>
    <s v="San Antonio"/>
    <s v="CA"/>
    <s v="Sacramento"/>
    <x v="2"/>
    <n v="781396"/>
    <s v="101-300"/>
    <n v="154"/>
    <x v="112"/>
    <x v="221"/>
    <n v="157.19999999999999"/>
    <n v="189.5"/>
    <x v="0"/>
    <s v="2.36"/>
    <s v="10:00-13:59"/>
    <x v="4"/>
    <x v="0"/>
    <n v="-8"/>
    <n v="0"/>
    <n v="0"/>
    <n v="17.2"/>
    <n v="0"/>
    <n v="0.58799999999999997"/>
    <n v="0.71"/>
    <n v="21463.31"/>
    <x v="1"/>
    <n v="1"/>
    <n v="1"/>
    <n v="0"/>
    <n v="1"/>
    <n v="0"/>
    <n v="1"/>
    <n v="0"/>
    <x v="68"/>
    <x v="24"/>
    <n v="121.61"/>
    <n v="29.25"/>
    <x v="360"/>
    <n v="12.9"/>
    <n v="49.4"/>
  </r>
  <r>
    <n v="213669678"/>
    <n v="779514"/>
    <n v="5130808"/>
    <n v="3731"/>
    <x v="4"/>
    <n v="53148"/>
    <x v="8"/>
    <x v="147"/>
    <x v="147"/>
    <x v="362"/>
    <x v="363"/>
    <x v="362"/>
    <x v="152"/>
    <s v="TN"/>
    <s v="Nashville"/>
    <s v="PA"/>
    <s v="Allentown"/>
    <x v="3"/>
    <n v="731760"/>
    <s v="101-300"/>
    <n v="105"/>
    <x v="274"/>
    <x v="251"/>
    <n v="102.5"/>
    <n v="145.6"/>
    <x v="0"/>
    <s v="0.76"/>
    <s v="18:00-23:59"/>
    <x v="5"/>
    <x v="0"/>
    <n v="-74"/>
    <n v="32"/>
    <n v="0"/>
    <n v="50.6"/>
    <n v="0"/>
    <n v="0.62"/>
    <n v="0.75"/>
    <n v="2478.3200000000002"/>
    <x v="0"/>
    <n v="1"/>
    <n v="1"/>
    <n v="0"/>
    <n v="1"/>
    <n v="0"/>
    <n v="1"/>
    <n v="0"/>
    <x v="6"/>
    <x v="6"/>
    <n v="93.68"/>
    <n v="27.8"/>
    <x v="361"/>
    <n v="38.9"/>
    <n v="49.8"/>
  </r>
  <r>
    <n v="361259074"/>
    <n v="738720"/>
    <n v="2375453"/>
    <n v="6056"/>
    <x v="0"/>
    <n v="50768"/>
    <x v="0"/>
    <x v="68"/>
    <x v="68"/>
    <x v="363"/>
    <x v="364"/>
    <x v="363"/>
    <x v="96"/>
    <s v="NY"/>
    <s v="Syracuse"/>
    <s v="NY"/>
    <s v="Albany"/>
    <x v="3"/>
    <n v="742838"/>
    <s v="501-1000"/>
    <n v="911"/>
    <x v="275"/>
    <x v="245"/>
    <n v="904.6"/>
    <n v="973.9"/>
    <x v="0"/>
    <s v="17.79"/>
    <s v="14:00-17:59"/>
    <x v="5"/>
    <x v="0"/>
    <n v="-8"/>
    <n v="0"/>
    <n v="0"/>
    <n v="74.2"/>
    <n v="0"/>
    <n v="0.71699999999999997"/>
    <n v="0.80100000000000005"/>
    <n v="1720.29"/>
    <x v="0"/>
    <n v="1"/>
    <n v="1"/>
    <n v="0"/>
    <n v="1"/>
    <n v="0"/>
    <n v="1"/>
    <n v="0"/>
    <x v="41"/>
    <x v="25"/>
    <n v="794.94"/>
    <n v="187.94"/>
    <x v="362"/>
    <n v="16.600000000000001"/>
    <n v="12.9"/>
  </r>
  <r>
    <n v="567804106"/>
    <n v="301629"/>
    <n v="8633773"/>
    <n v="7331"/>
    <x v="1"/>
    <n v="59174"/>
    <x v="1"/>
    <x v="18"/>
    <x v="18"/>
    <x v="364"/>
    <x v="365"/>
    <x v="364"/>
    <x v="18"/>
    <s v="WA"/>
    <s v="Seattle"/>
    <s v="MO"/>
    <s v="St. Louis"/>
    <x v="0"/>
    <n v="719356"/>
    <s v="101-300"/>
    <n v="316"/>
    <x v="36"/>
    <x v="250"/>
    <n v="308.39999999999998"/>
    <n v="352.3"/>
    <x v="3"/>
    <s v="5.91"/>
    <s v="06:00-09:59"/>
    <x v="3"/>
    <x v="0"/>
    <n v="-45"/>
    <n v="0"/>
    <n v="0"/>
    <n v="40.9"/>
    <n v="0"/>
    <n v="0.40100000000000002"/>
    <n v="0.89400000000000002"/>
    <n v="108004.52"/>
    <x v="2"/>
    <n v="1"/>
    <n v="1"/>
    <n v="0"/>
    <n v="1"/>
    <n v="0"/>
    <n v="1"/>
    <n v="0"/>
    <x v="14"/>
    <x v="69"/>
    <n v="314.49"/>
    <n v="68.900000000000006"/>
    <x v="363"/>
    <n v="63.5"/>
    <n v="0"/>
  </r>
  <r>
    <n v="732295732"/>
    <n v="854639"/>
    <n v="7417985"/>
    <n v="3811"/>
    <x v="6"/>
    <n v="55607"/>
    <x v="1"/>
    <x v="223"/>
    <x v="222"/>
    <x v="365"/>
    <x v="366"/>
    <x v="365"/>
    <x v="229"/>
    <s v="TN"/>
    <s v="Memphis"/>
    <s v="GA"/>
    <s v="Macon"/>
    <x v="1"/>
    <n v="732275"/>
    <s v="301-500"/>
    <n v="476"/>
    <x v="239"/>
    <x v="252"/>
    <n v="471.1"/>
    <n v="530.5"/>
    <x v="0"/>
    <s v="8.33"/>
    <s v="06:00-09:59"/>
    <x v="5"/>
    <x v="0"/>
    <n v="-10"/>
    <n v="0"/>
    <n v="0"/>
    <n v="90.1"/>
    <n v="0"/>
    <n v="0.39900000000000002"/>
    <n v="0.41399999999999998"/>
    <n v="1157.18"/>
    <x v="0"/>
    <n v="1"/>
    <n v="1"/>
    <n v="0"/>
    <n v="1"/>
    <n v="0"/>
    <n v="1"/>
    <n v="0"/>
    <x v="46"/>
    <x v="61"/>
    <n v="374.7"/>
    <n v="101.47"/>
    <x v="364"/>
    <n v="11.8"/>
    <n v="19.100000000000001"/>
  </r>
  <r>
    <n v="529979713"/>
    <n v="598369"/>
    <n v="6266630"/>
    <n v="3869"/>
    <x v="5"/>
    <n v="53202"/>
    <x v="6"/>
    <x v="224"/>
    <x v="223"/>
    <x v="366"/>
    <x v="367"/>
    <x v="366"/>
    <x v="230"/>
    <s v="CA"/>
    <s v="Oakland"/>
    <s v="WA"/>
    <s v="Tacoma"/>
    <x v="2"/>
    <n v="795484"/>
    <s v="101-300"/>
    <n v="203"/>
    <x v="72"/>
    <x v="253"/>
    <n v="198.1"/>
    <n v="247.1"/>
    <x v="0"/>
    <s v="4.88"/>
    <s v="06:00-09:59"/>
    <x v="0"/>
    <x v="0"/>
    <n v="10"/>
    <n v="0"/>
    <n v="0"/>
    <n v="49.6"/>
    <n v="0"/>
    <n v="0.53400000000000003"/>
    <n v="0.66"/>
    <n v="5049.0200000000004"/>
    <x v="0"/>
    <n v="1"/>
    <n v="1"/>
    <n v="0"/>
    <n v="1"/>
    <n v="0"/>
    <n v="1"/>
    <n v="0"/>
    <x v="81"/>
    <x v="25"/>
    <n v="173.17"/>
    <n v="43.72"/>
    <x v="365"/>
    <n v="26.1"/>
    <n v="47.4"/>
  </r>
  <r>
    <n v="662600500"/>
    <n v="377932"/>
    <n v="9508103"/>
    <n v="6699"/>
    <x v="2"/>
    <n v="52787"/>
    <x v="6"/>
    <x v="225"/>
    <x v="224"/>
    <x v="367"/>
    <x v="368"/>
    <x v="367"/>
    <x v="165"/>
    <s v="CO"/>
    <s v="Fort Collins"/>
    <s v="CO"/>
    <s v="Fort Collins"/>
    <x v="2"/>
    <n v="705397"/>
    <s v="0-100"/>
    <n v="101"/>
    <x v="121"/>
    <x v="72"/>
    <n v="104.4"/>
    <n v="127.9"/>
    <x v="3"/>
    <s v="1.98"/>
    <s v="14:00-17:59"/>
    <x v="4"/>
    <x v="0"/>
    <n v="-3"/>
    <n v="0"/>
    <n v="0"/>
    <n v="14.7"/>
    <n v="0"/>
    <n v="0.749"/>
    <n v="0.443"/>
    <n v="15427.78"/>
    <x v="1"/>
    <n v="1"/>
    <n v="1"/>
    <n v="0"/>
    <n v="1"/>
    <n v="0"/>
    <n v="1"/>
    <n v="0"/>
    <x v="7"/>
    <x v="45"/>
    <n v="103"/>
    <n v="23.16"/>
    <x v="24"/>
    <n v="13.9"/>
    <n v="40.1"/>
  </r>
  <r>
    <n v="184446671"/>
    <n v="207175"/>
    <n v="8077999"/>
    <n v="4152"/>
    <x v="6"/>
    <n v="52210"/>
    <x v="1"/>
    <x v="226"/>
    <x v="225"/>
    <x v="368"/>
    <x v="369"/>
    <x v="368"/>
    <x v="227"/>
    <s v="FL"/>
    <s v="Tampa"/>
    <s v="NY"/>
    <s v="Rochester"/>
    <x v="3"/>
    <n v="710118"/>
    <s v="101-300"/>
    <n v="193"/>
    <x v="276"/>
    <x v="254"/>
    <n v="190.6"/>
    <n v="220.5"/>
    <x v="3"/>
    <s v="4.22"/>
    <s v="14:00-17:59"/>
    <x v="2"/>
    <x v="0"/>
    <n v="1"/>
    <n v="0"/>
    <n v="0"/>
    <n v="68"/>
    <n v="0"/>
    <n v="0.83"/>
    <n v="0.66700000000000004"/>
    <n v="1652.82"/>
    <x v="0"/>
    <n v="1"/>
    <n v="1"/>
    <n v="0"/>
    <n v="1"/>
    <n v="0"/>
    <n v="1"/>
    <n v="0"/>
    <x v="38"/>
    <x v="62"/>
    <n v="188.06"/>
    <n v="44.77"/>
    <x v="366"/>
    <n v="16.8"/>
    <n v="0"/>
  </r>
  <r>
    <n v="524951250"/>
    <n v="189814"/>
    <n v="4188992"/>
    <n v="2648"/>
    <x v="3"/>
    <n v="59230"/>
    <x v="11"/>
    <x v="102"/>
    <x v="102"/>
    <x v="369"/>
    <x v="370"/>
    <x v="369"/>
    <x v="231"/>
    <s v="NY"/>
    <s v="Buffalo"/>
    <s v="MO"/>
    <s v="Springfield"/>
    <x v="0"/>
    <n v="737707"/>
    <s v="101-300"/>
    <n v="217"/>
    <x v="159"/>
    <x v="255"/>
    <n v="215.2"/>
    <n v="234.1"/>
    <x v="4"/>
    <s v="5.97"/>
    <s v="14:00-17:59"/>
    <x v="1"/>
    <x v="0"/>
    <n v="-26"/>
    <n v="0"/>
    <n v="0"/>
    <n v="29"/>
    <n v="0"/>
    <n v="0.56299999999999994"/>
    <n v="0.59199999999999997"/>
    <n v="9637.7900000000009"/>
    <x v="1"/>
    <n v="1"/>
    <n v="1"/>
    <n v="0"/>
    <n v="1"/>
    <n v="0"/>
    <n v="1"/>
    <n v="0"/>
    <x v="91"/>
    <x v="56"/>
    <n v="206.17"/>
    <n v="42.81"/>
    <x v="367"/>
    <n v="23.5"/>
    <n v="53.7"/>
  </r>
  <r>
    <n v="433154770"/>
    <n v="407757"/>
    <n v="6573147"/>
    <n v="2930"/>
    <x v="3"/>
    <n v="57399"/>
    <x v="5"/>
    <x v="227"/>
    <x v="226"/>
    <x v="370"/>
    <x v="371"/>
    <x v="370"/>
    <x v="97"/>
    <s v="IL"/>
    <s v="Chicago"/>
    <s v="AZ"/>
    <s v="Phoenix"/>
    <x v="2"/>
    <n v="775527"/>
    <s v="501-1000"/>
    <n v="751"/>
    <x v="265"/>
    <x v="187"/>
    <n v="749.9"/>
    <n v="809.5"/>
    <x v="4"/>
    <s v="17.37"/>
    <s v="10:00-13:59"/>
    <x v="4"/>
    <x v="0"/>
    <n v="-52"/>
    <n v="0"/>
    <n v="0"/>
    <n v="54.1"/>
    <n v="0"/>
    <n v="0.60099999999999998"/>
    <n v="0.73599999999999999"/>
    <n v="8493.4500000000007"/>
    <x v="1"/>
    <n v="1"/>
    <n v="1"/>
    <n v="0"/>
    <n v="1"/>
    <n v="0"/>
    <n v="1"/>
    <n v="0"/>
    <x v="15"/>
    <x v="22"/>
    <n v="562.53"/>
    <n v="90.8"/>
    <x v="368"/>
    <n v="13.8"/>
    <n v="41"/>
  </r>
  <r>
    <n v="900801837"/>
    <n v="581741"/>
    <n v="3790237"/>
    <n v="1995"/>
    <x v="5"/>
    <n v="56338"/>
    <x v="14"/>
    <x v="75"/>
    <x v="75"/>
    <x v="371"/>
    <x v="372"/>
    <x v="371"/>
    <x v="153"/>
    <s v="CA"/>
    <s v="Sacramento"/>
    <s v="OH"/>
    <s v="Columbus"/>
    <x v="0"/>
    <n v="752047"/>
    <s v="301-500"/>
    <n v="392"/>
    <x v="277"/>
    <x v="9"/>
    <n v="395.2"/>
    <n v="431.3"/>
    <x v="2"/>
    <s v="11.2"/>
    <s v="14:00-17:59"/>
    <x v="5"/>
    <x v="0"/>
    <n v="-35"/>
    <n v="0"/>
    <n v="0"/>
    <n v="37.799999999999997"/>
    <n v="0"/>
    <n v="0.40799999999999997"/>
    <n v="0.69899999999999995"/>
    <n v="6723.42"/>
    <x v="0"/>
    <n v="1"/>
    <n v="1"/>
    <n v="0"/>
    <n v="1"/>
    <n v="0"/>
    <n v="1"/>
    <n v="0"/>
    <x v="39"/>
    <x v="61"/>
    <n v="363.18"/>
    <n v="76.540000000000006"/>
    <x v="369"/>
    <n v="17.5"/>
    <n v="31.1"/>
  </r>
  <r>
    <n v="464549612"/>
    <n v="719176"/>
    <n v="2130789"/>
    <n v="6311"/>
    <x v="8"/>
    <n v="58733"/>
    <x v="6"/>
    <x v="127"/>
    <x v="126"/>
    <x v="372"/>
    <x v="373"/>
    <x v="372"/>
    <x v="128"/>
    <s v="AZ"/>
    <s v="Tempe"/>
    <s v="NJ"/>
    <s v="Jersey City"/>
    <x v="3"/>
    <n v="775534"/>
    <s v="101-300"/>
    <n v="271"/>
    <x v="278"/>
    <x v="256"/>
    <n v="274.8"/>
    <n v="300.7"/>
    <x v="0"/>
    <s v="7.06"/>
    <s v="10:00-13:59"/>
    <x v="0"/>
    <x v="0"/>
    <n v="-25"/>
    <n v="0"/>
    <n v="0"/>
    <n v="51"/>
    <n v="0"/>
    <n v="0.59299999999999997"/>
    <n v="0.44"/>
    <n v="8356.98"/>
    <x v="1"/>
    <n v="1"/>
    <n v="1"/>
    <n v="0"/>
    <n v="1"/>
    <n v="0"/>
    <n v="1"/>
    <n v="0"/>
    <x v="11"/>
    <x v="42"/>
    <n v="214.15"/>
    <n v="36.200000000000003"/>
    <x v="370"/>
    <n v="17"/>
    <n v="47.5"/>
  </r>
  <r>
    <n v="337911187"/>
    <n v="230889"/>
    <n v="9147706"/>
    <n v="2016"/>
    <x v="1"/>
    <n v="50358"/>
    <x v="5"/>
    <x v="18"/>
    <x v="18"/>
    <x v="373"/>
    <x v="374"/>
    <x v="373"/>
    <x v="18"/>
    <s v="GA"/>
    <s v="Savannah"/>
    <s v="GA"/>
    <s v="Savannah"/>
    <x v="1"/>
    <n v="783084"/>
    <s v="101-300"/>
    <n v="218"/>
    <x v="279"/>
    <x v="257"/>
    <n v="214.8"/>
    <n v="258.7"/>
    <x v="2"/>
    <s v="3.78"/>
    <s v="06:00-09:59"/>
    <x v="3"/>
    <x v="0"/>
    <n v="-18"/>
    <n v="49"/>
    <n v="0"/>
    <n v="66.599999999999994"/>
    <n v="0"/>
    <n v="0.41799999999999998"/>
    <n v="0.64500000000000002"/>
    <n v="5817.86"/>
    <x v="0"/>
    <n v="1"/>
    <n v="1"/>
    <n v="0"/>
    <n v="1"/>
    <n v="0"/>
    <n v="1"/>
    <n v="0"/>
    <x v="6"/>
    <x v="15"/>
    <n v="202.68"/>
    <n v="26.31"/>
    <x v="371"/>
    <n v="28.3"/>
    <n v="0"/>
  </r>
  <r>
    <n v="457629711"/>
    <n v="903035"/>
    <n v="7110622"/>
    <n v="3200"/>
    <x v="2"/>
    <n v="50849"/>
    <x v="1"/>
    <x v="91"/>
    <x v="91"/>
    <x v="374"/>
    <x v="375"/>
    <x v="374"/>
    <x v="90"/>
    <s v="MI"/>
    <s v="Flint"/>
    <s v="PA"/>
    <s v="Erie"/>
    <x v="3"/>
    <n v="763944"/>
    <s v="101-300"/>
    <n v="173"/>
    <x v="60"/>
    <x v="240"/>
    <n v="171.4"/>
    <n v="220.8"/>
    <x v="2"/>
    <s v="3.79"/>
    <s v="10:00-13:59"/>
    <x v="6"/>
    <x v="0"/>
    <n v="10"/>
    <n v="0"/>
    <n v="0"/>
    <n v="31.5"/>
    <n v="0"/>
    <n v="0.441"/>
    <n v="0.86499999999999999"/>
    <n v="3085.3"/>
    <x v="0"/>
    <n v="1"/>
    <n v="1"/>
    <n v="0"/>
    <n v="1"/>
    <n v="0"/>
    <n v="1"/>
    <n v="0"/>
    <x v="21"/>
    <x v="59"/>
    <n v="149.54"/>
    <n v="27.75"/>
    <x v="372"/>
    <n v="26.8"/>
    <n v="17"/>
  </r>
  <r>
    <n v="936571442"/>
    <n v="245051"/>
    <n v="1739653"/>
    <n v="4763"/>
    <x v="7"/>
    <n v="57498"/>
    <x v="7"/>
    <x v="137"/>
    <x v="137"/>
    <x v="375"/>
    <x v="376"/>
    <x v="375"/>
    <x v="43"/>
    <s v="CO"/>
    <s v="Aurora"/>
    <s v="MI"/>
    <s v="Detroit"/>
    <x v="0"/>
    <n v="701800"/>
    <s v="501-1000"/>
    <n v="627"/>
    <x v="40"/>
    <x v="219"/>
    <n v="630.9"/>
    <n v="687.4"/>
    <x v="0"/>
    <s v="9.63"/>
    <s v="18:00-23:59"/>
    <x v="6"/>
    <x v="0"/>
    <n v="-2"/>
    <n v="0"/>
    <n v="0"/>
    <n v="39.299999999999997"/>
    <n v="0"/>
    <n v="0.67400000000000004"/>
    <n v="0.71"/>
    <n v="4971.79"/>
    <x v="0"/>
    <n v="1"/>
    <n v="1"/>
    <n v="0"/>
    <n v="1"/>
    <n v="0"/>
    <n v="1"/>
    <n v="0"/>
    <x v="23"/>
    <x v="59"/>
    <n v="456.3"/>
    <n v="81.48"/>
    <x v="373"/>
    <n v="12.9"/>
    <n v="69.099999999999994"/>
  </r>
  <r>
    <n v="280531127"/>
    <n v="814825"/>
    <n v="7817881"/>
    <n v="9958"/>
    <x v="1"/>
    <n v="54522"/>
    <x v="5"/>
    <x v="103"/>
    <x v="103"/>
    <x v="376"/>
    <x v="377"/>
    <x v="376"/>
    <x v="101"/>
    <s v="WA"/>
    <s v="Spokane"/>
    <s v="IL"/>
    <s v="Rockford"/>
    <x v="0"/>
    <n v="744993"/>
    <s v="301-500"/>
    <n v="298"/>
    <x v="280"/>
    <x v="258"/>
    <n v="293.8"/>
    <n v="322.2"/>
    <x v="0"/>
    <s v="6.84"/>
    <s v="14:00-17:59"/>
    <x v="3"/>
    <x v="0"/>
    <n v="31"/>
    <n v="0"/>
    <n v="0"/>
    <n v="37.299999999999997"/>
    <n v="0"/>
    <n v="0.48199999999999998"/>
    <n v="0.74099999999999999"/>
    <n v="112110.1"/>
    <x v="2"/>
    <n v="1"/>
    <n v="0"/>
    <n v="1"/>
    <n v="0"/>
    <n v="1"/>
    <n v="0"/>
    <n v="1"/>
    <x v="51"/>
    <x v="12"/>
    <n v="290.17"/>
    <n v="36.17"/>
    <x v="374"/>
    <n v="11.6"/>
    <n v="18"/>
  </r>
  <r>
    <n v="182011731"/>
    <n v="581741"/>
    <n v="3790237"/>
    <n v="1995"/>
    <x v="5"/>
    <n v="52544"/>
    <x v="12"/>
    <x v="228"/>
    <x v="227"/>
    <x v="377"/>
    <x v="378"/>
    <x v="377"/>
    <x v="166"/>
    <s v="MI"/>
    <s v="Lansing"/>
    <s v="CA"/>
    <s v="Oakland"/>
    <x v="2"/>
    <n v="751495"/>
    <s v="301-500"/>
    <n v="424"/>
    <x v="177"/>
    <x v="259"/>
    <n v="420.7"/>
    <n v="478.2"/>
    <x v="2"/>
    <s v="8.46"/>
    <s v="10:00-13:59"/>
    <x v="0"/>
    <x v="0"/>
    <n v="-40"/>
    <n v="0"/>
    <n v="0"/>
    <n v="72.099999999999994"/>
    <n v="0"/>
    <n v="0.55400000000000005"/>
    <n v="0.54300000000000004"/>
    <n v="5762.82"/>
    <x v="0"/>
    <n v="1"/>
    <n v="1"/>
    <n v="0"/>
    <n v="1"/>
    <n v="0"/>
    <n v="1"/>
    <n v="0"/>
    <x v="35"/>
    <x v="18"/>
    <n v="374.99"/>
    <n v="60.16"/>
    <x v="375"/>
    <n v="17.5"/>
    <n v="24.2"/>
  </r>
  <r>
    <n v="648127255"/>
    <n v="814825"/>
    <n v="7817881"/>
    <n v="9958"/>
    <x v="1"/>
    <n v="51831"/>
    <x v="6"/>
    <x v="229"/>
    <x v="228"/>
    <x v="378"/>
    <x v="379"/>
    <x v="378"/>
    <x v="232"/>
    <s v="TX"/>
    <s v="El Paso"/>
    <s v="CO"/>
    <s v="Aurora"/>
    <x v="2"/>
    <n v="718141"/>
    <s v="101-300"/>
    <n v="154"/>
    <x v="281"/>
    <x v="260"/>
    <n v="157.80000000000001"/>
    <n v="248"/>
    <x v="0"/>
    <s v="2.72"/>
    <s v="14:00-17:59"/>
    <x v="6"/>
    <x v="0"/>
    <n v="8"/>
    <n v="0"/>
    <n v="0"/>
    <n v="41.7"/>
    <n v="0"/>
    <n v="0.629"/>
    <n v="0.70899999999999996"/>
    <n v="5824.16"/>
    <x v="0"/>
    <n v="1"/>
    <n v="1"/>
    <n v="0"/>
    <n v="1"/>
    <n v="0"/>
    <n v="1"/>
    <n v="0"/>
    <x v="6"/>
    <x v="5"/>
    <n v="154.1"/>
    <n v="41.57"/>
    <x v="376"/>
    <n v="11.6"/>
    <n v="18.7"/>
  </r>
  <r>
    <n v="779919809"/>
    <n v="334053"/>
    <n v="6672134"/>
    <n v="1466"/>
    <x v="5"/>
    <n v="51472"/>
    <x v="10"/>
    <x v="230"/>
    <x v="229"/>
    <x v="379"/>
    <x v="380"/>
    <x v="379"/>
    <x v="30"/>
    <s v="IL"/>
    <s v="Aurora"/>
    <s v="AZ"/>
    <s v="Mesa"/>
    <x v="2"/>
    <n v="775527"/>
    <s v="101-300"/>
    <n v="136"/>
    <x v="186"/>
    <x v="261"/>
    <n v="132.6"/>
    <n v="151.69999999999999"/>
    <x v="0"/>
    <s v="9.28"/>
    <s v="18:00-23:59"/>
    <x v="2"/>
    <x v="2"/>
    <n v="315"/>
    <n v="0"/>
    <n v="3.5"/>
    <n v="31.1"/>
    <n v="0"/>
    <n v="0.70899999999999996"/>
    <n v="0.87"/>
    <n v="12246.08"/>
    <x v="1"/>
    <n v="1"/>
    <n v="0"/>
    <n v="1"/>
    <n v="0"/>
    <n v="1"/>
    <n v="0"/>
    <n v="1"/>
    <x v="59"/>
    <x v="5"/>
    <n v="130.16"/>
    <n v="17.93"/>
    <x v="377"/>
    <n v="28.7"/>
    <n v="47.1"/>
  </r>
  <r>
    <n v="222435172"/>
    <n v="974628"/>
    <n v="3641282"/>
    <n v="6892"/>
    <x v="0"/>
    <n v="59628"/>
    <x v="1"/>
    <x v="151"/>
    <x v="151"/>
    <x v="380"/>
    <x v="381"/>
    <x v="380"/>
    <x v="156"/>
    <s v="TX"/>
    <s v="Houston"/>
    <s v="OH"/>
    <s v="Cincinnati"/>
    <x v="0"/>
    <n v="790937"/>
    <s v="101-300"/>
    <n v="245"/>
    <x v="282"/>
    <x v="49"/>
    <n v="246.5"/>
    <n v="306.7"/>
    <x v="0"/>
    <s v="6.21"/>
    <s v="10:00-13:59"/>
    <x v="2"/>
    <x v="0"/>
    <n v="-21"/>
    <n v="0"/>
    <n v="0"/>
    <n v="52.2"/>
    <n v="0"/>
    <n v="0.77800000000000002"/>
    <n v="0.76"/>
    <n v="2071.9299999999998"/>
    <x v="0"/>
    <n v="1"/>
    <n v="1"/>
    <n v="0"/>
    <n v="1"/>
    <n v="0"/>
    <n v="1"/>
    <n v="0"/>
    <x v="56"/>
    <x v="22"/>
    <n v="253.72"/>
    <n v="40.950000000000003"/>
    <x v="378"/>
    <n v="1.4"/>
    <n v="10.6"/>
  </r>
  <r>
    <n v="669732591"/>
    <n v="245051"/>
    <n v="1739653"/>
    <n v="4763"/>
    <x v="7"/>
    <n v="50329"/>
    <x v="13"/>
    <x v="67"/>
    <x v="67"/>
    <x v="381"/>
    <x v="382"/>
    <x v="381"/>
    <x v="66"/>
    <s v="CO"/>
    <s v="Aurora"/>
    <s v="GA"/>
    <s v="Augusta"/>
    <x v="1"/>
    <n v="714585"/>
    <s v="101-300"/>
    <n v="251"/>
    <x v="184"/>
    <x v="162"/>
    <n v="241.5"/>
    <n v="269.5"/>
    <x v="0"/>
    <s v="5.04"/>
    <s v="06:00-09:59"/>
    <x v="1"/>
    <x v="0"/>
    <n v="-39"/>
    <n v="0"/>
    <n v="0"/>
    <n v="31.9"/>
    <n v="0"/>
    <n v="0.64300000000000002"/>
    <n v="0.83699999999999997"/>
    <n v="8836.75"/>
    <x v="1"/>
    <n v="1"/>
    <n v="1"/>
    <n v="0"/>
    <n v="1"/>
    <n v="0"/>
    <n v="1"/>
    <n v="0"/>
    <x v="44"/>
    <x v="74"/>
    <n v="193.44"/>
    <n v="54.43"/>
    <x v="379"/>
    <n v="12.9"/>
    <n v="71.099999999999994"/>
  </r>
  <r>
    <n v="647556857"/>
    <n v="106814"/>
    <n v="1908841"/>
    <n v="9838"/>
    <x v="9"/>
    <n v="55851"/>
    <x v="2"/>
    <x v="231"/>
    <x v="230"/>
    <x v="382"/>
    <x v="383"/>
    <x v="382"/>
    <x v="64"/>
    <s v="TX"/>
    <s v="San Antonio"/>
    <s v="NJ"/>
    <s v="Paterson"/>
    <x v="3"/>
    <n v="739992"/>
    <s v="101-300"/>
    <n v="266"/>
    <x v="283"/>
    <x v="262"/>
    <n v="269.5"/>
    <n v="328.8"/>
    <x v="3"/>
    <s v="6.95"/>
    <s v="18:00-23:59"/>
    <x v="1"/>
    <x v="4"/>
    <n v="117"/>
    <n v="205"/>
    <n v="0"/>
    <n v="46.5"/>
    <n v="0"/>
    <n v="0.34200000000000003"/>
    <n v="0.79300000000000004"/>
    <n v="3290.61"/>
    <x v="0"/>
    <n v="1"/>
    <n v="0"/>
    <n v="1"/>
    <n v="0"/>
    <n v="1"/>
    <n v="0"/>
    <n v="1"/>
    <x v="67"/>
    <x v="39"/>
    <n v="249.62"/>
    <n v="67.92"/>
    <x v="380"/>
    <n v="9.1999999999999993"/>
    <n v="41.3"/>
  </r>
  <r>
    <n v="308202515"/>
    <n v="656116"/>
    <n v="9996207"/>
    <n v="5061"/>
    <x v="2"/>
    <n v="57032"/>
    <x v="0"/>
    <x v="36"/>
    <x v="36"/>
    <x v="383"/>
    <x v="384"/>
    <x v="383"/>
    <x v="35"/>
    <s v="NJ"/>
    <s v="Jersey City"/>
    <s v="TX"/>
    <s v="Houston"/>
    <x v="1"/>
    <n v="734413"/>
    <s v="0-100"/>
    <n v="65"/>
    <x v="284"/>
    <x v="263"/>
    <n v="63.8"/>
    <n v="80.2"/>
    <x v="0"/>
    <s v="0.95"/>
    <s v="18:00-23:59"/>
    <x v="1"/>
    <x v="0"/>
    <n v="-33"/>
    <n v="0"/>
    <n v="0"/>
    <n v="60.4"/>
    <n v="0"/>
    <n v="0.78600000000000003"/>
    <n v="0.2"/>
    <n v="8091.95"/>
    <x v="1"/>
    <n v="1"/>
    <n v="1"/>
    <n v="0"/>
    <n v="1"/>
    <n v="0"/>
    <n v="1"/>
    <n v="0"/>
    <x v="25"/>
    <x v="49"/>
    <n v="60.55"/>
    <n v="11.23"/>
    <x v="381"/>
    <n v="0.1"/>
    <n v="17.3"/>
  </r>
  <r>
    <n v="933468715"/>
    <n v="946335"/>
    <n v="1247595"/>
    <n v="6675"/>
    <x v="1"/>
    <n v="55266"/>
    <x v="7"/>
    <x v="206"/>
    <x v="205"/>
    <x v="384"/>
    <x v="385"/>
    <x v="384"/>
    <x v="233"/>
    <s v="NC"/>
    <s v="Charlotte"/>
    <s v="TN"/>
    <s v="Knoxville"/>
    <x v="1"/>
    <n v="758990"/>
    <s v="0-100"/>
    <n v="100"/>
    <x v="285"/>
    <x v="264"/>
    <n v="102.4"/>
    <n v="133.9"/>
    <x v="0"/>
    <s v="7.89"/>
    <s v="06:00-09:59"/>
    <x v="2"/>
    <x v="4"/>
    <n v="280"/>
    <n v="194"/>
    <n v="0"/>
    <n v="5"/>
    <n v="0"/>
    <n v="0.86199999999999999"/>
    <n v="0.39500000000000002"/>
    <n v="20012.650000000001"/>
    <x v="1"/>
    <n v="1"/>
    <n v="0"/>
    <n v="1"/>
    <n v="0"/>
    <n v="1"/>
    <n v="0"/>
    <n v="1"/>
    <x v="24"/>
    <x v="52"/>
    <n v="94.06"/>
    <n v="27.83"/>
    <x v="382"/>
    <n v="32.6"/>
    <n v="15.6"/>
  </r>
  <r>
    <n v="475138838"/>
    <n v="813536"/>
    <n v="3500715"/>
    <n v="5737"/>
    <x v="0"/>
    <n v="54354"/>
    <x v="1"/>
    <x v="232"/>
    <x v="231"/>
    <x v="385"/>
    <x v="386"/>
    <x v="385"/>
    <x v="234"/>
    <s v="NC"/>
    <s v="Charlotte"/>
    <s v="NJ"/>
    <s v="Paterson"/>
    <x v="3"/>
    <n v="799317"/>
    <s v="501-1000"/>
    <n v="1013"/>
    <x v="286"/>
    <x v="265"/>
    <n v="1019.7"/>
    <n v="1053.4000000000001"/>
    <x v="2"/>
    <s v="23.91"/>
    <s v="10:00-13:59"/>
    <x v="0"/>
    <x v="0"/>
    <n v="0"/>
    <n v="0"/>
    <n v="0.9"/>
    <n v="42.6"/>
    <n v="0"/>
    <n v="0.64900000000000002"/>
    <n v="0.33200000000000002"/>
    <n v="5101.46"/>
    <x v="0"/>
    <n v="1"/>
    <n v="1"/>
    <n v="0"/>
    <n v="1"/>
    <n v="0"/>
    <n v="1"/>
    <n v="0"/>
    <x v="12"/>
    <x v="46"/>
    <n v="962.98"/>
    <n v="179.38"/>
    <x v="383"/>
    <n v="6.9"/>
    <n v="28.8"/>
  </r>
  <r>
    <n v="476990466"/>
    <n v="816751"/>
    <n v="3011363"/>
    <n v="9996"/>
    <x v="7"/>
    <n v="56435"/>
    <x v="2"/>
    <x v="141"/>
    <x v="141"/>
    <x v="386"/>
    <x v="387"/>
    <x v="386"/>
    <x v="145"/>
    <s v="OH"/>
    <s v="Toledo"/>
    <s v="TN"/>
    <s v="Nashville"/>
    <x v="1"/>
    <n v="736170"/>
    <s v="301-500"/>
    <n v="475"/>
    <x v="287"/>
    <x v="62"/>
    <n v="473"/>
    <n v="506"/>
    <x v="0"/>
    <s v="14.32"/>
    <s v="10:00-13:59"/>
    <x v="1"/>
    <x v="2"/>
    <n v="314"/>
    <n v="0"/>
    <n v="2.7"/>
    <n v="35.799999999999997"/>
    <n v="0"/>
    <n v="0.70799999999999996"/>
    <n v="0.55500000000000005"/>
    <n v="77087.600000000006"/>
    <x v="2"/>
    <n v="1"/>
    <n v="0"/>
    <n v="1"/>
    <n v="0"/>
    <n v="1"/>
    <n v="0"/>
    <n v="1"/>
    <x v="62"/>
    <x v="18"/>
    <n v="396.28"/>
    <n v="64.349999999999994"/>
    <x v="384"/>
    <n v="13.3"/>
    <n v="35.6"/>
  </r>
  <r>
    <n v="881017363"/>
    <n v="358607"/>
    <n v="5727085"/>
    <n v="6864"/>
    <x v="1"/>
    <n v="57978"/>
    <x v="2"/>
    <x v="138"/>
    <x v="138"/>
    <x v="387"/>
    <x v="388"/>
    <x v="387"/>
    <x v="142"/>
    <s v="IL"/>
    <s v="Peoria"/>
    <s v="FL"/>
    <s v="Tampa"/>
    <x v="1"/>
    <n v="754594"/>
    <s v="101-300"/>
    <n v="241"/>
    <x v="195"/>
    <x v="255"/>
    <n v="231.8"/>
    <n v="259.5"/>
    <x v="0"/>
    <s v="8.25"/>
    <s v="06:00-09:59"/>
    <x v="5"/>
    <x v="4"/>
    <n v="166"/>
    <n v="268"/>
    <n v="0"/>
    <n v="75.8"/>
    <n v="0"/>
    <n v="0.63600000000000001"/>
    <n v="0.79700000000000004"/>
    <n v="4551.6099999999997"/>
    <x v="0"/>
    <n v="1"/>
    <n v="0"/>
    <n v="1"/>
    <n v="0"/>
    <n v="1"/>
    <n v="0"/>
    <n v="1"/>
    <x v="92"/>
    <x v="75"/>
    <n v="230.74"/>
    <n v="49.44"/>
    <x v="385"/>
    <n v="7.3"/>
    <n v="55.9"/>
  </r>
  <r>
    <n v="979339361"/>
    <n v="731262"/>
    <n v="4594297"/>
    <n v="3558"/>
    <x v="5"/>
    <n v="54238"/>
    <x v="1"/>
    <x v="233"/>
    <x v="232"/>
    <x v="388"/>
    <x v="389"/>
    <x v="388"/>
    <x v="235"/>
    <s v="FL"/>
    <s v="Orlando"/>
    <s v="MI"/>
    <s v="Lansing"/>
    <x v="0"/>
    <n v="747876"/>
    <s v="101-300"/>
    <n v="170"/>
    <x v="288"/>
    <x v="114"/>
    <n v="167.8"/>
    <n v="208.7"/>
    <x v="2"/>
    <s v="3.45"/>
    <s v="18:00-23:59"/>
    <x v="6"/>
    <x v="0"/>
    <n v="-23"/>
    <n v="0"/>
    <n v="0.5"/>
    <n v="56"/>
    <n v="0"/>
    <n v="0.59099999999999997"/>
    <n v="0.67"/>
    <n v="3254.61"/>
    <x v="0"/>
    <n v="1"/>
    <n v="1"/>
    <n v="0"/>
    <n v="1"/>
    <n v="0"/>
    <n v="1"/>
    <n v="0"/>
    <x v="61"/>
    <x v="82"/>
    <n v="166.04"/>
    <n v="43.96"/>
    <x v="386"/>
    <n v="10"/>
    <n v="82.9"/>
  </r>
  <r>
    <n v="793039113"/>
    <n v="216739"/>
    <n v="8574680"/>
    <n v="1860"/>
    <x v="4"/>
    <n v="56112"/>
    <x v="13"/>
    <x v="82"/>
    <x v="82"/>
    <x v="389"/>
    <x v="390"/>
    <x v="389"/>
    <x v="81"/>
    <s v="OH"/>
    <s v="Toledo"/>
    <s v="AZ"/>
    <s v="Mesa"/>
    <x v="2"/>
    <n v="759297"/>
    <s v="101-300"/>
    <n v="316"/>
    <x v="11"/>
    <x v="71"/>
    <n v="323.3"/>
    <n v="362.4"/>
    <x v="1"/>
    <s v="7.85"/>
    <s v="10:00-13:59"/>
    <x v="3"/>
    <x v="0"/>
    <n v="-11"/>
    <n v="42"/>
    <n v="1.7"/>
    <n v="47.4"/>
    <n v="0"/>
    <n v="0.66700000000000004"/>
    <n v="0.67400000000000004"/>
    <n v="1858.29"/>
    <x v="0"/>
    <n v="1"/>
    <n v="1"/>
    <n v="0"/>
    <n v="1"/>
    <n v="0"/>
    <n v="1"/>
    <n v="0"/>
    <x v="12"/>
    <x v="69"/>
    <n v="299.72000000000003"/>
    <n v="64.91"/>
    <x v="387"/>
    <n v="14.3"/>
    <n v="14.9"/>
  </r>
  <r>
    <n v="975139327"/>
    <n v="903035"/>
    <n v="7110622"/>
    <n v="3200"/>
    <x v="2"/>
    <n v="54722"/>
    <x v="5"/>
    <x v="234"/>
    <x v="233"/>
    <x v="390"/>
    <x v="391"/>
    <x v="390"/>
    <x v="233"/>
    <s v="IL"/>
    <s v="Aurora"/>
    <s v="NJ"/>
    <s v="Jersey City"/>
    <x v="3"/>
    <n v="766155"/>
    <s v="301-500"/>
    <n v="353"/>
    <x v="15"/>
    <x v="261"/>
    <n v="354"/>
    <n v="378.6"/>
    <x v="2"/>
    <s v="8.48"/>
    <s v="18:00-23:59"/>
    <x v="3"/>
    <x v="3"/>
    <n v="-16"/>
    <n v="0"/>
    <n v="0"/>
    <n v="58.1"/>
    <n v="0"/>
    <n v="0.78100000000000003"/>
    <n v="0.70499999999999996"/>
    <n v="84603.33"/>
    <x v="2"/>
    <n v="1"/>
    <n v="1"/>
    <n v="0"/>
    <n v="1"/>
    <n v="0"/>
    <n v="1"/>
    <n v="0"/>
    <x v="6"/>
    <x v="39"/>
    <n v="238.09"/>
    <n v="47.01"/>
    <x v="388"/>
    <n v="26.8"/>
    <n v="2.9"/>
  </r>
  <r>
    <n v="258580752"/>
    <n v="230889"/>
    <n v="9147706"/>
    <n v="2016"/>
    <x v="1"/>
    <n v="51388"/>
    <x v="9"/>
    <x v="98"/>
    <x v="98"/>
    <x v="391"/>
    <x v="392"/>
    <x v="391"/>
    <x v="96"/>
    <s v="TX"/>
    <s v="San Antonio"/>
    <s v="TX"/>
    <s v="El Paso"/>
    <x v="1"/>
    <n v="710286"/>
    <s v="301-500"/>
    <n v="336"/>
    <x v="289"/>
    <x v="266"/>
    <n v="329.6"/>
    <n v="404.7"/>
    <x v="2"/>
    <s v="6.89"/>
    <s v="06:00-09:59"/>
    <x v="6"/>
    <x v="0"/>
    <n v="-20"/>
    <n v="0"/>
    <n v="0"/>
    <n v="50.2"/>
    <n v="0"/>
    <n v="0.59599999999999997"/>
    <n v="0.8"/>
    <n v="4276.6400000000003"/>
    <x v="0"/>
    <n v="1"/>
    <n v="1"/>
    <n v="0"/>
    <n v="1"/>
    <n v="0"/>
    <n v="1"/>
    <n v="0"/>
    <x v="52"/>
    <x v="1"/>
    <n v="313.05"/>
    <n v="44.64"/>
    <x v="389"/>
    <n v="28.3"/>
    <n v="0"/>
  </r>
  <r>
    <n v="353691745"/>
    <n v="656116"/>
    <n v="9996207"/>
    <n v="5061"/>
    <x v="2"/>
    <n v="54185"/>
    <x v="11"/>
    <x v="219"/>
    <x v="218"/>
    <x v="392"/>
    <x v="393"/>
    <x v="392"/>
    <x v="224"/>
    <s v="AZ"/>
    <s v="Phoenix"/>
    <s v="NY"/>
    <s v="Buffalo"/>
    <x v="3"/>
    <n v="767013"/>
    <s v="301-500"/>
    <n v="391"/>
    <x v="200"/>
    <x v="43"/>
    <n v="389.8"/>
    <n v="422.4"/>
    <x v="0"/>
    <s v="8.21"/>
    <s v="10:00-13:59"/>
    <x v="5"/>
    <x v="0"/>
    <n v="-10"/>
    <n v="87"/>
    <n v="0"/>
    <n v="64.400000000000006"/>
    <n v="0"/>
    <n v="0.51"/>
    <n v="0.58499999999999996"/>
    <n v="81253.05"/>
    <x v="2"/>
    <n v="1"/>
    <n v="1"/>
    <n v="0"/>
    <n v="1"/>
    <n v="0"/>
    <n v="1"/>
    <n v="0"/>
    <x v="61"/>
    <x v="14"/>
    <n v="353.29"/>
    <n v="53.87"/>
    <x v="390"/>
    <n v="0.1"/>
    <n v="16.899999999999999"/>
  </r>
  <r>
    <n v="210385522"/>
    <n v="559381"/>
    <n v="4526280"/>
    <n v="9754"/>
    <x v="5"/>
    <n v="58911"/>
    <x v="3"/>
    <x v="95"/>
    <x v="95"/>
    <x v="393"/>
    <x v="394"/>
    <x v="393"/>
    <x v="94"/>
    <s v="AZ"/>
    <s v="Mesa"/>
    <s v="NC"/>
    <s v="Durham"/>
    <x v="1"/>
    <n v="757732"/>
    <s v="301-500"/>
    <n v="303"/>
    <x v="249"/>
    <x v="170"/>
    <n v="305.89999999999998"/>
    <n v="337.4"/>
    <x v="2"/>
    <s v="4.7"/>
    <s v="00:00-05:59"/>
    <x v="2"/>
    <x v="0"/>
    <n v="-41"/>
    <n v="0"/>
    <n v="0"/>
    <n v="50.3"/>
    <n v="0"/>
    <n v="0.59199999999999997"/>
    <n v="0.77600000000000002"/>
    <n v="8041.68"/>
    <x v="1"/>
    <n v="1"/>
    <n v="1"/>
    <n v="0"/>
    <n v="1"/>
    <n v="0"/>
    <n v="1"/>
    <n v="0"/>
    <x v="39"/>
    <x v="5"/>
    <n v="221.52"/>
    <n v="47.45"/>
    <x v="391"/>
    <n v="25"/>
    <n v="7"/>
  </r>
  <r>
    <n v="257243284"/>
    <n v="733052"/>
    <n v="2642635"/>
    <n v="8989"/>
    <x v="1"/>
    <n v="53235"/>
    <x v="8"/>
    <x v="235"/>
    <x v="234"/>
    <x v="394"/>
    <x v="395"/>
    <x v="394"/>
    <x v="93"/>
    <s v="OH"/>
    <s v="Cincinnati"/>
    <s v="OH"/>
    <s v="Cincinnati"/>
    <x v="0"/>
    <n v="797593"/>
    <s v="101-300"/>
    <n v="315"/>
    <x v="290"/>
    <x v="228"/>
    <n v="314.2"/>
    <n v="379.6"/>
    <x v="2"/>
    <s v="6.19"/>
    <s v="14:00-17:59"/>
    <x v="3"/>
    <x v="0"/>
    <n v="-12"/>
    <n v="0"/>
    <n v="0"/>
    <n v="83"/>
    <n v="0"/>
    <n v="0.48799999999999999"/>
    <n v="0.91100000000000003"/>
    <n v="17795.02"/>
    <x v="1"/>
    <n v="1"/>
    <n v="1"/>
    <n v="0"/>
    <n v="1"/>
    <n v="0"/>
    <n v="1"/>
    <n v="0"/>
    <x v="56"/>
    <x v="26"/>
    <n v="312.60000000000002"/>
    <n v="53.16"/>
    <x v="392"/>
    <n v="11.9"/>
    <n v="19"/>
  </r>
  <r>
    <n v="374843786"/>
    <n v="662275"/>
    <n v="7818496"/>
    <n v="8629"/>
    <x v="4"/>
    <n v="54576"/>
    <x v="3"/>
    <x v="236"/>
    <x v="235"/>
    <x v="395"/>
    <x v="396"/>
    <x v="395"/>
    <x v="236"/>
    <s v="IL"/>
    <s v="Aurora"/>
    <s v="IL"/>
    <s v="Springfield"/>
    <x v="0"/>
    <n v="725966"/>
    <s v="101-300"/>
    <n v="231"/>
    <x v="291"/>
    <x v="100"/>
    <n v="230.1"/>
    <n v="256.5"/>
    <x v="3"/>
    <s v="4.94"/>
    <s v="10:00-13:59"/>
    <x v="0"/>
    <x v="0"/>
    <n v="-20"/>
    <n v="0"/>
    <n v="0"/>
    <n v="40.1"/>
    <n v="0"/>
    <n v="0.71199999999999997"/>
    <n v="0.93100000000000005"/>
    <n v="100754.39"/>
    <x v="2"/>
    <n v="1"/>
    <n v="1"/>
    <n v="0"/>
    <n v="1"/>
    <n v="0"/>
    <n v="1"/>
    <n v="0"/>
    <x v="37"/>
    <x v="5"/>
    <n v="165.51"/>
    <n v="41"/>
    <x v="393"/>
    <n v="31.4"/>
    <n v="63.4"/>
  </r>
  <r>
    <n v="311818984"/>
    <n v="542666"/>
    <n v="1604451"/>
    <n v="1854"/>
    <x v="6"/>
    <n v="51100"/>
    <x v="1"/>
    <x v="237"/>
    <x v="236"/>
    <x v="396"/>
    <x v="397"/>
    <x v="396"/>
    <x v="237"/>
    <s v="FL"/>
    <s v="Orlando"/>
    <s v="CA"/>
    <s v="Fresno"/>
    <x v="2"/>
    <n v="761759"/>
    <s v="101-300"/>
    <n v="224"/>
    <x v="292"/>
    <x v="100"/>
    <n v="219.7"/>
    <n v="255.2"/>
    <x v="3"/>
    <s v="4.5"/>
    <s v="14:00-17:59"/>
    <x v="5"/>
    <x v="0"/>
    <n v="-34"/>
    <n v="0"/>
    <n v="0"/>
    <n v="51.1"/>
    <n v="0"/>
    <n v="0.93500000000000005"/>
    <n v="0.85699999999999998"/>
    <n v="14740.4"/>
    <x v="1"/>
    <n v="1"/>
    <n v="1"/>
    <n v="0"/>
    <n v="1"/>
    <n v="0"/>
    <n v="1"/>
    <n v="0"/>
    <x v="18"/>
    <x v="74"/>
    <n v="220.01"/>
    <n v="40.99"/>
    <x v="394"/>
    <n v="8"/>
    <n v="34.200000000000003"/>
  </r>
  <r>
    <n v="286293158"/>
    <n v="665492"/>
    <n v="5960271"/>
    <n v="7015"/>
    <x v="1"/>
    <n v="58864"/>
    <x v="10"/>
    <x v="238"/>
    <x v="237"/>
    <x v="397"/>
    <x v="398"/>
    <x v="397"/>
    <x v="238"/>
    <s v="TN"/>
    <s v="Memphis"/>
    <s v="NJ"/>
    <s v="Jersey City"/>
    <x v="3"/>
    <n v="767844"/>
    <s v="101-300"/>
    <n v="245"/>
    <x v="293"/>
    <x v="267"/>
    <n v="241.2"/>
    <n v="270.5"/>
    <x v="0"/>
    <s v="4.69"/>
    <s v="00:00-05:59"/>
    <x v="0"/>
    <x v="0"/>
    <n v="-4"/>
    <n v="0"/>
    <n v="0"/>
    <n v="60.7"/>
    <n v="0"/>
    <n v="0.55000000000000004"/>
    <n v="0.66900000000000004"/>
    <n v="11718.51"/>
    <x v="1"/>
    <n v="1"/>
    <n v="1"/>
    <n v="0"/>
    <n v="1"/>
    <n v="0"/>
    <n v="1"/>
    <n v="0"/>
    <x v="1"/>
    <x v="16"/>
    <n v="247.06"/>
    <n v="42.35"/>
    <x v="395"/>
    <n v="5.6"/>
    <n v="0"/>
  </r>
  <r>
    <n v="746820987"/>
    <n v="903035"/>
    <n v="7110622"/>
    <n v="3200"/>
    <x v="2"/>
    <n v="58708"/>
    <x v="1"/>
    <x v="239"/>
    <x v="238"/>
    <x v="398"/>
    <x v="399"/>
    <x v="398"/>
    <x v="239"/>
    <s v="CA"/>
    <s v="Oakland"/>
    <s v="AZ"/>
    <s v="Tucson"/>
    <x v="2"/>
    <n v="702981"/>
    <s v="301-500"/>
    <n v="404"/>
    <x v="170"/>
    <x v="268"/>
    <n v="405.3"/>
    <n v="436.4"/>
    <x v="2"/>
    <s v="8.4"/>
    <s v="06:00-09:59"/>
    <x v="5"/>
    <x v="0"/>
    <n v="21"/>
    <n v="0"/>
    <n v="0"/>
    <n v="64.900000000000006"/>
    <n v="0"/>
    <n v="0.84299999999999997"/>
    <n v="0.497"/>
    <n v="10494.76"/>
    <x v="1"/>
    <n v="1"/>
    <n v="0"/>
    <n v="1"/>
    <n v="0"/>
    <n v="1"/>
    <n v="0"/>
    <n v="1"/>
    <x v="45"/>
    <x v="51"/>
    <n v="352.62"/>
    <n v="61.65"/>
    <x v="396"/>
    <n v="26.8"/>
    <n v="19.5"/>
  </r>
  <r>
    <n v="264142683"/>
    <n v="944151"/>
    <n v="6855396"/>
    <n v="8574"/>
    <x v="9"/>
    <n v="52532"/>
    <x v="2"/>
    <x v="240"/>
    <x v="239"/>
    <x v="399"/>
    <x v="400"/>
    <x v="399"/>
    <x v="240"/>
    <s v="CO"/>
    <s v="Fort Collins"/>
    <s v="NC"/>
    <s v="Durham"/>
    <x v="1"/>
    <n v="743499"/>
    <s v="101-300"/>
    <n v="111"/>
    <x v="157"/>
    <x v="219"/>
    <n v="114"/>
    <n v="174.5"/>
    <x v="3"/>
    <s v="3.28"/>
    <s v="00:00-05:59"/>
    <x v="1"/>
    <x v="0"/>
    <n v="10"/>
    <n v="0"/>
    <n v="0"/>
    <n v="35.5"/>
    <n v="0"/>
    <n v="0.59499999999999997"/>
    <n v="0.70499999999999996"/>
    <n v="10245.68"/>
    <x v="1"/>
    <n v="1"/>
    <n v="1"/>
    <n v="0"/>
    <n v="1"/>
    <n v="0"/>
    <n v="1"/>
    <n v="0"/>
    <x v="50"/>
    <x v="42"/>
    <n v="112.23"/>
    <n v="19.690000000000001"/>
    <x v="397"/>
    <n v="12.8"/>
    <n v="43.5"/>
  </r>
  <r>
    <n v="916274954"/>
    <n v="632323"/>
    <n v="4240180"/>
    <n v="6759"/>
    <x v="4"/>
    <n v="57770"/>
    <x v="1"/>
    <x v="241"/>
    <x v="240"/>
    <x v="400"/>
    <x v="401"/>
    <x v="400"/>
    <x v="241"/>
    <s v="MI"/>
    <s v="Grand Rapids"/>
    <s v="MI"/>
    <s v="Lansing"/>
    <x v="0"/>
    <n v="711807"/>
    <s v="0-100"/>
    <n v="75"/>
    <x v="294"/>
    <x v="221"/>
    <n v="74"/>
    <n v="129.4"/>
    <x v="0"/>
    <s v="1.66"/>
    <s v="06:00-09:59"/>
    <x v="1"/>
    <x v="0"/>
    <n v="-24"/>
    <n v="0"/>
    <n v="0"/>
    <n v="41.4"/>
    <n v="0"/>
    <n v="0.59199999999999997"/>
    <n v="0.67200000000000004"/>
    <n v="3517.17"/>
    <x v="0"/>
    <n v="1"/>
    <n v="1"/>
    <n v="0"/>
    <n v="1"/>
    <n v="0"/>
    <n v="1"/>
    <n v="0"/>
    <x v="3"/>
    <x v="77"/>
    <n v="103.01"/>
    <n v="19.440000000000001"/>
    <x v="398"/>
    <n v="1.1000000000000001"/>
    <n v="38.5"/>
  </r>
  <r>
    <n v="915133660"/>
    <n v="331148"/>
    <n v="8231838"/>
    <n v="8734"/>
    <x v="1"/>
    <n v="53670"/>
    <x v="14"/>
    <x v="171"/>
    <x v="170"/>
    <x v="401"/>
    <x v="402"/>
    <x v="401"/>
    <x v="178"/>
    <s v="TN"/>
    <s v="Chattanooga"/>
    <s v="MI"/>
    <s v="Grand Rapids"/>
    <x v="0"/>
    <n v="784181"/>
    <s v="101-300"/>
    <n v="258"/>
    <x v="234"/>
    <x v="269"/>
    <n v="255"/>
    <n v="310.2"/>
    <x v="0"/>
    <s v="4.88"/>
    <s v="14:00-17:59"/>
    <x v="5"/>
    <x v="0"/>
    <n v="-3"/>
    <n v="0"/>
    <n v="0"/>
    <n v="20.8"/>
    <n v="0"/>
    <n v="0.65400000000000003"/>
    <n v="0.877"/>
    <n v="10088.290000000001"/>
    <x v="1"/>
    <n v="1"/>
    <n v="1"/>
    <n v="0"/>
    <n v="1"/>
    <n v="0"/>
    <n v="1"/>
    <n v="0"/>
    <x v="74"/>
    <x v="11"/>
    <n v="261.27"/>
    <n v="67.709999999999994"/>
    <x v="399"/>
    <n v="5.8"/>
    <n v="10"/>
  </r>
  <r>
    <n v="803847447"/>
    <n v="847581"/>
    <n v="3919694"/>
    <n v="9050"/>
    <x v="7"/>
    <n v="50781"/>
    <x v="1"/>
    <x v="242"/>
    <x v="241"/>
    <x v="402"/>
    <x v="403"/>
    <x v="402"/>
    <x v="242"/>
    <s v="NY"/>
    <s v="Albany"/>
    <s v="NY"/>
    <s v="Albany"/>
    <x v="3"/>
    <n v="742838"/>
    <s v="501-1000"/>
    <n v="717"/>
    <x v="206"/>
    <x v="270"/>
    <n v="721.5"/>
    <n v="767"/>
    <x v="0"/>
    <s v="16.17"/>
    <s v="10:00-13:59"/>
    <x v="5"/>
    <x v="3"/>
    <n v="133"/>
    <n v="0"/>
    <n v="0"/>
    <n v="95.3"/>
    <n v="0"/>
    <n v="0.68700000000000006"/>
    <n v="0.85299999999999998"/>
    <n v="18447.13"/>
    <x v="1"/>
    <n v="1"/>
    <n v="0"/>
    <n v="1"/>
    <n v="0"/>
    <n v="1"/>
    <n v="0"/>
    <n v="1"/>
    <x v="46"/>
    <x v="42"/>
    <n v="690.25"/>
    <n v="136.88"/>
    <x v="400"/>
    <n v="12.5"/>
    <n v="21.1"/>
  </r>
  <r>
    <n v="180909963"/>
    <n v="665492"/>
    <n v="5960271"/>
    <n v="7015"/>
    <x v="1"/>
    <n v="53523"/>
    <x v="7"/>
    <x v="52"/>
    <x v="52"/>
    <x v="403"/>
    <x v="404"/>
    <x v="403"/>
    <x v="52"/>
    <s v="TN"/>
    <s v="Knoxville"/>
    <s v="TX"/>
    <s v="Austin"/>
    <x v="1"/>
    <n v="737982"/>
    <s v="101-300"/>
    <n v="267"/>
    <x v="131"/>
    <x v="271"/>
    <n v="264.5"/>
    <n v="315.39999999999998"/>
    <x v="0"/>
    <s v="5.43"/>
    <s v="10:00-13:59"/>
    <x v="1"/>
    <x v="0"/>
    <n v="-15"/>
    <n v="0"/>
    <n v="0"/>
    <n v="20.6"/>
    <n v="0"/>
    <n v="0.58099999999999996"/>
    <n v="0.77600000000000002"/>
    <n v="8107.86"/>
    <x v="1"/>
    <n v="1"/>
    <n v="1"/>
    <n v="0"/>
    <n v="1"/>
    <n v="0"/>
    <n v="1"/>
    <n v="0"/>
    <x v="27"/>
    <x v="18"/>
    <n v="199.85"/>
    <n v="48.18"/>
    <x v="401"/>
    <n v="5.6"/>
    <n v="10.6"/>
  </r>
  <r>
    <n v="290209201"/>
    <n v="263032"/>
    <n v="4191175"/>
    <n v="6486"/>
    <x v="9"/>
    <n v="56131"/>
    <x v="8"/>
    <x v="243"/>
    <x v="242"/>
    <x v="404"/>
    <x v="405"/>
    <x v="404"/>
    <x v="104"/>
    <s v="TN"/>
    <s v="Chattanooga"/>
    <s v="PA"/>
    <s v="Harrisburg"/>
    <x v="3"/>
    <n v="731760"/>
    <s v="101-300"/>
    <n v="153"/>
    <x v="295"/>
    <x v="272"/>
    <n v="154.69999999999999"/>
    <n v="206.1"/>
    <x v="4"/>
    <s v="4.59"/>
    <s v="10:00-13:59"/>
    <x v="2"/>
    <x v="0"/>
    <n v="-19"/>
    <n v="0"/>
    <n v="0"/>
    <n v="69.7"/>
    <n v="0"/>
    <n v="0.57199999999999995"/>
    <n v="0.88400000000000001"/>
    <n v="3485.41"/>
    <x v="0"/>
    <n v="1"/>
    <n v="1"/>
    <n v="0"/>
    <n v="1"/>
    <n v="0"/>
    <n v="1"/>
    <n v="0"/>
    <x v="93"/>
    <x v="92"/>
    <n v="175.7"/>
    <n v="22.67"/>
    <x v="402"/>
    <n v="13.2"/>
    <n v="28.4"/>
  </r>
  <r>
    <n v="929839316"/>
    <n v="705397"/>
    <n v="5449368"/>
    <n v="5859"/>
    <x v="1"/>
    <n v="54782"/>
    <x v="7"/>
    <x v="213"/>
    <x v="212"/>
    <x v="405"/>
    <x v="406"/>
    <x v="405"/>
    <x v="136"/>
    <s v="MO"/>
    <s v="Independence"/>
    <s v="IL"/>
    <s v="Peoria"/>
    <x v="0"/>
    <n v="763035"/>
    <s v="101-300"/>
    <n v="152"/>
    <x v="85"/>
    <x v="196"/>
    <n v="155.19999999999999"/>
    <n v="174"/>
    <x v="2"/>
    <s v="4.35"/>
    <s v="06:00-09:59"/>
    <x v="3"/>
    <x v="0"/>
    <n v="-10"/>
    <n v="0"/>
    <n v="0"/>
    <n v="78.3"/>
    <n v="0"/>
    <n v="0.72899999999999998"/>
    <n v="0.79900000000000004"/>
    <n v="14617.85"/>
    <x v="1"/>
    <n v="1"/>
    <n v="1"/>
    <n v="0"/>
    <n v="1"/>
    <n v="0"/>
    <n v="1"/>
    <n v="0"/>
    <x v="58"/>
    <x v="35"/>
    <n v="114.8"/>
    <n v="21.85"/>
    <x v="403"/>
    <n v="11.4"/>
    <n v="29.8"/>
  </r>
  <r>
    <n v="774254861"/>
    <n v="343962"/>
    <n v="5672073"/>
    <n v="7396"/>
    <x v="2"/>
    <n v="59781"/>
    <x v="7"/>
    <x v="70"/>
    <x v="70"/>
    <x v="406"/>
    <x v="407"/>
    <x v="406"/>
    <x v="69"/>
    <s v="AZ"/>
    <s v="Tempe"/>
    <s v="GA"/>
    <s v="Macon"/>
    <x v="1"/>
    <n v="700025"/>
    <s v="0-100"/>
    <n v="34"/>
    <x v="296"/>
    <x v="273"/>
    <n v="26.4"/>
    <n v="88.1"/>
    <x v="1"/>
    <s v="2.12"/>
    <s v="06:00-09:59"/>
    <x v="1"/>
    <x v="0"/>
    <n v="37"/>
    <n v="0"/>
    <n v="0"/>
    <n v="82.7"/>
    <n v="0"/>
    <n v="0.66400000000000003"/>
    <n v="0.78900000000000003"/>
    <n v="1522.24"/>
    <x v="0"/>
    <n v="1"/>
    <n v="0"/>
    <n v="1"/>
    <n v="0"/>
    <n v="1"/>
    <n v="0"/>
    <n v="1"/>
    <x v="30"/>
    <x v="59"/>
    <n v="75.52"/>
    <n v="14.89"/>
    <x v="404"/>
    <n v="13.7"/>
    <n v="55"/>
  </r>
  <r>
    <n v="630554118"/>
    <n v="496922"/>
    <n v="9075854"/>
    <n v="8869"/>
    <x v="1"/>
    <n v="54995"/>
    <x v="6"/>
    <x v="136"/>
    <x v="136"/>
    <x v="407"/>
    <x v="408"/>
    <x v="407"/>
    <x v="139"/>
    <s v="WA"/>
    <s v="Everett"/>
    <s v="MI"/>
    <s v="Lansing"/>
    <x v="0"/>
    <n v="727395"/>
    <s v="101-300"/>
    <n v="184"/>
    <x v="297"/>
    <x v="274"/>
    <n v="184.8"/>
    <n v="243.8"/>
    <x v="3"/>
    <s v="4.16"/>
    <s v="06:00-09:59"/>
    <x v="4"/>
    <x v="0"/>
    <n v="-12"/>
    <n v="0"/>
    <n v="0"/>
    <n v="42.5"/>
    <n v="0"/>
    <n v="0.60499999999999998"/>
    <n v="0.64500000000000002"/>
    <n v="119508.78"/>
    <x v="2"/>
    <n v="1"/>
    <n v="1"/>
    <n v="0"/>
    <n v="1"/>
    <n v="0"/>
    <n v="1"/>
    <n v="0"/>
    <x v="65"/>
    <x v="17"/>
    <n v="216.16"/>
    <n v="38.950000000000003"/>
    <x v="405"/>
    <n v="9.3000000000000007"/>
    <n v="33.700000000000003"/>
  </r>
  <r>
    <n v="598165815"/>
    <n v="899550"/>
    <n v="5682940"/>
    <n v="9155"/>
    <x v="9"/>
    <n v="51501"/>
    <x v="2"/>
    <x v="244"/>
    <x v="243"/>
    <x v="408"/>
    <x v="409"/>
    <x v="408"/>
    <x v="243"/>
    <s v="TN"/>
    <s v="Memphis"/>
    <s v="MO"/>
    <s v="Springfield"/>
    <x v="0"/>
    <n v="722184"/>
    <s v="301-500"/>
    <n v="484"/>
    <x v="298"/>
    <x v="117"/>
    <n v="467.8"/>
    <n v="497.5"/>
    <x v="2"/>
    <s v="8.91"/>
    <s v="14:00-17:59"/>
    <x v="6"/>
    <x v="0"/>
    <n v="-46"/>
    <n v="0"/>
    <n v="0"/>
    <n v="41.8"/>
    <n v="0"/>
    <n v="0.69899999999999995"/>
    <n v="0.56499999999999995"/>
    <n v="7512.01"/>
    <x v="0"/>
    <n v="1"/>
    <n v="1"/>
    <n v="0"/>
    <n v="1"/>
    <n v="0"/>
    <n v="1"/>
    <n v="0"/>
    <x v="0"/>
    <x v="59"/>
    <n v="436.99"/>
    <n v="50.9"/>
    <x v="406"/>
    <n v="16.100000000000001"/>
    <n v="56.9"/>
  </r>
  <r>
    <n v="910080036"/>
    <n v="974628"/>
    <n v="3641282"/>
    <n v="6892"/>
    <x v="0"/>
    <n v="53080"/>
    <x v="10"/>
    <x v="217"/>
    <x v="216"/>
    <x v="409"/>
    <x v="410"/>
    <x v="409"/>
    <x v="223"/>
    <s v="IL"/>
    <s v="Rockford"/>
    <s v="NC"/>
    <s v="Greensboro"/>
    <x v="1"/>
    <n v="796994"/>
    <s v="101-300"/>
    <n v="283"/>
    <x v="299"/>
    <x v="125"/>
    <n v="282.39999999999998"/>
    <n v="312"/>
    <x v="0"/>
    <s v="4.29"/>
    <s v="10:00-13:59"/>
    <x v="1"/>
    <x v="0"/>
    <n v="-41"/>
    <n v="0"/>
    <n v="0"/>
    <n v="46.7"/>
    <n v="0"/>
    <n v="0.50700000000000001"/>
    <n v="0.79"/>
    <n v="12184.52"/>
    <x v="1"/>
    <n v="1"/>
    <n v="1"/>
    <n v="0"/>
    <n v="1"/>
    <n v="0"/>
    <n v="1"/>
    <n v="0"/>
    <x v="10"/>
    <x v="60"/>
    <n v="254.55"/>
    <n v="34.43"/>
    <x v="407"/>
    <n v="1.4"/>
    <n v="2.2000000000000002"/>
  </r>
  <r>
    <n v="705306363"/>
    <n v="198246"/>
    <n v="9626108"/>
    <n v="5555"/>
    <x v="0"/>
    <n v="59268"/>
    <x v="11"/>
    <x v="155"/>
    <x v="155"/>
    <x v="410"/>
    <x v="411"/>
    <x v="410"/>
    <x v="160"/>
    <s v="CO"/>
    <s v="Pueblo"/>
    <s v="TX"/>
    <s v="Austin"/>
    <x v="1"/>
    <n v="703172"/>
    <s v="301-500"/>
    <n v="378"/>
    <x v="296"/>
    <x v="128"/>
    <n v="381.5"/>
    <n v="402.8"/>
    <x v="1"/>
    <s v="5.99"/>
    <s v="06:00-09:59"/>
    <x v="6"/>
    <x v="0"/>
    <n v="-22"/>
    <n v="0"/>
    <n v="0"/>
    <n v="64.2"/>
    <n v="0"/>
    <n v="0.20899999999999999"/>
    <n v="0.47599999999999998"/>
    <n v="4361.51"/>
    <x v="0"/>
    <n v="1"/>
    <n v="1"/>
    <n v="0"/>
    <n v="1"/>
    <n v="0"/>
    <n v="1"/>
    <n v="0"/>
    <x v="37"/>
    <x v="5"/>
    <n v="310.25"/>
    <n v="57.49"/>
    <x v="408"/>
    <n v="11.5"/>
    <n v="4.9000000000000004"/>
  </r>
  <r>
    <n v="915911873"/>
    <n v="183667"/>
    <n v="1981186"/>
    <n v="3568"/>
    <x v="6"/>
    <n v="59292"/>
    <x v="13"/>
    <x v="110"/>
    <x v="109"/>
    <x v="411"/>
    <x v="412"/>
    <x v="411"/>
    <x v="109"/>
    <s v="FL"/>
    <s v="Miami"/>
    <s v="TN"/>
    <s v="Clarksville"/>
    <x v="1"/>
    <n v="707329"/>
    <s v="101-300"/>
    <n v="231"/>
    <x v="8"/>
    <x v="275"/>
    <n v="233"/>
    <n v="283.39999999999998"/>
    <x v="1"/>
    <s v="5.0"/>
    <s v="06:00-09:59"/>
    <x v="1"/>
    <x v="0"/>
    <n v="-45"/>
    <n v="0"/>
    <n v="0"/>
    <n v="45.6"/>
    <n v="0"/>
    <n v="0.38800000000000001"/>
    <n v="0.49099999999999999"/>
    <n v="17465.3"/>
    <x v="1"/>
    <n v="1"/>
    <n v="1"/>
    <n v="0"/>
    <n v="1"/>
    <n v="0"/>
    <n v="1"/>
    <n v="0"/>
    <x v="26"/>
    <x v="88"/>
    <n v="250.07"/>
    <n v="33.130000000000003"/>
    <x v="409"/>
    <n v="21.8"/>
    <n v="7"/>
  </r>
  <r>
    <n v="722199123"/>
    <n v="426858"/>
    <n v="6049101"/>
    <n v="4446"/>
    <x v="3"/>
    <n v="50502"/>
    <x v="10"/>
    <x v="245"/>
    <x v="244"/>
    <x v="412"/>
    <x v="413"/>
    <x v="412"/>
    <x v="244"/>
    <s v="AZ"/>
    <s v="Flagstaff"/>
    <s v="NJ"/>
    <s v="Newark"/>
    <x v="3"/>
    <n v="775534"/>
    <s v="0-100"/>
    <n v="84"/>
    <x v="122"/>
    <x v="276"/>
    <n v="88.8"/>
    <n v="123.3"/>
    <x v="3"/>
    <s v="2.59"/>
    <s v="18:00-23:59"/>
    <x v="4"/>
    <x v="0"/>
    <n v="-21"/>
    <n v="0"/>
    <n v="1.1000000000000001"/>
    <n v="55.1"/>
    <n v="0"/>
    <n v="0.80700000000000005"/>
    <n v="0.64100000000000001"/>
    <n v="4185.97"/>
    <x v="0"/>
    <n v="1"/>
    <n v="1"/>
    <n v="0"/>
    <n v="1"/>
    <n v="0"/>
    <n v="1"/>
    <n v="0"/>
    <x v="59"/>
    <x v="6"/>
    <n v="95.65"/>
    <n v="26.5"/>
    <x v="410"/>
    <n v="24.9"/>
    <n v="11.8"/>
  </r>
  <r>
    <n v="582008349"/>
    <n v="245051"/>
    <n v="1739653"/>
    <n v="4763"/>
    <x v="7"/>
    <n v="59531"/>
    <x v="1"/>
    <x v="246"/>
    <x v="245"/>
    <x v="413"/>
    <x v="414"/>
    <x v="413"/>
    <x v="245"/>
    <s v="NY"/>
    <s v="Syracuse"/>
    <s v="GA"/>
    <s v="Columbus"/>
    <x v="1"/>
    <n v="785561"/>
    <s v="501-1000"/>
    <n v="617"/>
    <x v="189"/>
    <x v="277"/>
    <n v="619.1"/>
    <n v="632.4"/>
    <x v="0"/>
    <s v="11.6"/>
    <s v="14:00-17:59"/>
    <x v="4"/>
    <x v="0"/>
    <n v="31"/>
    <n v="0"/>
    <n v="0"/>
    <n v="67.3"/>
    <n v="0"/>
    <n v="0.34100000000000003"/>
    <n v="0.54"/>
    <n v="12919.74"/>
    <x v="1"/>
    <n v="1"/>
    <n v="0"/>
    <n v="1"/>
    <n v="0"/>
    <n v="1"/>
    <n v="0"/>
    <n v="1"/>
    <x v="26"/>
    <x v="23"/>
    <n v="428.16"/>
    <n v="65.83"/>
    <x v="411"/>
    <n v="12.9"/>
    <n v="67.2"/>
  </r>
  <r>
    <n v="831361497"/>
    <n v="816751"/>
    <n v="3011363"/>
    <n v="9996"/>
    <x v="7"/>
    <n v="53885"/>
    <x v="1"/>
    <x v="247"/>
    <x v="246"/>
    <x v="414"/>
    <x v="415"/>
    <x v="414"/>
    <x v="100"/>
    <s v="OH"/>
    <s v="Dayton"/>
    <s v="TN"/>
    <s v="Chattanooga"/>
    <x v="1"/>
    <n v="736170"/>
    <s v="101-300"/>
    <n v="141"/>
    <x v="300"/>
    <x v="50"/>
    <n v="137.69999999999999"/>
    <n v="167.3"/>
    <x v="0"/>
    <s v="3.14"/>
    <s v="14:00-17:59"/>
    <x v="3"/>
    <x v="0"/>
    <n v="-29"/>
    <n v="0"/>
    <n v="0"/>
    <n v="48.8"/>
    <n v="0"/>
    <n v="0.70799999999999996"/>
    <n v="0.66100000000000003"/>
    <n v="5402.58"/>
    <x v="0"/>
    <n v="1"/>
    <n v="1"/>
    <n v="0"/>
    <n v="1"/>
    <n v="0"/>
    <n v="1"/>
    <n v="0"/>
    <x v="7"/>
    <x v="21"/>
    <n v="151.05000000000001"/>
    <n v="36.29"/>
    <x v="412"/>
    <n v="13.3"/>
    <n v="37.6"/>
  </r>
  <r>
    <n v="706118438"/>
    <n v="325772"/>
    <n v="9997381"/>
    <n v="8099"/>
    <x v="8"/>
    <n v="58009"/>
    <x v="11"/>
    <x v="219"/>
    <x v="218"/>
    <x v="415"/>
    <x v="416"/>
    <x v="415"/>
    <x v="224"/>
    <s v="IL"/>
    <s v="Peoria"/>
    <s v="OH"/>
    <s v="Columbus"/>
    <x v="0"/>
    <n v="791457"/>
    <s v="101-300"/>
    <n v="314"/>
    <x v="33"/>
    <x v="278"/>
    <n v="304.8"/>
    <n v="313.10000000000002"/>
    <x v="2"/>
    <s v="5.68"/>
    <s v="10:00-13:59"/>
    <x v="5"/>
    <x v="0"/>
    <n v="-42"/>
    <n v="0"/>
    <n v="0"/>
    <n v="45.2"/>
    <n v="0"/>
    <n v="0.56899999999999995"/>
    <n v="0.92100000000000004"/>
    <n v="98738.27"/>
    <x v="2"/>
    <n v="1"/>
    <n v="1"/>
    <n v="0"/>
    <n v="1"/>
    <n v="0"/>
    <n v="1"/>
    <n v="0"/>
    <x v="54"/>
    <x v="39"/>
    <n v="229.19"/>
    <n v="55.98"/>
    <x v="413"/>
    <n v="4.7"/>
    <n v="19.3"/>
  </r>
  <r>
    <n v="790407222"/>
    <n v="804314"/>
    <n v="1006810"/>
    <n v="7893"/>
    <x v="4"/>
    <n v="50623"/>
    <x v="7"/>
    <x v="183"/>
    <x v="182"/>
    <x v="416"/>
    <x v="417"/>
    <x v="416"/>
    <x v="174"/>
    <s v="IL"/>
    <s v="Chicago"/>
    <s v="IL"/>
    <s v="Rockford"/>
    <x v="0"/>
    <n v="725966"/>
    <s v="301-500"/>
    <n v="432"/>
    <x v="301"/>
    <x v="223"/>
    <n v="432.7"/>
    <n v="490.4"/>
    <x v="0"/>
    <s v="10.83"/>
    <s v="06:00-09:59"/>
    <x v="3"/>
    <x v="0"/>
    <n v="-23"/>
    <n v="0"/>
    <n v="0"/>
    <n v="32.200000000000003"/>
    <n v="0"/>
    <n v="0.83199999999999996"/>
    <n v="0.56899999999999995"/>
    <n v="3618.5"/>
    <x v="0"/>
    <n v="1"/>
    <n v="1"/>
    <n v="0"/>
    <n v="1"/>
    <n v="0"/>
    <n v="1"/>
    <n v="0"/>
    <x v="24"/>
    <x v="23"/>
    <n v="395.9"/>
    <n v="73"/>
    <x v="414"/>
    <n v="11.6"/>
    <n v="5.8"/>
  </r>
  <r>
    <n v="782146375"/>
    <n v="656116"/>
    <n v="9996207"/>
    <n v="5061"/>
    <x v="2"/>
    <n v="51050"/>
    <x v="7"/>
    <x v="248"/>
    <x v="247"/>
    <x v="417"/>
    <x v="418"/>
    <x v="417"/>
    <x v="246"/>
    <s v="GA"/>
    <s v="Columbus"/>
    <s v="PA"/>
    <s v="Allentown"/>
    <x v="3"/>
    <n v="770517"/>
    <s v="101-300"/>
    <n v="316"/>
    <x v="100"/>
    <x v="279"/>
    <n v="318.89999999999998"/>
    <n v="374.4"/>
    <x v="0"/>
    <s v="6.1"/>
    <s v="18:00-23:59"/>
    <x v="0"/>
    <x v="0"/>
    <n v="-20"/>
    <n v="0"/>
    <n v="1.7"/>
    <n v="78.5"/>
    <n v="0"/>
    <n v="0.65400000000000003"/>
    <n v="0.65600000000000003"/>
    <n v="22251.15"/>
    <x v="2"/>
    <n v="1"/>
    <n v="1"/>
    <n v="0"/>
    <n v="1"/>
    <n v="0"/>
    <n v="1"/>
    <n v="0"/>
    <x v="10"/>
    <x v="93"/>
    <n v="254.5"/>
    <n v="61.68"/>
    <x v="415"/>
    <n v="0.1"/>
    <n v="16.399999999999999"/>
  </r>
  <r>
    <n v="770575153"/>
    <n v="969693"/>
    <n v="3762152"/>
    <n v="8916"/>
    <x v="3"/>
    <n v="57385"/>
    <x v="11"/>
    <x v="42"/>
    <x v="42"/>
    <x v="418"/>
    <x v="419"/>
    <x v="418"/>
    <x v="41"/>
    <s v="IL"/>
    <s v="Chicago"/>
    <s v="NC"/>
    <s v="Durham"/>
    <x v="1"/>
    <n v="796994"/>
    <s v="301-500"/>
    <n v="367"/>
    <x v="120"/>
    <x v="96"/>
    <n v="356.5"/>
    <n v="395.1"/>
    <x v="0"/>
    <s v="7.68"/>
    <s v="14:00-17:59"/>
    <x v="0"/>
    <x v="0"/>
    <n v="-40"/>
    <n v="0"/>
    <n v="0"/>
    <n v="52.4"/>
    <n v="0"/>
    <n v="0.75900000000000001"/>
    <n v="0.48099999999999998"/>
    <n v="9573.99"/>
    <x v="1"/>
    <n v="1"/>
    <n v="1"/>
    <n v="0"/>
    <n v="1"/>
    <n v="0"/>
    <n v="1"/>
    <n v="0"/>
    <x v="8"/>
    <x v="73"/>
    <n v="258.06"/>
    <n v="58.95"/>
    <x v="416"/>
    <n v="28.3"/>
    <n v="49.1"/>
  </r>
  <r>
    <n v="447042200"/>
    <n v="542417"/>
    <n v="1527021"/>
    <n v="6051"/>
    <x v="0"/>
    <n v="56081"/>
    <x v="2"/>
    <x v="249"/>
    <x v="248"/>
    <x v="419"/>
    <x v="420"/>
    <x v="419"/>
    <x v="245"/>
    <s v="WA"/>
    <s v="Seattle"/>
    <s v="MI"/>
    <s v="Grand Rapids"/>
    <x v="0"/>
    <n v="727395"/>
    <s v="0-100"/>
    <n v="83"/>
    <x v="302"/>
    <x v="201"/>
    <n v="85.4"/>
    <n v="138.30000000000001"/>
    <x v="3"/>
    <s v="0.75"/>
    <s v="06:00-09:59"/>
    <x v="5"/>
    <x v="0"/>
    <n v="-45"/>
    <n v="0"/>
    <n v="0"/>
    <n v="47.8"/>
    <n v="0"/>
    <n v="0.72199999999999998"/>
    <n v="0.77"/>
    <n v="3445.89"/>
    <x v="0"/>
    <n v="1"/>
    <n v="1"/>
    <n v="0"/>
    <n v="1"/>
    <n v="0"/>
    <n v="1"/>
    <n v="0"/>
    <x v="47"/>
    <x v="14"/>
    <n v="108.61"/>
    <n v="23.34"/>
    <x v="417"/>
    <n v="27.6"/>
    <n v="32.299999999999997"/>
  </r>
  <r>
    <n v="773469560"/>
    <n v="876646"/>
    <n v="2191066"/>
    <n v="1769"/>
    <x v="1"/>
    <n v="55484"/>
    <x v="7"/>
    <x v="250"/>
    <x v="249"/>
    <x v="420"/>
    <x v="421"/>
    <x v="420"/>
    <x v="247"/>
    <s v="MO"/>
    <s v="Independence"/>
    <s v="OH"/>
    <s v="Cincinnati"/>
    <x v="0"/>
    <n v="762371"/>
    <s v="101-300"/>
    <n v="152"/>
    <x v="303"/>
    <x v="280"/>
    <n v="152.5"/>
    <n v="173.3"/>
    <x v="4"/>
    <s v="4.0 hrs"/>
    <s v="14:00-17:59"/>
    <x v="6"/>
    <x v="0"/>
    <n v="12"/>
    <n v="0"/>
    <n v="0"/>
    <n v="14.5"/>
    <n v="0"/>
    <n v="0.90100000000000002"/>
    <n v="0.56299999999999994"/>
    <n v="20382.86"/>
    <x v="1"/>
    <n v="1"/>
    <n v="1"/>
    <n v="0"/>
    <n v="1"/>
    <n v="0"/>
    <n v="1"/>
    <n v="0"/>
    <x v="90"/>
    <x v="7"/>
    <n v="136.28"/>
    <n v="20.49"/>
    <x v="418"/>
    <n v="17.2"/>
    <n v="7.8"/>
  </r>
  <r>
    <n v="439451556"/>
    <n v="688508"/>
    <n v="8930103"/>
    <n v="3047"/>
    <x v="9"/>
    <n v="53772"/>
    <x v="6"/>
    <x v="156"/>
    <x v="156"/>
    <x v="421"/>
    <x v="422"/>
    <x v="421"/>
    <x v="92"/>
    <s v="NC"/>
    <s v="Wilmington"/>
    <s v="IL"/>
    <s v="Peoria"/>
    <x v="0"/>
    <n v="727770"/>
    <s v="0-100"/>
    <n v="43"/>
    <x v="304"/>
    <x v="281"/>
    <n v="40.799999999999997"/>
    <n v="67.7"/>
    <x v="1"/>
    <s v="2.13"/>
    <s v="14:00-17:59"/>
    <x v="5"/>
    <x v="0"/>
    <n v="-7"/>
    <n v="0"/>
    <n v="0"/>
    <n v="65.2"/>
    <n v="0"/>
    <n v="0.59"/>
    <n v="0.58799999999999997"/>
    <n v="16057.94"/>
    <x v="1"/>
    <n v="1"/>
    <n v="1"/>
    <n v="0"/>
    <n v="1"/>
    <n v="0"/>
    <n v="1"/>
    <n v="0"/>
    <x v="7"/>
    <x v="13"/>
    <n v="49.48"/>
    <n v="7.74"/>
    <x v="419"/>
    <n v="4"/>
    <n v="52.6"/>
  </r>
  <r>
    <n v="262089272"/>
    <n v="249811"/>
    <n v="2795765"/>
    <n v="8392"/>
    <x v="2"/>
    <n v="53916"/>
    <x v="9"/>
    <x v="206"/>
    <x v="205"/>
    <x v="422"/>
    <x v="423"/>
    <x v="422"/>
    <x v="233"/>
    <s v="GA"/>
    <s v="Savannah"/>
    <s v="CA"/>
    <s v="San Diego"/>
    <x v="2"/>
    <n v="717677"/>
    <s v="301-500"/>
    <n v="407"/>
    <x v="305"/>
    <x v="282"/>
    <n v="409.6"/>
    <n v="463.2"/>
    <x v="0"/>
    <s v="11.07"/>
    <s v="06:00-09:59"/>
    <x v="2"/>
    <x v="0"/>
    <n v="-29"/>
    <n v="0"/>
    <n v="0"/>
    <n v="27.6"/>
    <n v="0"/>
    <n v="0.495"/>
    <n v="0.29299999999999998"/>
    <n v="12685.8"/>
    <x v="1"/>
    <n v="1"/>
    <n v="1"/>
    <n v="0"/>
    <n v="1"/>
    <n v="0"/>
    <n v="1"/>
    <n v="0"/>
    <x v="24"/>
    <x v="56"/>
    <n v="330.5"/>
    <n v="75.7"/>
    <x v="420"/>
    <n v="11.1"/>
    <n v="7.9"/>
  </r>
  <r>
    <n v="572191734"/>
    <n v="903035"/>
    <n v="7110622"/>
    <n v="3200"/>
    <x v="2"/>
    <n v="54018"/>
    <x v="3"/>
    <x v="104"/>
    <x v="104"/>
    <x v="423"/>
    <x v="424"/>
    <x v="423"/>
    <x v="102"/>
    <s v="NY"/>
    <s v="Albany"/>
    <s v="CO"/>
    <s v="Colorado Springs"/>
    <x v="2"/>
    <n v="726712"/>
    <s v="101-300"/>
    <n v="173"/>
    <x v="306"/>
    <x v="103"/>
    <n v="171.3"/>
    <n v="231.1"/>
    <x v="2"/>
    <s v="3.03"/>
    <s v="10:00-13:59"/>
    <x v="5"/>
    <x v="0"/>
    <n v="-43"/>
    <n v="0"/>
    <n v="0"/>
    <n v="56.1"/>
    <n v="0"/>
    <n v="0.57299999999999995"/>
    <n v="0.54500000000000004"/>
    <n v="2379.67"/>
    <x v="0"/>
    <n v="1"/>
    <n v="1"/>
    <n v="0"/>
    <n v="1"/>
    <n v="0"/>
    <n v="1"/>
    <n v="0"/>
    <x v="12"/>
    <x v="10"/>
    <n v="169.22"/>
    <n v="25.09"/>
    <x v="421"/>
    <n v="26.8"/>
    <n v="9.8000000000000007"/>
  </r>
  <r>
    <n v="173321814"/>
    <n v="158655"/>
    <n v="4576135"/>
    <n v="9755"/>
    <x v="1"/>
    <n v="51329"/>
    <x v="13"/>
    <x v="157"/>
    <x v="157"/>
    <x v="424"/>
    <x v="425"/>
    <x v="424"/>
    <x v="161"/>
    <s v="OH"/>
    <s v="Dayton"/>
    <s v="IL"/>
    <s v="Springfield"/>
    <x v="0"/>
    <n v="771620"/>
    <s v="301-500"/>
    <n v="328"/>
    <x v="307"/>
    <x v="244"/>
    <n v="326"/>
    <n v="408.8"/>
    <x v="0"/>
    <s v="6.86"/>
    <s v="06:00-09:59"/>
    <x v="5"/>
    <x v="0"/>
    <n v="-29"/>
    <n v="0"/>
    <n v="0"/>
    <n v="34"/>
    <n v="0"/>
    <n v="0.72"/>
    <n v="0.56799999999999995"/>
    <n v="80533.460000000006"/>
    <x v="2"/>
    <n v="1"/>
    <n v="1"/>
    <n v="0"/>
    <n v="1"/>
    <n v="0"/>
    <n v="1"/>
    <n v="0"/>
    <x v="31"/>
    <x v="16"/>
    <n v="350.97"/>
    <n v="55.23"/>
    <x v="422"/>
    <n v="12.9"/>
    <n v="37.299999999999997"/>
  </r>
  <r>
    <n v="603500181"/>
    <n v="217301"/>
    <n v="5453786"/>
    <n v="5548"/>
    <x v="6"/>
    <n v="54114"/>
    <x v="2"/>
    <x v="208"/>
    <x v="207"/>
    <x v="425"/>
    <x v="426"/>
    <x v="425"/>
    <x v="213"/>
    <s v="NC"/>
    <s v="Raleigh"/>
    <s v="NC"/>
    <s v="Charlotte"/>
    <x v="1"/>
    <n v="752322"/>
    <s v="501-1000"/>
    <n v="629"/>
    <x v="308"/>
    <x v="283"/>
    <n v="621.4"/>
    <n v="668"/>
    <x v="3"/>
    <s v="11.71"/>
    <s v="06:00-09:59"/>
    <x v="1"/>
    <x v="0"/>
    <n v="-45"/>
    <n v="0"/>
    <n v="0"/>
    <n v="28.7"/>
    <n v="0"/>
    <n v="0.69"/>
    <n v="0.8"/>
    <n v="11612.04"/>
    <x v="1"/>
    <n v="1"/>
    <n v="1"/>
    <n v="0"/>
    <n v="1"/>
    <n v="0"/>
    <n v="1"/>
    <n v="0"/>
    <x v="62"/>
    <x v="50"/>
    <n v="485.85"/>
    <n v="141.1"/>
    <x v="423"/>
    <n v="13"/>
    <n v="48.1"/>
  </r>
  <r>
    <n v="574817290"/>
    <n v="864544"/>
    <n v="5374922"/>
    <n v="8385"/>
    <x v="1"/>
    <n v="53367"/>
    <x v="8"/>
    <x v="46"/>
    <x v="46"/>
    <x v="426"/>
    <x v="427"/>
    <x v="426"/>
    <x v="176"/>
    <s v="AZ"/>
    <s v="Tucson"/>
    <s v="FL"/>
    <s v="Jacksonville"/>
    <x v="1"/>
    <n v="704898"/>
    <s v="101-300"/>
    <n v="112"/>
    <x v="48"/>
    <x v="284"/>
    <n v="114.4"/>
    <n v="146.69999999999999"/>
    <x v="0"/>
    <s v="1.7"/>
    <s v="14:00-17:59"/>
    <x v="0"/>
    <x v="0"/>
    <n v="-31"/>
    <n v="0"/>
    <n v="0"/>
    <n v="64.7"/>
    <n v="0"/>
    <n v="0.65300000000000002"/>
    <n v="0.85"/>
    <n v="3594.36"/>
    <x v="0"/>
    <n v="1"/>
    <n v="1"/>
    <n v="0"/>
    <n v="1"/>
    <n v="0"/>
    <n v="1"/>
    <n v="0"/>
    <x v="39"/>
    <x v="33"/>
    <n v="131.5"/>
    <n v="30.09"/>
    <x v="424"/>
    <n v="24.5"/>
    <n v="51"/>
  </r>
  <r>
    <n v="777944609"/>
    <n v="855731"/>
    <n v="2724590"/>
    <n v="1202"/>
    <x v="8"/>
    <n v="58095"/>
    <x v="14"/>
    <x v="251"/>
    <x v="250"/>
    <x v="427"/>
    <x v="428"/>
    <x v="427"/>
    <x v="248"/>
    <s v="OH"/>
    <s v="Cincinnati"/>
    <s v="WA"/>
    <s v="Vancouver"/>
    <x v="2"/>
    <n v="772569"/>
    <s v="101-300"/>
    <n v="256"/>
    <x v="226"/>
    <x v="113"/>
    <n v="248.2"/>
    <n v="269.39999999999998"/>
    <x v="0"/>
    <s v="7.22"/>
    <s v="06:00-09:59"/>
    <x v="3"/>
    <x v="0"/>
    <n v="27"/>
    <n v="0"/>
    <n v="0"/>
    <n v="49.8"/>
    <n v="0"/>
    <n v="0.68899999999999995"/>
    <n v="0.61899999999999999"/>
    <n v="18263.07"/>
    <x v="1"/>
    <n v="1"/>
    <n v="0"/>
    <n v="1"/>
    <n v="0"/>
    <n v="1"/>
    <n v="0"/>
    <n v="1"/>
    <x v="83"/>
    <x v="65"/>
    <n v="176.16"/>
    <n v="53.82"/>
    <x v="238"/>
    <n v="32.200000000000003"/>
    <n v="65.2"/>
  </r>
  <r>
    <n v="425150964"/>
    <n v="379786"/>
    <n v="3726327"/>
    <n v="9004"/>
    <x v="5"/>
    <n v="55141"/>
    <x v="14"/>
    <x v="78"/>
    <x v="78"/>
    <x v="428"/>
    <x v="429"/>
    <x v="428"/>
    <x v="77"/>
    <s v="MO"/>
    <s v="Independence"/>
    <s v="WA"/>
    <s v="Tacoma"/>
    <x v="2"/>
    <n v="707148"/>
    <s v="101-300"/>
    <n v="210"/>
    <x v="72"/>
    <x v="285"/>
    <n v="205.9"/>
    <n v="267.8"/>
    <x v="0"/>
    <s v="5.03"/>
    <s v="14:00-17:59"/>
    <x v="3"/>
    <x v="0"/>
    <n v="-13"/>
    <n v="0"/>
    <n v="0"/>
    <n v="48.7"/>
    <n v="0"/>
    <n v="0.78300000000000003"/>
    <n v="0.58699999999999997"/>
    <n v="4979.45"/>
    <x v="0"/>
    <n v="1"/>
    <n v="1"/>
    <n v="0"/>
    <n v="1"/>
    <n v="0"/>
    <n v="1"/>
    <n v="0"/>
    <x v="58"/>
    <x v="10"/>
    <n v="240.88"/>
    <n v="43.08"/>
    <x v="425"/>
    <n v="55.8"/>
    <n v="41.4"/>
  </r>
  <r>
    <n v="955052486"/>
    <n v="207175"/>
    <n v="8077999"/>
    <n v="4152"/>
    <x v="6"/>
    <n v="53951"/>
    <x v="6"/>
    <x v="196"/>
    <x v="195"/>
    <x v="429"/>
    <x v="430"/>
    <x v="429"/>
    <x v="249"/>
    <s v="MI"/>
    <s v="Flint"/>
    <s v="CA"/>
    <s v="Sacramento"/>
    <x v="2"/>
    <n v="751495"/>
    <s v="101-300"/>
    <n v="125"/>
    <x v="138"/>
    <x v="286"/>
    <n v="127.7"/>
    <n v="192"/>
    <x v="3"/>
    <s v="3.17"/>
    <s v="18:00-23:59"/>
    <x v="3"/>
    <x v="0"/>
    <n v="-32"/>
    <n v="0"/>
    <n v="0"/>
    <n v="83.1"/>
    <n v="0"/>
    <n v="0.749"/>
    <n v="0.82799999999999996"/>
    <n v="5294.25"/>
    <x v="0"/>
    <n v="1"/>
    <n v="1"/>
    <n v="0"/>
    <n v="1"/>
    <n v="0"/>
    <n v="1"/>
    <n v="0"/>
    <x v="33"/>
    <x v="52"/>
    <n v="158.76"/>
    <n v="19.84"/>
    <x v="426"/>
    <n v="16.8"/>
    <n v="0.1"/>
  </r>
  <r>
    <n v="394928601"/>
    <n v="575435"/>
    <n v="9436429"/>
    <n v="7736"/>
    <x v="9"/>
    <n v="55084"/>
    <x v="11"/>
    <x v="183"/>
    <x v="182"/>
    <x v="430"/>
    <x v="431"/>
    <x v="430"/>
    <x v="174"/>
    <s v="PA"/>
    <s v="Philadelphia"/>
    <s v="NJ"/>
    <s v="Jersey City"/>
    <x v="3"/>
    <n v="778005"/>
    <s v="101-300"/>
    <n v="141"/>
    <x v="134"/>
    <x v="25"/>
    <n v="140"/>
    <n v="167.3"/>
    <x v="1"/>
    <s v="4.96"/>
    <s v="00:00-05:59"/>
    <x v="3"/>
    <x v="3"/>
    <n v="126"/>
    <n v="31"/>
    <n v="0"/>
    <n v="100"/>
    <n v="0"/>
    <n v="0.64200000000000002"/>
    <n v="0.26300000000000001"/>
    <n v="4107.4399999999996"/>
    <x v="0"/>
    <n v="1"/>
    <n v="0"/>
    <n v="1"/>
    <n v="0"/>
    <n v="1"/>
    <n v="0"/>
    <n v="1"/>
    <x v="39"/>
    <x v="91"/>
    <n v="121.01"/>
    <n v="19.170000000000002"/>
    <x v="427"/>
    <n v="17.2"/>
    <n v="25.4"/>
  </r>
  <r>
    <n v="735032128"/>
    <n v="245051"/>
    <n v="1739653"/>
    <n v="4763"/>
    <x v="7"/>
    <n v="51573"/>
    <x v="6"/>
    <x v="204"/>
    <x v="203"/>
    <x v="431"/>
    <x v="432"/>
    <x v="431"/>
    <x v="206"/>
    <s v="PA"/>
    <s v="Pittsburgh"/>
    <s v="CA"/>
    <s v="Oakland"/>
    <x v="2"/>
    <n v="768585"/>
    <s v="101-300"/>
    <n v="127"/>
    <x v="309"/>
    <x v="101"/>
    <n v="137.30000000000001"/>
    <n v="189.1"/>
    <x v="0"/>
    <s v="2.61"/>
    <s v="10:00-13:59"/>
    <x v="6"/>
    <x v="0"/>
    <n v="-38"/>
    <n v="0"/>
    <n v="0"/>
    <n v="43.6"/>
    <n v="0"/>
    <n v="0.67100000000000004"/>
    <n v="0.78500000000000003"/>
    <n v="20489.89"/>
    <x v="1"/>
    <n v="1"/>
    <n v="1"/>
    <n v="0"/>
    <n v="1"/>
    <n v="0"/>
    <n v="1"/>
    <n v="0"/>
    <x v="61"/>
    <x v="20"/>
    <n v="117.63"/>
    <n v="39.770000000000003"/>
    <x v="428"/>
    <n v="12.9"/>
    <n v="70.5"/>
  </r>
  <r>
    <n v="160314355"/>
    <n v="542417"/>
    <n v="1527021"/>
    <n v="6051"/>
    <x v="0"/>
    <n v="52634"/>
    <x v="6"/>
    <x v="234"/>
    <x v="233"/>
    <x v="432"/>
    <x v="433"/>
    <x v="432"/>
    <x v="233"/>
    <s v="NY"/>
    <s v="Albany"/>
    <s v="MO"/>
    <s v="Springfield"/>
    <x v="0"/>
    <n v="737707"/>
    <s v="501-1000"/>
    <n v="829"/>
    <x v="92"/>
    <x v="139"/>
    <n v="832.6"/>
    <n v="867.4"/>
    <x v="3"/>
    <s v="17.5"/>
    <s v="14:00-17:59"/>
    <x v="3"/>
    <x v="0"/>
    <n v="-27"/>
    <n v="0"/>
    <n v="0"/>
    <n v="24.5"/>
    <n v="0"/>
    <n v="0.86"/>
    <n v="0.55300000000000005"/>
    <n v="4391.2700000000004"/>
    <x v="0"/>
    <n v="1"/>
    <n v="1"/>
    <n v="0"/>
    <n v="1"/>
    <n v="0"/>
    <n v="1"/>
    <n v="0"/>
    <x v="68"/>
    <x v="38"/>
    <n v="746.6"/>
    <n v="173.8"/>
    <x v="429"/>
    <n v="27.6"/>
    <n v="32.4"/>
  </r>
  <r>
    <n v="477895080"/>
    <n v="575435"/>
    <n v="9436429"/>
    <n v="7736"/>
    <x v="9"/>
    <n v="52768"/>
    <x v="4"/>
    <x v="137"/>
    <x v="137"/>
    <x v="433"/>
    <x v="434"/>
    <x v="433"/>
    <x v="43"/>
    <s v="NJ"/>
    <s v="Trenton"/>
    <s v="TX"/>
    <s v="Austin"/>
    <x v="1"/>
    <n v="734413"/>
    <s v="501-1000"/>
    <n v="533"/>
    <x v="28"/>
    <x v="287"/>
    <n v="537.5"/>
    <n v="556.5"/>
    <x v="1"/>
    <s v="9.03"/>
    <s v="14:00-17:59"/>
    <x v="6"/>
    <x v="0"/>
    <n v="-59"/>
    <n v="0"/>
    <n v="0"/>
    <n v="73.400000000000006"/>
    <n v="0"/>
    <n v="0.71699999999999997"/>
    <n v="0.89600000000000002"/>
    <n v="18542.63"/>
    <x v="1"/>
    <n v="1"/>
    <n v="1"/>
    <n v="0"/>
    <n v="1"/>
    <n v="0"/>
    <n v="1"/>
    <n v="0"/>
    <x v="8"/>
    <x v="66"/>
    <n v="506.86"/>
    <n v="80.790000000000006"/>
    <x v="430"/>
    <n v="17.2"/>
    <n v="25.3"/>
  </r>
  <r>
    <n v="644748834"/>
    <n v="852787"/>
    <n v="6075395"/>
    <n v="7668"/>
    <x v="8"/>
    <n v="55302"/>
    <x v="10"/>
    <x v="0"/>
    <x v="0"/>
    <x v="434"/>
    <x v="435"/>
    <x v="434"/>
    <x v="17"/>
    <s v="FL"/>
    <s v="Miami"/>
    <s v="PA"/>
    <s v="Pittsburgh"/>
    <x v="3"/>
    <n v="798350"/>
    <s v="301-500"/>
    <n v="463"/>
    <x v="189"/>
    <x v="288"/>
    <n v="468.1"/>
    <n v="505.4"/>
    <x v="3"/>
    <s v="9.55"/>
    <s v="14:00-17:59"/>
    <x v="0"/>
    <x v="0"/>
    <n v="10"/>
    <n v="0"/>
    <n v="0"/>
    <n v="35.799999999999997"/>
    <n v="0"/>
    <n v="0.74299999999999999"/>
    <n v="0.75800000000000001"/>
    <n v="4364.51"/>
    <x v="0"/>
    <n v="1"/>
    <n v="1"/>
    <n v="0"/>
    <n v="1"/>
    <n v="0"/>
    <n v="1"/>
    <n v="0"/>
    <x v="40"/>
    <x v="20"/>
    <n v="462.31"/>
    <n v="94.75"/>
    <x v="431"/>
    <n v="15.7"/>
    <n v="79.5"/>
  </r>
  <r>
    <n v="179661615"/>
    <n v="559381"/>
    <n v="4526280"/>
    <n v="9754"/>
    <x v="5"/>
    <n v="56250"/>
    <x v="9"/>
    <x v="252"/>
    <x v="251"/>
    <x v="435"/>
    <x v="436"/>
    <x v="435"/>
    <x v="250"/>
    <s v="AZ"/>
    <s v="Flagstaff"/>
    <s v="CA"/>
    <s v="Sacramento"/>
    <x v="2"/>
    <n v="733902"/>
    <s v="501-1000"/>
    <n v="491"/>
    <x v="239"/>
    <x v="289"/>
    <n v="489.6"/>
    <n v="560.79999999999995"/>
    <x v="2"/>
    <s v="8.42"/>
    <s v="10:00-13:59"/>
    <x v="0"/>
    <x v="0"/>
    <n v="-22"/>
    <n v="0"/>
    <n v="0"/>
    <n v="56.6"/>
    <n v="0"/>
    <n v="0.47399999999999998"/>
    <n v="0.73699999999999999"/>
    <n v="7215.27"/>
    <x v="0"/>
    <n v="1"/>
    <n v="1"/>
    <n v="0"/>
    <n v="1"/>
    <n v="0"/>
    <n v="1"/>
    <n v="0"/>
    <x v="77"/>
    <x v="94"/>
    <n v="418.93"/>
    <n v="113.59"/>
    <x v="432"/>
    <n v="25"/>
    <n v="0.9"/>
  </r>
  <r>
    <n v="433297890"/>
    <n v="440035"/>
    <n v="1156287"/>
    <n v="8858"/>
    <x v="0"/>
    <n v="51211"/>
    <x v="7"/>
    <x v="253"/>
    <x v="252"/>
    <x v="436"/>
    <x v="437"/>
    <x v="436"/>
    <x v="251"/>
    <s v="AZ"/>
    <s v="Tempe"/>
    <s v="AZ"/>
    <s v="Tempe"/>
    <x v="2"/>
    <n v="742558"/>
    <s v="101-300"/>
    <n v="158"/>
    <x v="17"/>
    <x v="182"/>
    <n v="154.80000000000001"/>
    <n v="207.9"/>
    <x v="0"/>
    <s v="2.92"/>
    <s v="10:00-13:59"/>
    <x v="3"/>
    <x v="0"/>
    <n v="-36"/>
    <n v="32"/>
    <n v="0"/>
    <n v="43.2"/>
    <n v="0"/>
    <n v="0.77700000000000002"/>
    <n v="0.31"/>
    <n v="1959.03"/>
    <x v="0"/>
    <n v="1"/>
    <n v="1"/>
    <n v="0"/>
    <n v="1"/>
    <n v="0"/>
    <n v="1"/>
    <n v="0"/>
    <x v="21"/>
    <x v="40"/>
    <n v="133.30000000000001"/>
    <n v="36.270000000000003"/>
    <x v="433"/>
    <n v="8.3000000000000007"/>
    <n v="34.200000000000003"/>
  </r>
  <r>
    <n v="595792218"/>
    <n v="899550"/>
    <n v="5682940"/>
    <n v="9155"/>
    <x v="9"/>
    <n v="58967"/>
    <x v="8"/>
    <x v="15"/>
    <x v="15"/>
    <x v="437"/>
    <x v="438"/>
    <x v="437"/>
    <x v="15"/>
    <s v="NJ"/>
    <s v="Newark"/>
    <s v="NC"/>
    <s v="Wilmington"/>
    <x v="1"/>
    <n v="724967"/>
    <s v="301-500"/>
    <n v="494"/>
    <x v="155"/>
    <x v="209"/>
    <n v="486.7"/>
    <n v="507.2"/>
    <x v="2"/>
    <s v="10.08"/>
    <s v="10:00-13:59"/>
    <x v="6"/>
    <x v="0"/>
    <n v="-4"/>
    <n v="0"/>
    <n v="0"/>
    <n v="49.4"/>
    <n v="0"/>
    <n v="0.69699999999999995"/>
    <n v="0.77700000000000002"/>
    <n v="20323.009999999998"/>
    <x v="1"/>
    <n v="1"/>
    <n v="1"/>
    <n v="0"/>
    <n v="1"/>
    <n v="0"/>
    <n v="1"/>
    <n v="0"/>
    <x v="24"/>
    <x v="69"/>
    <n v="362.2"/>
    <n v="102.67"/>
    <x v="434"/>
    <n v="16.100000000000001"/>
    <n v="63.9"/>
  </r>
  <r>
    <n v="585238820"/>
    <n v="779514"/>
    <n v="5130808"/>
    <n v="3731"/>
    <x v="4"/>
    <n v="55955"/>
    <x v="9"/>
    <x v="41"/>
    <x v="41"/>
    <x v="438"/>
    <x v="439"/>
    <x v="438"/>
    <x v="252"/>
    <s v="CO"/>
    <s v="Fort Collins"/>
    <s v="MO"/>
    <s v="Kansas City"/>
    <x v="0"/>
    <n v="706463"/>
    <s v="501-1000"/>
    <n v="889"/>
    <x v="310"/>
    <x v="290"/>
    <n v="880.3"/>
    <n v="972.4"/>
    <x v="0"/>
    <s v="16.8"/>
    <s v="18:00-23:59"/>
    <x v="4"/>
    <x v="0"/>
    <n v="-41"/>
    <n v="0"/>
    <n v="0"/>
    <n v="70.099999999999994"/>
    <n v="0"/>
    <n v="0.39500000000000002"/>
    <n v="0.48699999999999999"/>
    <n v="1409.21"/>
    <x v="0"/>
    <n v="1"/>
    <n v="1"/>
    <n v="0"/>
    <n v="1"/>
    <n v="0"/>
    <n v="1"/>
    <n v="0"/>
    <x v="85"/>
    <x v="8"/>
    <n v="693.25"/>
    <n v="125.79"/>
    <x v="435"/>
    <n v="38.9"/>
    <n v="59.1"/>
  </r>
  <r>
    <n v="140380477"/>
    <n v="738551"/>
    <n v="7685149"/>
    <n v="7694"/>
    <x v="1"/>
    <n v="51160"/>
    <x v="5"/>
    <x v="254"/>
    <x v="253"/>
    <x v="439"/>
    <x v="440"/>
    <x v="439"/>
    <x v="253"/>
    <s v="FL"/>
    <s v="Orlando"/>
    <s v="MO"/>
    <s v="Columbia"/>
    <x v="0"/>
    <n v="771932"/>
    <s v="101-300"/>
    <n v="120"/>
    <x v="144"/>
    <x v="133"/>
    <n v="126.9"/>
    <n v="163.69999999999999"/>
    <x v="0"/>
    <s v="3.18"/>
    <s v="06:00-09:59"/>
    <x v="0"/>
    <x v="0"/>
    <n v="-40"/>
    <n v="0"/>
    <n v="0"/>
    <n v="33.799999999999997"/>
    <n v="0"/>
    <n v="0.74199999999999999"/>
    <n v="0.31900000000000001"/>
    <n v="1278.3699999999999"/>
    <x v="0"/>
    <n v="1"/>
    <n v="1"/>
    <n v="0"/>
    <n v="1"/>
    <n v="0"/>
    <n v="1"/>
    <n v="0"/>
    <x v="50"/>
    <x v="75"/>
    <n v="106.52"/>
    <n v="25.45"/>
    <x v="307"/>
    <n v="4.0999999999999996"/>
    <n v="4.8"/>
  </r>
  <r>
    <n v="161085229"/>
    <n v="358607"/>
    <n v="5727085"/>
    <n v="6864"/>
    <x v="1"/>
    <n v="55977"/>
    <x v="6"/>
    <x v="87"/>
    <x v="87"/>
    <x v="440"/>
    <x v="441"/>
    <x v="440"/>
    <x v="6"/>
    <s v="AZ"/>
    <s v="Flagstaff"/>
    <s v="GA"/>
    <s v="Savannah"/>
    <x v="1"/>
    <n v="700025"/>
    <s v="501-1000"/>
    <n v="948"/>
    <x v="311"/>
    <x v="135"/>
    <n v="944.3"/>
    <n v="1000.3"/>
    <x v="0"/>
    <s v="19.38"/>
    <s v="18:00-23:59"/>
    <x v="3"/>
    <x v="0"/>
    <n v="-26"/>
    <n v="0"/>
    <n v="0"/>
    <n v="37.1"/>
    <n v="0"/>
    <n v="0.81100000000000005"/>
    <n v="0.83"/>
    <n v="3356.44"/>
    <x v="0"/>
    <n v="1"/>
    <n v="1"/>
    <n v="0"/>
    <n v="1"/>
    <n v="0"/>
    <n v="1"/>
    <n v="0"/>
    <x v="1"/>
    <x v="13"/>
    <n v="777.65"/>
    <n v="169.54"/>
    <x v="436"/>
    <n v="7.3"/>
    <n v="40.799999999999997"/>
  </r>
  <r>
    <n v="495928981"/>
    <n v="955662"/>
    <n v="8315831"/>
    <n v="9445"/>
    <x v="1"/>
    <n v="57041"/>
    <x v="10"/>
    <x v="108"/>
    <x v="107"/>
    <x v="441"/>
    <x v="442"/>
    <x v="441"/>
    <x v="107"/>
    <s v="GA"/>
    <s v="Augusta"/>
    <s v="GA"/>
    <s v="Augusta"/>
    <x v="1"/>
    <n v="783084"/>
    <s v="101-300"/>
    <n v="211"/>
    <x v="179"/>
    <x v="291"/>
    <n v="216.4"/>
    <n v="308.3"/>
    <x v="1"/>
    <s v="4.22"/>
    <s v="06:00-09:59"/>
    <x v="1"/>
    <x v="0"/>
    <n v="-44"/>
    <n v="0"/>
    <n v="0"/>
    <n v="61.6"/>
    <n v="0"/>
    <n v="0.80300000000000005"/>
    <n v="0.67700000000000005"/>
    <n v="2361.23"/>
    <x v="0"/>
    <n v="1"/>
    <n v="1"/>
    <n v="0"/>
    <n v="1"/>
    <n v="0"/>
    <n v="1"/>
    <n v="0"/>
    <x v="3"/>
    <x v="41"/>
    <n v="247.06"/>
    <n v="54.18"/>
    <x v="437"/>
    <n v="18.100000000000001"/>
    <n v="36.799999999999997"/>
  </r>
  <r>
    <n v="993027458"/>
    <n v="816751"/>
    <n v="3011363"/>
    <n v="9996"/>
    <x v="7"/>
    <n v="52383"/>
    <x v="12"/>
    <x v="212"/>
    <x v="211"/>
    <x v="442"/>
    <x v="443"/>
    <x v="442"/>
    <x v="254"/>
    <s v="NY"/>
    <s v="Syracuse"/>
    <s v="GA"/>
    <s v="Savannah"/>
    <x v="1"/>
    <n v="785561"/>
    <s v="101-300"/>
    <n v="287"/>
    <x v="312"/>
    <x v="107"/>
    <n v="278.2"/>
    <n v="318.39999999999998"/>
    <x v="0"/>
    <s v="8.58"/>
    <s v="18:00-23:59"/>
    <x v="2"/>
    <x v="2"/>
    <n v="132"/>
    <n v="0"/>
    <n v="2.2999999999999998"/>
    <n v="80.2"/>
    <n v="0"/>
    <n v="0.57999999999999996"/>
    <n v="0.64200000000000002"/>
    <n v="77209.100000000006"/>
    <x v="2"/>
    <n v="1"/>
    <n v="0"/>
    <n v="1"/>
    <n v="0"/>
    <n v="1"/>
    <n v="0"/>
    <n v="1"/>
    <x v="9"/>
    <x v="25"/>
    <n v="267.02"/>
    <n v="69.55"/>
    <x v="438"/>
    <n v="13.3"/>
    <n v="37.799999999999997"/>
  </r>
  <r>
    <n v="408246619"/>
    <n v="375504"/>
    <n v="5428914"/>
    <n v="6530"/>
    <x v="7"/>
    <n v="55876"/>
    <x v="6"/>
    <x v="193"/>
    <x v="192"/>
    <x v="443"/>
    <x v="444"/>
    <x v="443"/>
    <x v="52"/>
    <s v="FL"/>
    <s v="Fort Lauderdale"/>
    <s v="CA"/>
    <s v="Fresno"/>
    <x v="2"/>
    <n v="761759"/>
    <s v="301-500"/>
    <n v="428"/>
    <x v="313"/>
    <x v="292"/>
    <n v="426.9"/>
    <n v="521.79999999999995"/>
    <x v="2"/>
    <s v="12.78"/>
    <s v="14:00-17:59"/>
    <x v="6"/>
    <x v="2"/>
    <n v="186"/>
    <n v="0"/>
    <n v="4.2"/>
    <n v="92.5"/>
    <n v="0"/>
    <n v="0.71"/>
    <n v="0.63600000000000001"/>
    <n v="88999.73"/>
    <x v="2"/>
    <n v="1"/>
    <n v="0"/>
    <n v="1"/>
    <n v="0"/>
    <n v="1"/>
    <n v="0"/>
    <n v="1"/>
    <x v="65"/>
    <x v="85"/>
    <n v="331.5"/>
    <n v="105.15"/>
    <x v="439"/>
    <n v="29"/>
    <n v="37.4"/>
  </r>
  <r>
    <n v="182389284"/>
    <n v="245051"/>
    <n v="1739653"/>
    <n v="4763"/>
    <x v="7"/>
    <n v="53540"/>
    <x v="14"/>
    <x v="118"/>
    <x v="117"/>
    <x v="444"/>
    <x v="445"/>
    <x v="444"/>
    <x v="42"/>
    <s v="PA"/>
    <s v="Philadelphia"/>
    <s v="TX"/>
    <s v="San Antonio"/>
    <x v="1"/>
    <n v="734732"/>
    <s v="501-1000"/>
    <n v="868"/>
    <x v="314"/>
    <x v="0"/>
    <n v="875.6"/>
    <n v="942.9"/>
    <x v="0"/>
    <s v="21.79"/>
    <s v="10:00-13:59"/>
    <x v="6"/>
    <x v="0"/>
    <n v="-20"/>
    <n v="0"/>
    <n v="0"/>
    <n v="21.9"/>
    <n v="0"/>
    <n v="0.78600000000000003"/>
    <n v="0.754"/>
    <n v="1978.13"/>
    <x v="0"/>
    <n v="1"/>
    <n v="1"/>
    <n v="0"/>
    <n v="1"/>
    <n v="0"/>
    <n v="1"/>
    <n v="0"/>
    <x v="58"/>
    <x v="38"/>
    <n v="662.5"/>
    <n v="100.54"/>
    <x v="440"/>
    <n v="12.9"/>
    <n v="74.900000000000006"/>
  </r>
  <r>
    <n v="792205349"/>
    <n v="779514"/>
    <n v="5130808"/>
    <n v="3731"/>
    <x v="4"/>
    <n v="54635"/>
    <x v="9"/>
    <x v="47"/>
    <x v="47"/>
    <x v="57"/>
    <x v="446"/>
    <x v="445"/>
    <x v="46"/>
    <s v="PA"/>
    <s v="Harrisburg"/>
    <s v="CO"/>
    <s v="Denver"/>
    <x v="2"/>
    <n v="776304"/>
    <s v="101-300"/>
    <n v="318"/>
    <x v="315"/>
    <x v="293"/>
    <n v="319.60000000000002"/>
    <n v="378.1"/>
    <x v="0"/>
    <s v="6.64"/>
    <s v="10:00-13:59"/>
    <x v="1"/>
    <x v="0"/>
    <n v="-47"/>
    <n v="0"/>
    <n v="0"/>
    <n v="40.4"/>
    <n v="0"/>
    <n v="0.66100000000000003"/>
    <n v="0.57399999999999995"/>
    <n v="4439.62"/>
    <x v="0"/>
    <n v="1"/>
    <n v="1"/>
    <n v="0"/>
    <n v="1"/>
    <n v="0"/>
    <n v="1"/>
    <n v="0"/>
    <x v="3"/>
    <x v="77"/>
    <n v="274.70999999999998"/>
    <n v="45.48"/>
    <x v="441"/>
    <n v="38.9"/>
    <n v="56.3"/>
  </r>
  <r>
    <n v="196955134"/>
    <n v="391704"/>
    <n v="7897151"/>
    <n v="4556"/>
    <x v="1"/>
    <n v="51095"/>
    <x v="6"/>
    <x v="255"/>
    <x v="254"/>
    <x v="445"/>
    <x v="447"/>
    <x v="446"/>
    <x v="255"/>
    <s v="TX"/>
    <s v="Austin"/>
    <s v="TN"/>
    <s v="Knoxville"/>
    <x v="1"/>
    <n v="700860"/>
    <s v="301-500"/>
    <n v="343"/>
    <x v="316"/>
    <x v="276"/>
    <n v="344.8"/>
    <n v="365.5"/>
    <x v="4"/>
    <s v="9.88"/>
    <s v="06:00-09:59"/>
    <x v="4"/>
    <x v="4"/>
    <n v="143"/>
    <n v="229"/>
    <n v="0"/>
    <n v="29.4"/>
    <n v="0"/>
    <n v="0.56499999999999995"/>
    <n v="0.219"/>
    <n v="21927.35"/>
    <x v="1"/>
    <n v="1"/>
    <n v="0"/>
    <n v="1"/>
    <n v="0"/>
    <n v="1"/>
    <n v="0"/>
    <n v="1"/>
    <x v="32"/>
    <x v="1"/>
    <n v="324.44"/>
    <n v="65.37"/>
    <x v="442"/>
    <n v="11.3"/>
    <n v="44.3"/>
  </r>
  <r>
    <n v="760360225"/>
    <n v="198246"/>
    <n v="9626108"/>
    <n v="5555"/>
    <x v="0"/>
    <n v="55901"/>
    <x v="7"/>
    <x v="166"/>
    <x v="165"/>
    <x v="446"/>
    <x v="448"/>
    <x v="447"/>
    <x v="171"/>
    <s v="FL"/>
    <s v="Tampa"/>
    <s v="NC"/>
    <s v="Charlotte"/>
    <x v="1"/>
    <n v="789749"/>
    <s v="101-300"/>
    <n v="239"/>
    <x v="317"/>
    <x v="294"/>
    <n v="235.5"/>
    <n v="264.5"/>
    <x v="1"/>
    <s v="5.19"/>
    <s v="06:00-09:59"/>
    <x v="0"/>
    <x v="0"/>
    <n v="-5"/>
    <n v="0"/>
    <n v="0"/>
    <n v="63.2"/>
    <n v="0"/>
    <n v="0.60499999999999998"/>
    <n v="0.71199999999999997"/>
    <n v="4751.76"/>
    <x v="0"/>
    <n v="1"/>
    <n v="1"/>
    <n v="0"/>
    <n v="1"/>
    <n v="0"/>
    <n v="1"/>
    <n v="0"/>
    <x v="80"/>
    <x v="95"/>
    <n v="235.52"/>
    <n v="34.08"/>
    <x v="443"/>
    <n v="11.5"/>
    <n v="21.1"/>
  </r>
  <r>
    <n v="737888347"/>
    <n v="216739"/>
    <n v="8574680"/>
    <n v="1860"/>
    <x v="4"/>
    <n v="58215"/>
    <x v="7"/>
    <x v="34"/>
    <x v="34"/>
    <x v="447"/>
    <x v="449"/>
    <x v="448"/>
    <x v="33"/>
    <s v="TN"/>
    <s v="Nashville"/>
    <s v="CA"/>
    <s v="Los Angeles"/>
    <x v="2"/>
    <n v="796425"/>
    <s v="101-300"/>
    <n v="203"/>
    <x v="300"/>
    <x v="295"/>
    <n v="197.6"/>
    <n v="253.9"/>
    <x v="1"/>
    <s v="4.15"/>
    <s v="06:00-09:59"/>
    <x v="6"/>
    <x v="0"/>
    <n v="-2"/>
    <n v="0"/>
    <n v="0"/>
    <n v="49.1"/>
    <n v="0"/>
    <n v="0.53400000000000003"/>
    <n v="0.42799999999999999"/>
    <n v="8780.58"/>
    <x v="1"/>
    <n v="1"/>
    <n v="1"/>
    <n v="0"/>
    <n v="1"/>
    <n v="0"/>
    <n v="1"/>
    <n v="0"/>
    <x v="50"/>
    <x v="63"/>
    <n v="177.22"/>
    <n v="30.23"/>
    <x v="444"/>
    <n v="14.3"/>
    <n v="10.199999999999999"/>
  </r>
  <r>
    <n v="644459924"/>
    <n v="352572"/>
    <n v="9580255"/>
    <n v="5499"/>
    <x v="1"/>
    <n v="51079"/>
    <x v="5"/>
    <x v="205"/>
    <x v="204"/>
    <x v="448"/>
    <x v="450"/>
    <x v="449"/>
    <x v="242"/>
    <s v="NY"/>
    <s v="Syracuse"/>
    <s v="CA"/>
    <s v="Los Angeles"/>
    <x v="2"/>
    <n v="763311"/>
    <s v="301-500"/>
    <n v="299"/>
    <x v="312"/>
    <x v="15"/>
    <n v="298.7"/>
    <n v="357.6"/>
    <x v="0"/>
    <s v="5.06"/>
    <s v="06:00-09:59"/>
    <x v="6"/>
    <x v="0"/>
    <n v="-29"/>
    <n v="0"/>
    <n v="0"/>
    <n v="63.8"/>
    <n v="0"/>
    <n v="0.73799999999999999"/>
    <n v="0.72899999999999998"/>
    <n v="4095.22"/>
    <x v="0"/>
    <n v="1"/>
    <n v="1"/>
    <n v="0"/>
    <n v="1"/>
    <n v="0"/>
    <n v="1"/>
    <n v="0"/>
    <x v="55"/>
    <x v="11"/>
    <n v="273.99"/>
    <n v="64.37"/>
    <x v="445"/>
    <n v="12.6"/>
    <n v="63.3"/>
  </r>
  <r>
    <n v="512834919"/>
    <n v="946335"/>
    <n v="1247595"/>
    <n v="6675"/>
    <x v="1"/>
    <n v="58370"/>
    <x v="6"/>
    <x v="256"/>
    <x v="255"/>
    <x v="449"/>
    <x v="451"/>
    <x v="450"/>
    <x v="256"/>
    <s v="NC"/>
    <s v="Greensboro"/>
    <s v="FL"/>
    <s v="Jacksonville"/>
    <x v="1"/>
    <n v="720278"/>
    <s v="101-300"/>
    <n v="108"/>
    <x v="318"/>
    <x v="296"/>
    <n v="101.2"/>
    <n v="142.69999999999999"/>
    <x v="0"/>
    <s v="2.3"/>
    <s v="10:00-13:59"/>
    <x v="1"/>
    <x v="0"/>
    <n v="-22"/>
    <n v="59"/>
    <n v="0"/>
    <n v="40.9"/>
    <n v="0"/>
    <n v="0.84699999999999998"/>
    <n v="0.55900000000000005"/>
    <n v="849.32"/>
    <x v="0"/>
    <n v="1"/>
    <n v="1"/>
    <n v="0"/>
    <n v="1"/>
    <n v="0"/>
    <n v="1"/>
    <n v="0"/>
    <x v="26"/>
    <x v="24"/>
    <n v="106.66"/>
    <n v="23.46"/>
    <x v="446"/>
    <n v="32.6"/>
    <n v="4.7"/>
  </r>
  <r>
    <n v="596832859"/>
    <n v="733052"/>
    <n v="2642635"/>
    <n v="8989"/>
    <x v="1"/>
    <n v="52847"/>
    <x v="10"/>
    <x v="174"/>
    <x v="173"/>
    <x v="450"/>
    <x v="452"/>
    <x v="451"/>
    <x v="180"/>
    <s v="CA"/>
    <s v="Los Angeles"/>
    <s v="NJ"/>
    <s v="Elizabeth"/>
    <x v="3"/>
    <n v="781663"/>
    <s v="301-500"/>
    <n v="317"/>
    <x v="128"/>
    <x v="105"/>
    <n v="316.39999999999998"/>
    <n v="369"/>
    <x v="2"/>
    <s v="5.95"/>
    <s v="14:00-17:59"/>
    <x v="5"/>
    <x v="0"/>
    <n v="-23"/>
    <n v="0"/>
    <n v="0"/>
    <n v="72.599999999999994"/>
    <n v="0"/>
    <n v="0.57599999999999996"/>
    <n v="0.55400000000000005"/>
    <n v="4503.6499999999996"/>
    <x v="0"/>
    <n v="1"/>
    <n v="1"/>
    <n v="0"/>
    <n v="1"/>
    <n v="0"/>
    <n v="1"/>
    <n v="0"/>
    <x v="94"/>
    <x v="28"/>
    <n v="287.08999999999997"/>
    <n v="72.55"/>
    <x v="447"/>
    <n v="11.9"/>
    <n v="20.7"/>
  </r>
  <r>
    <n v="723123952"/>
    <n v="456699"/>
    <n v="1415846"/>
    <n v="1197"/>
    <x v="4"/>
    <n v="51960"/>
    <x v="2"/>
    <x v="257"/>
    <x v="256"/>
    <x v="451"/>
    <x v="453"/>
    <x v="452"/>
    <x v="257"/>
    <s v="GA"/>
    <s v="Savannah"/>
    <s v="IL"/>
    <s v="Rockford"/>
    <x v="0"/>
    <n v="717326"/>
    <s v="101-300"/>
    <n v="244"/>
    <x v="222"/>
    <x v="297"/>
    <n v="249.9"/>
    <n v="286.39999999999998"/>
    <x v="2"/>
    <s v="4.7"/>
    <s v="10:00-13:59"/>
    <x v="0"/>
    <x v="0"/>
    <n v="-49"/>
    <n v="0"/>
    <n v="0"/>
    <n v="44.8"/>
    <n v="0"/>
    <n v="0.67800000000000005"/>
    <n v="0.73299999999999998"/>
    <n v="75408.97"/>
    <x v="2"/>
    <n v="1"/>
    <n v="1"/>
    <n v="0"/>
    <n v="1"/>
    <n v="0"/>
    <n v="1"/>
    <n v="0"/>
    <x v="69"/>
    <x v="22"/>
    <n v="202.15"/>
    <n v="39.619999999999997"/>
    <x v="448"/>
    <n v="15.2"/>
    <n v="30.3"/>
  </r>
  <r>
    <n v="695192667"/>
    <n v="301629"/>
    <n v="8633773"/>
    <n v="7331"/>
    <x v="1"/>
    <n v="51473"/>
    <x v="12"/>
    <x v="258"/>
    <x v="257"/>
    <x v="452"/>
    <x v="454"/>
    <x v="453"/>
    <x v="258"/>
    <s v="IL"/>
    <s v="Aurora"/>
    <s v="TN"/>
    <s v="Nashville"/>
    <x v="1"/>
    <n v="758407"/>
    <s v="101-300"/>
    <n v="226"/>
    <x v="97"/>
    <x v="176"/>
    <n v="218.4"/>
    <n v="256.8"/>
    <x v="3"/>
    <s v="3.92"/>
    <s v="06:00-09:59"/>
    <x v="0"/>
    <x v="0"/>
    <n v="-30"/>
    <n v="0"/>
    <n v="0"/>
    <n v="50.6"/>
    <n v="0"/>
    <n v="0.61"/>
    <n v="0.60799999999999998"/>
    <n v="5856.36"/>
    <x v="0"/>
    <n v="1"/>
    <n v="1"/>
    <n v="0"/>
    <n v="1"/>
    <n v="0"/>
    <n v="1"/>
    <n v="0"/>
    <x v="50"/>
    <x v="75"/>
    <n v="194.88"/>
    <n v="35.840000000000003"/>
    <x v="449"/>
    <n v="63.5"/>
    <n v="18.3"/>
  </r>
  <r>
    <n v="950207886"/>
    <n v="944151"/>
    <n v="6855396"/>
    <n v="8574"/>
    <x v="9"/>
    <n v="54888"/>
    <x v="7"/>
    <x v="259"/>
    <x v="258"/>
    <x v="453"/>
    <x v="455"/>
    <x v="454"/>
    <x v="259"/>
    <s v="TN"/>
    <s v="Nashville"/>
    <s v="NC"/>
    <s v="Charlotte"/>
    <x v="1"/>
    <n v="751684"/>
    <s v="101-300"/>
    <n v="223"/>
    <x v="319"/>
    <x v="158"/>
    <n v="226.9"/>
    <n v="300.10000000000002"/>
    <x v="3"/>
    <s v="6.32"/>
    <s v="14:00-17:59"/>
    <x v="6"/>
    <x v="0"/>
    <n v="0"/>
    <n v="0"/>
    <n v="0"/>
    <n v="37.6"/>
    <n v="0"/>
    <n v="0.66600000000000004"/>
    <n v="0.75800000000000001"/>
    <n v="4633.47"/>
    <x v="0"/>
    <n v="1"/>
    <n v="1"/>
    <n v="0"/>
    <n v="1"/>
    <n v="0"/>
    <n v="1"/>
    <n v="0"/>
    <x v="77"/>
    <x v="89"/>
    <n v="199.15"/>
    <n v="35.43"/>
    <x v="450"/>
    <n v="12.8"/>
    <n v="34"/>
  </r>
  <r>
    <n v="893410426"/>
    <n v="263032"/>
    <n v="4191175"/>
    <n v="6486"/>
    <x v="9"/>
    <n v="54979"/>
    <x v="6"/>
    <x v="248"/>
    <x v="247"/>
    <x v="454"/>
    <x v="456"/>
    <x v="455"/>
    <x v="260"/>
    <s v="MI"/>
    <s v="Detroit"/>
    <s v="PA"/>
    <s v="Harrisburg"/>
    <x v="3"/>
    <n v="763944"/>
    <s v="101-300"/>
    <n v="111"/>
    <x v="205"/>
    <x v="298"/>
    <n v="117"/>
    <n v="140.5"/>
    <x v="4"/>
    <s v="3.54"/>
    <s v="10:00-13:59"/>
    <x v="0"/>
    <x v="0"/>
    <n v="0"/>
    <n v="0"/>
    <n v="0"/>
    <n v="84.5"/>
    <n v="0"/>
    <n v="0.47099999999999997"/>
    <n v="0.92200000000000004"/>
    <n v="4470.99"/>
    <x v="0"/>
    <n v="1"/>
    <n v="1"/>
    <n v="0"/>
    <n v="1"/>
    <n v="0"/>
    <n v="1"/>
    <n v="0"/>
    <x v="75"/>
    <x v="15"/>
    <n v="117.02"/>
    <n v="25.05"/>
    <x v="451"/>
    <n v="13.2"/>
    <n v="19"/>
  </r>
  <r>
    <n v="144047803"/>
    <n v="665492"/>
    <n v="5960271"/>
    <n v="7015"/>
    <x v="1"/>
    <n v="51212"/>
    <x v="9"/>
    <x v="28"/>
    <x v="28"/>
    <x v="455"/>
    <x v="457"/>
    <x v="456"/>
    <x v="28"/>
    <s v="IL"/>
    <s v="Springfield"/>
    <s v="GA"/>
    <s v="Augusta"/>
    <x v="1"/>
    <n v="714749"/>
    <s v="101-300"/>
    <n v="205"/>
    <x v="85"/>
    <x v="82"/>
    <n v="203.4"/>
    <n v="228.9"/>
    <x v="0"/>
    <s v="5.29"/>
    <s v="18:00-23:59"/>
    <x v="4"/>
    <x v="0"/>
    <n v="-9"/>
    <n v="0"/>
    <n v="0"/>
    <n v="25.3"/>
    <n v="0"/>
    <n v="0.65400000000000003"/>
    <n v="0.48899999999999999"/>
    <n v="3568.5"/>
    <x v="0"/>
    <n v="1"/>
    <n v="1"/>
    <n v="0"/>
    <n v="1"/>
    <n v="0"/>
    <n v="1"/>
    <n v="0"/>
    <x v="61"/>
    <x v="4"/>
    <n v="167.31"/>
    <n v="42.36"/>
    <x v="452"/>
    <n v="5.6"/>
    <n v="9.5"/>
  </r>
  <r>
    <n v="582897882"/>
    <n v="217301"/>
    <n v="5453786"/>
    <n v="5548"/>
    <x v="6"/>
    <n v="55697"/>
    <x v="5"/>
    <x v="80"/>
    <x v="80"/>
    <x v="456"/>
    <x v="458"/>
    <x v="457"/>
    <x v="79"/>
    <s v="FL"/>
    <s v="Tampa"/>
    <s v="FL"/>
    <s v="Miami"/>
    <x v="1"/>
    <n v="758654"/>
    <s v="501-1000"/>
    <n v="1007"/>
    <x v="30"/>
    <x v="299"/>
    <n v="1007.2"/>
    <n v="1033"/>
    <x v="3"/>
    <s v="22.14 hrs"/>
    <s v="14:00-17:59"/>
    <x v="5"/>
    <x v="0"/>
    <n v="-77"/>
    <n v="0"/>
    <n v="0"/>
    <n v="46"/>
    <n v="0"/>
    <n v="0.502"/>
    <n v="0.86199999999999999"/>
    <n v="3468.52"/>
    <x v="0"/>
    <n v="1"/>
    <n v="1"/>
    <n v="0"/>
    <n v="1"/>
    <n v="0"/>
    <n v="1"/>
    <n v="0"/>
    <x v="6"/>
    <x v="37"/>
    <n v="808.55"/>
    <n v="120.46"/>
    <x v="453"/>
    <n v="13"/>
    <n v="21.8"/>
  </r>
  <r>
    <n v="969533218"/>
    <n v="972064"/>
    <n v="2818692"/>
    <n v="8158"/>
    <x v="1"/>
    <n v="59001"/>
    <x v="11"/>
    <x v="182"/>
    <x v="181"/>
    <x v="457"/>
    <x v="459"/>
    <x v="458"/>
    <x v="185"/>
    <s v="NC"/>
    <s v="Charlotte"/>
    <s v="NJ"/>
    <s v="Newark"/>
    <x v="3"/>
    <n v="799317"/>
    <s v="101-300"/>
    <n v="190"/>
    <x v="159"/>
    <x v="300"/>
    <n v="187.1"/>
    <n v="198.4"/>
    <x v="2"/>
    <s v="3.0"/>
    <s v="06:00-09:59"/>
    <x v="5"/>
    <x v="0"/>
    <n v="-35"/>
    <n v="0"/>
    <n v="0"/>
    <n v="92.1"/>
    <n v="0"/>
    <n v="0.91100000000000003"/>
    <n v="0.68300000000000005"/>
    <n v="6416.82"/>
    <x v="0"/>
    <n v="1"/>
    <n v="1"/>
    <n v="0"/>
    <n v="1"/>
    <n v="0"/>
    <n v="1"/>
    <n v="0"/>
    <x v="6"/>
    <x v="4"/>
    <n v="158.99"/>
    <n v="25.89"/>
    <x v="454"/>
    <n v="10"/>
    <n v="24.2"/>
  </r>
  <r>
    <n v="713811693"/>
    <n v="816751"/>
    <n v="3011363"/>
    <n v="9996"/>
    <x v="7"/>
    <n v="50419"/>
    <x v="7"/>
    <x v="173"/>
    <x v="172"/>
    <x v="458"/>
    <x v="460"/>
    <x v="459"/>
    <x v="179"/>
    <s v="TN"/>
    <s v="Clarksville"/>
    <s v="CO"/>
    <s v="Denver"/>
    <x v="2"/>
    <n v="795672"/>
    <s v="301-500"/>
    <n v="433"/>
    <x v="320"/>
    <x v="301"/>
    <n v="431.1"/>
    <n v="477.9"/>
    <x v="0"/>
    <s v="10.38"/>
    <s v="10:00-13:59"/>
    <x v="4"/>
    <x v="0"/>
    <n v="-8"/>
    <n v="0"/>
    <n v="0"/>
    <n v="71"/>
    <n v="0"/>
    <n v="0.58299999999999996"/>
    <n v="0.80600000000000005"/>
    <n v="24084.26"/>
    <x v="2"/>
    <n v="1"/>
    <n v="1"/>
    <n v="0"/>
    <n v="1"/>
    <n v="0"/>
    <n v="1"/>
    <n v="0"/>
    <x v="61"/>
    <x v="14"/>
    <n v="416.23"/>
    <n v="56.64"/>
    <x v="455"/>
    <n v="13.3"/>
    <n v="37.799999999999997"/>
  </r>
  <r>
    <n v="799905142"/>
    <n v="854639"/>
    <n v="7417985"/>
    <n v="3811"/>
    <x v="6"/>
    <n v="53659"/>
    <x v="1"/>
    <x v="211"/>
    <x v="210"/>
    <x v="459"/>
    <x v="461"/>
    <x v="460"/>
    <x v="219"/>
    <s v="NJ"/>
    <s v="Newark"/>
    <s v="NC"/>
    <s v="Raleigh"/>
    <x v="1"/>
    <n v="724967"/>
    <s v="101-300"/>
    <n v="272"/>
    <x v="321"/>
    <x v="82"/>
    <n v="276.89999999999998"/>
    <n v="311.89999999999998"/>
    <x v="0"/>
    <s v="5.95"/>
    <s v="14:00-17:59"/>
    <x v="0"/>
    <x v="0"/>
    <n v="20"/>
    <n v="0"/>
    <n v="0"/>
    <n v="32.799999999999997"/>
    <n v="0"/>
    <n v="0.83399999999999996"/>
    <n v="0.746"/>
    <n v="2376.67"/>
    <x v="0"/>
    <n v="1"/>
    <n v="0"/>
    <n v="1"/>
    <n v="0"/>
    <n v="1"/>
    <n v="0"/>
    <n v="1"/>
    <x v="25"/>
    <x v="37"/>
    <n v="201.03"/>
    <n v="59.17"/>
    <x v="456"/>
    <n v="11.8"/>
    <n v="9.8000000000000007"/>
  </r>
  <r>
    <n v="302120588"/>
    <n v="391704"/>
    <n v="7897151"/>
    <n v="4556"/>
    <x v="1"/>
    <n v="55283"/>
    <x v="12"/>
    <x v="217"/>
    <x v="216"/>
    <x v="460"/>
    <x v="462"/>
    <x v="461"/>
    <x v="223"/>
    <s v="GA"/>
    <s v="Atlanta"/>
    <s v="MI"/>
    <s v="Ann Arbor"/>
    <x v="0"/>
    <n v="729109"/>
    <s v="101-300"/>
    <n v="273"/>
    <x v="322"/>
    <x v="81"/>
    <n v="277.3"/>
    <n v="314.60000000000002"/>
    <x v="4"/>
    <s v="5.62"/>
    <s v="00:00-05:59"/>
    <x v="1"/>
    <x v="0"/>
    <n v="-18"/>
    <n v="0"/>
    <n v="0"/>
    <n v="33.700000000000003"/>
    <n v="0"/>
    <n v="0.78600000000000003"/>
    <n v="0.90100000000000002"/>
    <n v="1495.68"/>
    <x v="0"/>
    <n v="1"/>
    <n v="1"/>
    <n v="0"/>
    <n v="1"/>
    <n v="0"/>
    <n v="1"/>
    <n v="0"/>
    <x v="95"/>
    <x v="51"/>
    <n v="240.61"/>
    <n v="39.35"/>
    <x v="457"/>
    <n v="11.3"/>
    <n v="37.700000000000003"/>
  </r>
  <r>
    <n v="445236735"/>
    <n v="770487"/>
    <n v="9683481"/>
    <n v="8270"/>
    <x v="8"/>
    <n v="59470"/>
    <x v="1"/>
    <x v="227"/>
    <x v="226"/>
    <x v="461"/>
    <x v="463"/>
    <x v="462"/>
    <x v="261"/>
    <s v="MI"/>
    <s v="Flint"/>
    <s v="MI"/>
    <s v="Lansing"/>
    <x v="0"/>
    <n v="711807"/>
    <s v="101-300"/>
    <n v="216"/>
    <x v="323"/>
    <x v="279"/>
    <n v="218.4"/>
    <n v="259.7"/>
    <x v="4"/>
    <s v="3.61"/>
    <s v="00:00-05:59"/>
    <x v="4"/>
    <x v="0"/>
    <n v="-16"/>
    <n v="0"/>
    <n v="0"/>
    <n v="57.3"/>
    <n v="0"/>
    <n v="0.435"/>
    <n v="0.30199999999999999"/>
    <n v="52867.25"/>
    <x v="2"/>
    <n v="1"/>
    <n v="1"/>
    <n v="0"/>
    <n v="1"/>
    <n v="0"/>
    <n v="1"/>
    <n v="0"/>
    <x v="77"/>
    <x v="46"/>
    <n v="230.67"/>
    <n v="30.71"/>
    <x v="458"/>
    <n v="20"/>
    <n v="11.6"/>
  </r>
  <r>
    <n v="749620068"/>
    <n v="216739"/>
    <n v="8574680"/>
    <n v="1860"/>
    <x v="4"/>
    <n v="59632"/>
    <x v="5"/>
    <x v="228"/>
    <x v="227"/>
    <x v="462"/>
    <x v="464"/>
    <x v="463"/>
    <x v="166"/>
    <s v="TN"/>
    <s v="Nashville"/>
    <s v="PA"/>
    <s v="Pittsburgh"/>
    <x v="3"/>
    <n v="731760"/>
    <s v="101-300"/>
    <n v="289"/>
    <x v="278"/>
    <x v="302"/>
    <n v="292.60000000000002"/>
    <n v="313.3"/>
    <x v="1"/>
    <s v="8.18"/>
    <s v="06:00-09:59"/>
    <x v="0"/>
    <x v="3"/>
    <n v="90"/>
    <n v="0"/>
    <n v="0"/>
    <n v="92.3"/>
    <n v="0"/>
    <n v="0.56699999999999995"/>
    <n v="0.81100000000000005"/>
    <n v="13417.92"/>
    <x v="1"/>
    <n v="1"/>
    <n v="0"/>
    <n v="1"/>
    <n v="0"/>
    <n v="1"/>
    <n v="0"/>
    <n v="1"/>
    <x v="9"/>
    <x v="8"/>
    <n v="225.24"/>
    <n v="33.96"/>
    <x v="459"/>
    <n v="14.3"/>
    <n v="4.0999999999999996"/>
  </r>
  <r>
    <n v="610702777"/>
    <n v="358607"/>
    <n v="5727085"/>
    <n v="6864"/>
    <x v="1"/>
    <n v="51340"/>
    <x v="12"/>
    <x v="43"/>
    <x v="43"/>
    <x v="463"/>
    <x v="465"/>
    <x v="464"/>
    <x v="42"/>
    <s v="OH"/>
    <s v="Cincinnati"/>
    <s v="WA"/>
    <s v="Tacoma"/>
    <x v="2"/>
    <n v="772569"/>
    <s v="101-300"/>
    <n v="189"/>
    <x v="248"/>
    <x v="233"/>
    <n v="190.2"/>
    <n v="225.7"/>
    <x v="0"/>
    <s v="7.41"/>
    <s v="06:00-09:59"/>
    <x v="1"/>
    <x v="4"/>
    <n v="69"/>
    <n v="161"/>
    <n v="0"/>
    <n v="69.400000000000006"/>
    <n v="0"/>
    <n v="0.76400000000000001"/>
    <n v="0.64600000000000002"/>
    <n v="11470.92"/>
    <x v="1"/>
    <n v="1"/>
    <n v="0"/>
    <n v="1"/>
    <n v="0"/>
    <n v="1"/>
    <n v="0"/>
    <n v="1"/>
    <x v="96"/>
    <x v="4"/>
    <n v="170.03"/>
    <n v="45.08"/>
    <x v="460"/>
    <n v="7.3"/>
    <n v="31.8"/>
  </r>
  <r>
    <n v="638339044"/>
    <n v="356702"/>
    <n v="4426900"/>
    <n v="1502"/>
    <x v="1"/>
    <n v="55137"/>
    <x v="7"/>
    <x v="223"/>
    <x v="222"/>
    <x v="464"/>
    <x v="466"/>
    <x v="465"/>
    <x v="229"/>
    <s v="MO"/>
    <s v="Columbia"/>
    <s v="OH"/>
    <s v="Cincinnati"/>
    <x v="0"/>
    <n v="762371"/>
    <s v="101-300"/>
    <n v="296"/>
    <x v="324"/>
    <x v="303"/>
    <n v="288.60000000000002"/>
    <n v="337.1"/>
    <x v="0"/>
    <s v="7.98"/>
    <s v="10:00-13:59"/>
    <x v="5"/>
    <x v="4"/>
    <n v="185"/>
    <n v="137"/>
    <n v="0"/>
    <n v="22.6"/>
    <n v="0"/>
    <n v="0.63900000000000001"/>
    <n v="0.63100000000000001"/>
    <n v="21403.279999999999"/>
    <x v="1"/>
    <n v="1"/>
    <n v="0"/>
    <n v="1"/>
    <n v="0"/>
    <n v="1"/>
    <n v="0"/>
    <n v="1"/>
    <x v="17"/>
    <x v="13"/>
    <n v="217.61"/>
    <n v="38.729999999999997"/>
    <x v="461"/>
    <n v="47.2"/>
    <n v="9"/>
  </r>
  <r>
    <n v="261985842"/>
    <n v="380746"/>
    <n v="7199635"/>
    <n v="2678"/>
    <x v="1"/>
    <n v="55189"/>
    <x v="5"/>
    <x v="45"/>
    <x v="45"/>
    <x v="465"/>
    <x v="467"/>
    <x v="466"/>
    <x v="44"/>
    <s v="NC"/>
    <s v="Raleigh"/>
    <s v="CA"/>
    <s v="Los Angeles"/>
    <x v="2"/>
    <n v="778944"/>
    <s v="101-300"/>
    <n v="156"/>
    <x v="309"/>
    <x v="141"/>
    <n v="162.4"/>
    <n v="224"/>
    <x v="1"/>
    <s v="1.9"/>
    <s v="10:00-13:59"/>
    <x v="2"/>
    <x v="0"/>
    <n v="-51"/>
    <n v="0"/>
    <n v="0"/>
    <n v="71.7"/>
    <n v="0"/>
    <n v="0.69299999999999995"/>
    <n v="0.28299999999999997"/>
    <n v="16889.41"/>
    <x v="1"/>
    <n v="1"/>
    <n v="1"/>
    <n v="0"/>
    <n v="1"/>
    <n v="0"/>
    <n v="1"/>
    <n v="0"/>
    <x v="32"/>
    <x v="9"/>
    <n v="189.33"/>
    <n v="23.2"/>
    <x v="462"/>
    <n v="22.1"/>
    <n v="77.7"/>
  </r>
  <r>
    <n v="166436383"/>
    <n v="770487"/>
    <n v="9683481"/>
    <n v="8270"/>
    <x v="8"/>
    <n v="51361"/>
    <x v="14"/>
    <x v="138"/>
    <x v="138"/>
    <x v="466"/>
    <x v="468"/>
    <x v="467"/>
    <x v="142"/>
    <s v="MO"/>
    <s v="Kansas City"/>
    <s v="MO"/>
    <s v="Independence"/>
    <x v="0"/>
    <n v="774798"/>
    <s v="0-100"/>
    <n v="45"/>
    <x v="325"/>
    <x v="46"/>
    <n v="39.6"/>
    <n v="69.099999999999994"/>
    <x v="4"/>
    <s v="1.17"/>
    <s v="06:00-09:59"/>
    <x v="5"/>
    <x v="0"/>
    <n v="-20"/>
    <n v="0"/>
    <n v="0"/>
    <n v="31.8"/>
    <n v="0"/>
    <n v="0.80200000000000005"/>
    <n v="0.56799999999999995"/>
    <n v="4585.83"/>
    <x v="0"/>
    <n v="1"/>
    <n v="1"/>
    <n v="0"/>
    <n v="1"/>
    <n v="0"/>
    <n v="1"/>
    <n v="0"/>
    <x v="53"/>
    <x v="82"/>
    <n v="44.6"/>
    <n v="7.44"/>
    <x v="463"/>
    <n v="20"/>
    <n v="12.6"/>
  </r>
  <r>
    <n v="583745511"/>
    <n v="779514"/>
    <n v="5130808"/>
    <n v="3731"/>
    <x v="4"/>
    <n v="50591"/>
    <x v="7"/>
    <x v="159"/>
    <x v="159"/>
    <x v="347"/>
    <x v="469"/>
    <x v="468"/>
    <x v="163"/>
    <s v="WA"/>
    <s v="Vancouver"/>
    <s v="IL"/>
    <s v="Chicago"/>
    <x v="0"/>
    <n v="744993"/>
    <s v="101-300"/>
    <n v="116"/>
    <x v="301"/>
    <x v="113"/>
    <n v="115.4"/>
    <n v="172.7"/>
    <x v="0"/>
    <s v="3.06"/>
    <s v="14:00-17:59"/>
    <x v="3"/>
    <x v="0"/>
    <n v="-16"/>
    <n v="0"/>
    <n v="0"/>
    <n v="72"/>
    <n v="0"/>
    <n v="0.57399999999999995"/>
    <n v="0.89300000000000002"/>
    <n v="17876.68"/>
    <x v="1"/>
    <n v="1"/>
    <n v="1"/>
    <n v="0"/>
    <n v="1"/>
    <n v="0"/>
    <n v="1"/>
    <n v="0"/>
    <x v="76"/>
    <x v="10"/>
    <n v="139.76"/>
    <n v="24.87"/>
    <x v="464"/>
    <n v="38.9"/>
    <n v="44.5"/>
  </r>
  <r>
    <n v="211134294"/>
    <n v="220116"/>
    <n v="6933742"/>
    <n v="5218"/>
    <x v="0"/>
    <n v="50526"/>
    <x v="8"/>
    <x v="218"/>
    <x v="217"/>
    <x v="467"/>
    <x v="470"/>
    <x v="469"/>
    <x v="262"/>
    <s v="IL"/>
    <s v="Peoria"/>
    <s v="TX"/>
    <s v="Houston"/>
    <x v="1"/>
    <n v="718526"/>
    <s v="0-100"/>
    <n v="91"/>
    <x v="326"/>
    <x v="37"/>
    <n v="96.1"/>
    <n v="157.69999999999999"/>
    <x v="0"/>
    <s v="1.75"/>
    <s v="10:00-13:59"/>
    <x v="6"/>
    <x v="0"/>
    <n v="-17"/>
    <n v="0"/>
    <n v="0"/>
    <n v="18.899999999999999"/>
    <n v="0"/>
    <n v="0.751"/>
    <n v="0.57799999999999996"/>
    <n v="5475.98"/>
    <x v="0"/>
    <n v="1"/>
    <n v="1"/>
    <n v="0"/>
    <n v="1"/>
    <n v="0"/>
    <n v="1"/>
    <n v="0"/>
    <x v="69"/>
    <x v="96"/>
    <n v="115.48"/>
    <n v="27.06"/>
    <x v="465"/>
    <n v="31.9"/>
    <n v="48.8"/>
  </r>
  <r>
    <n v="970768982"/>
    <n v="660086"/>
    <n v="6307805"/>
    <n v="2028"/>
    <x v="6"/>
    <n v="57855"/>
    <x v="1"/>
    <x v="174"/>
    <x v="173"/>
    <x v="468"/>
    <x v="471"/>
    <x v="470"/>
    <x v="180"/>
    <s v="MO"/>
    <s v="Columbia"/>
    <s v="MO"/>
    <s v="Kansas City"/>
    <x v="0"/>
    <n v="774798"/>
    <s v="0-100"/>
    <n v="57"/>
    <x v="55"/>
    <x v="55"/>
    <n v="48.6"/>
    <n v="65.3"/>
    <x v="2"/>
    <s v="0.72"/>
    <s v="06:00-09:59"/>
    <x v="5"/>
    <x v="0"/>
    <n v="-47"/>
    <n v="0"/>
    <n v="0"/>
    <n v="27.9"/>
    <n v="0"/>
    <n v="0.85"/>
    <n v="0.63600000000000001"/>
    <n v="6801.45"/>
    <x v="0"/>
    <n v="1"/>
    <n v="1"/>
    <n v="0"/>
    <n v="1"/>
    <n v="0"/>
    <n v="1"/>
    <n v="0"/>
    <x v="12"/>
    <x v="22"/>
    <n v="47.11"/>
    <n v="9.65"/>
    <x v="466"/>
    <n v="15.8"/>
    <n v="12.5"/>
  </r>
  <r>
    <n v="999126903"/>
    <n v="379786"/>
    <n v="3726327"/>
    <n v="9004"/>
    <x v="5"/>
    <n v="51292"/>
    <x v="10"/>
    <x v="221"/>
    <x v="220"/>
    <x v="469"/>
    <x v="472"/>
    <x v="471"/>
    <x v="28"/>
    <s v="PA"/>
    <s v="Erie"/>
    <s v="NY"/>
    <s v="Rochester"/>
    <x v="3"/>
    <n v="775399"/>
    <s v="501-1000"/>
    <n v="610"/>
    <x v="327"/>
    <x v="136"/>
    <n v="613.70000000000005"/>
    <n v="669.2"/>
    <x v="0"/>
    <s v="13.37"/>
    <s v="00:00-05:59"/>
    <x v="5"/>
    <x v="0"/>
    <n v="-34"/>
    <n v="0"/>
    <n v="0"/>
    <n v="91"/>
    <n v="0"/>
    <n v="0.72499999999999998"/>
    <n v="0.27"/>
    <n v="884.27"/>
    <x v="0"/>
    <n v="1"/>
    <n v="1"/>
    <n v="0"/>
    <n v="1"/>
    <n v="0"/>
    <n v="1"/>
    <n v="0"/>
    <x v="12"/>
    <x v="14"/>
    <n v="532.45000000000005"/>
    <n v="103.49"/>
    <x v="467"/>
    <n v="55.8"/>
    <n v="47.2"/>
  </r>
  <r>
    <n v="468763500"/>
    <n v="946335"/>
    <n v="1247595"/>
    <n v="6675"/>
    <x v="1"/>
    <n v="51654"/>
    <x v="6"/>
    <x v="260"/>
    <x v="259"/>
    <x v="470"/>
    <x v="473"/>
    <x v="472"/>
    <x v="263"/>
    <s v="GA"/>
    <s v="Augusta"/>
    <s v="TX"/>
    <s v="Dallas"/>
    <x v="1"/>
    <n v="745157"/>
    <s v="101-300"/>
    <n v="154"/>
    <x v="270"/>
    <x v="67"/>
    <n v="146.80000000000001"/>
    <n v="177.6"/>
    <x v="0"/>
    <s v="4.19"/>
    <s v="00:00-05:59"/>
    <x v="6"/>
    <x v="0"/>
    <n v="-3"/>
    <n v="0"/>
    <n v="0"/>
    <n v="80"/>
    <n v="0"/>
    <n v="0.72199999999999998"/>
    <n v="0.72699999999999998"/>
    <n v="10182.33"/>
    <x v="1"/>
    <n v="1"/>
    <n v="1"/>
    <n v="0"/>
    <n v="1"/>
    <n v="0"/>
    <n v="1"/>
    <n v="0"/>
    <x v="97"/>
    <x v="59"/>
    <n v="140.36000000000001"/>
    <n v="37.35"/>
    <x v="468"/>
    <n v="32.6"/>
    <n v="6.4"/>
  </r>
  <r>
    <n v="866990485"/>
    <n v="260263"/>
    <n v="5674183"/>
    <n v="5736"/>
    <x v="7"/>
    <n v="50187"/>
    <x v="8"/>
    <x v="24"/>
    <x v="24"/>
    <x v="24"/>
    <x v="474"/>
    <x v="473"/>
    <x v="24"/>
    <s v="CO"/>
    <s v="Fort Collins"/>
    <s v="CO"/>
    <s v="Aurora"/>
    <x v="2"/>
    <n v="705397"/>
    <s v="301-500"/>
    <n v="497"/>
    <x v="105"/>
    <x v="152"/>
    <n v="500.6"/>
    <n v="560.29999999999995"/>
    <x v="2"/>
    <s v="11.64"/>
    <s v="10:00-13:59"/>
    <x v="1"/>
    <x v="0"/>
    <n v="-16"/>
    <n v="0"/>
    <n v="0"/>
    <n v="49.8"/>
    <n v="0"/>
    <n v="0.503"/>
    <n v="0.309"/>
    <n v="120828.21"/>
    <x v="2"/>
    <n v="1"/>
    <n v="1"/>
    <n v="0"/>
    <n v="1"/>
    <n v="0"/>
    <n v="1"/>
    <n v="0"/>
    <x v="8"/>
    <x v="0"/>
    <n v="415.54"/>
    <n v="107.06"/>
    <x v="469"/>
    <n v="30.8"/>
    <n v="36.200000000000003"/>
  </r>
  <r>
    <n v="190547712"/>
    <n v="358607"/>
    <n v="5727085"/>
    <n v="6864"/>
    <x v="1"/>
    <n v="52758"/>
    <x v="14"/>
    <x v="261"/>
    <x v="260"/>
    <x v="471"/>
    <x v="475"/>
    <x v="474"/>
    <x v="264"/>
    <s v="TN"/>
    <s v="Nashville"/>
    <s v="NC"/>
    <s v="Greensboro"/>
    <x v="1"/>
    <n v="751684"/>
    <s v="101-300"/>
    <n v="284"/>
    <x v="5"/>
    <x v="304"/>
    <n v="291.2"/>
    <n v="303.8"/>
    <x v="0"/>
    <s v="6.4"/>
    <s v="06:00-09:59"/>
    <x v="4"/>
    <x v="0"/>
    <n v="-33"/>
    <n v="0"/>
    <n v="0"/>
    <n v="42.1"/>
    <n v="0"/>
    <n v="0.59499999999999997"/>
    <n v="0.76600000000000001"/>
    <n v="16433.990000000002"/>
    <x v="1"/>
    <n v="1"/>
    <n v="1"/>
    <n v="0"/>
    <n v="1"/>
    <n v="0"/>
    <n v="1"/>
    <n v="0"/>
    <x v="67"/>
    <x v="17"/>
    <n v="213.72"/>
    <n v="42.81"/>
    <x v="470"/>
    <n v="7.3"/>
    <n v="46.6"/>
  </r>
  <r>
    <n v="641755366"/>
    <n v="733052"/>
    <n v="2642635"/>
    <n v="8989"/>
    <x v="1"/>
    <n v="58720"/>
    <x v="2"/>
    <x v="210"/>
    <x v="209"/>
    <x v="472"/>
    <x v="476"/>
    <x v="475"/>
    <x v="208"/>
    <s v="MO"/>
    <s v="Independence"/>
    <s v="TX"/>
    <s v="Houston"/>
    <x v="1"/>
    <n v="741853"/>
    <s v="501-1000"/>
    <n v="795"/>
    <x v="30"/>
    <x v="90"/>
    <n v="790.6"/>
    <n v="831.7"/>
    <x v="2"/>
    <s v="17.42"/>
    <s v="10:00-13:59"/>
    <x v="5"/>
    <x v="4"/>
    <n v="85"/>
    <n v="145"/>
    <n v="0"/>
    <n v="47.7"/>
    <n v="0"/>
    <n v="0.752"/>
    <n v="0.56899999999999995"/>
    <n v="2183.17"/>
    <x v="0"/>
    <n v="1"/>
    <n v="0"/>
    <n v="1"/>
    <n v="0"/>
    <n v="1"/>
    <n v="0"/>
    <n v="1"/>
    <x v="98"/>
    <x v="97"/>
    <n v="642.45000000000005"/>
    <n v="98.57"/>
    <x v="471"/>
    <n v="11.9"/>
    <n v="28.4"/>
  </r>
  <r>
    <n v="793773681"/>
    <n v="946335"/>
    <n v="1247595"/>
    <n v="6675"/>
    <x v="1"/>
    <n v="58625"/>
    <x v="7"/>
    <x v="166"/>
    <x v="165"/>
    <x v="473"/>
    <x v="477"/>
    <x v="476"/>
    <x v="265"/>
    <s v="NJ"/>
    <s v="Jersey City"/>
    <s v="NJ"/>
    <s v="Newark"/>
    <x v="3"/>
    <n v="748114"/>
    <s v="101-300"/>
    <n v="237"/>
    <x v="220"/>
    <x v="305"/>
    <n v="231.8"/>
    <n v="308.3"/>
    <x v="0"/>
    <s v="8.24"/>
    <s v="14:00-17:59"/>
    <x v="0"/>
    <x v="4"/>
    <n v="216"/>
    <n v="236"/>
    <n v="0"/>
    <n v="67.5"/>
    <n v="0"/>
    <n v="0.73899999999999999"/>
    <n v="0.39"/>
    <n v="3226.52"/>
    <x v="0"/>
    <n v="1"/>
    <n v="0"/>
    <n v="1"/>
    <n v="0"/>
    <n v="1"/>
    <n v="0"/>
    <n v="1"/>
    <x v="48"/>
    <x v="25"/>
    <n v="215.85"/>
    <n v="58.55"/>
    <x v="472"/>
    <n v="32.6"/>
    <n v="8.1999999999999993"/>
  </r>
  <r>
    <n v="285283722"/>
    <n v="245051"/>
    <n v="1739653"/>
    <n v="4763"/>
    <x v="7"/>
    <n v="56431"/>
    <x v="12"/>
    <x v="108"/>
    <x v="107"/>
    <x v="474"/>
    <x v="478"/>
    <x v="477"/>
    <x v="107"/>
    <s v="MI"/>
    <s v="Lansing"/>
    <s v="IL"/>
    <s v="Rockford"/>
    <x v="0"/>
    <n v="748997"/>
    <s v="301-500"/>
    <n v="399"/>
    <x v="217"/>
    <x v="13"/>
    <n v="399.5"/>
    <n v="472.6"/>
    <x v="0"/>
    <s v="8.36"/>
    <s v="10:00-13:59"/>
    <x v="1"/>
    <x v="0"/>
    <n v="-17"/>
    <n v="0"/>
    <n v="0"/>
    <n v="57.1"/>
    <n v="0"/>
    <n v="0.64600000000000002"/>
    <n v="0.82599999999999996"/>
    <n v="21693.35"/>
    <x v="1"/>
    <n v="1"/>
    <n v="1"/>
    <n v="0"/>
    <n v="1"/>
    <n v="0"/>
    <n v="1"/>
    <n v="0"/>
    <x v="99"/>
    <x v="95"/>
    <n v="307.56"/>
    <n v="79.790000000000006"/>
    <x v="473"/>
    <n v="12.9"/>
    <n v="65.099999999999994"/>
  </r>
  <r>
    <n v="142028540"/>
    <n v="728038"/>
    <n v="1463060"/>
    <n v="7287"/>
    <x v="0"/>
    <n v="56037"/>
    <x v="1"/>
    <x v="29"/>
    <x v="29"/>
    <x v="475"/>
    <x v="479"/>
    <x v="478"/>
    <x v="29"/>
    <s v="NY"/>
    <s v="New York"/>
    <s v="MO"/>
    <s v="Columbia"/>
    <x v="0"/>
    <n v="737707"/>
    <s v="101-300"/>
    <n v="189"/>
    <x v="60"/>
    <x v="70"/>
    <n v="183.6"/>
    <n v="227.2"/>
    <x v="0"/>
    <s v="2.8"/>
    <s v="06:00-09:59"/>
    <x v="2"/>
    <x v="0"/>
    <n v="-43"/>
    <n v="0"/>
    <n v="0"/>
    <n v="42.7"/>
    <n v="0"/>
    <n v="0.77700000000000002"/>
    <n v="0.64600000000000002"/>
    <n v="21885.41"/>
    <x v="1"/>
    <n v="1"/>
    <n v="1"/>
    <n v="0"/>
    <n v="1"/>
    <n v="0"/>
    <n v="1"/>
    <n v="0"/>
    <x v="17"/>
    <x v="6"/>
    <n v="195.33"/>
    <n v="48.95"/>
    <x v="474"/>
    <n v="13.6"/>
    <n v="36.799999999999997"/>
  </r>
  <r>
    <n v="366012797"/>
    <n v="816751"/>
    <n v="3011363"/>
    <n v="9996"/>
    <x v="7"/>
    <n v="59996"/>
    <x v="3"/>
    <x v="237"/>
    <x v="236"/>
    <x v="476"/>
    <x v="480"/>
    <x v="479"/>
    <x v="266"/>
    <s v="NC"/>
    <s v="Raleigh"/>
    <s v="NC"/>
    <s v="Greensboro"/>
    <x v="1"/>
    <n v="752322"/>
    <s v="501-1000"/>
    <n v="1001"/>
    <x v="328"/>
    <x v="293"/>
    <n v="987.9"/>
    <n v="1043.3"/>
    <x v="0"/>
    <s v="18.73"/>
    <s v="10:00-13:59"/>
    <x v="5"/>
    <x v="0"/>
    <n v="-22"/>
    <n v="0"/>
    <n v="0"/>
    <n v="13.2"/>
    <n v="0"/>
    <n v="0.312"/>
    <n v="0.629"/>
    <n v="3048.72"/>
    <x v="0"/>
    <n v="1"/>
    <n v="1"/>
    <n v="0"/>
    <n v="1"/>
    <n v="0"/>
    <n v="1"/>
    <n v="0"/>
    <x v="62"/>
    <x v="49"/>
    <n v="866.66"/>
    <n v="218.06"/>
    <x v="475"/>
    <n v="13.3"/>
    <n v="27.2"/>
  </r>
  <r>
    <n v="859803019"/>
    <n v="581741"/>
    <n v="3790237"/>
    <n v="1995"/>
    <x v="5"/>
    <n v="58494"/>
    <x v="10"/>
    <x v="206"/>
    <x v="205"/>
    <x v="477"/>
    <x v="481"/>
    <x v="480"/>
    <x v="233"/>
    <s v="NJ"/>
    <s v="Paterson"/>
    <s v="NJ"/>
    <s v="Newark"/>
    <x v="3"/>
    <n v="748114"/>
    <s v="301-500"/>
    <n v="318"/>
    <x v="329"/>
    <x v="301"/>
    <n v="317.8"/>
    <n v="355.2"/>
    <x v="2"/>
    <s v="6.75"/>
    <s v="10:00-13:59"/>
    <x v="2"/>
    <x v="0"/>
    <n v="-36"/>
    <n v="0"/>
    <n v="0"/>
    <n v="50.2"/>
    <n v="0"/>
    <n v="0.57199999999999995"/>
    <n v="0.74"/>
    <n v="7374.31"/>
    <x v="0"/>
    <n v="1"/>
    <n v="1"/>
    <n v="0"/>
    <n v="1"/>
    <n v="0"/>
    <n v="1"/>
    <n v="0"/>
    <x v="56"/>
    <x v="60"/>
    <n v="229.21"/>
    <n v="59.54"/>
    <x v="476"/>
    <n v="17.5"/>
    <n v="32.9"/>
  </r>
  <r>
    <n v="570039364"/>
    <n v="972064"/>
    <n v="2818692"/>
    <n v="8158"/>
    <x v="1"/>
    <n v="54182"/>
    <x v="6"/>
    <x v="262"/>
    <x v="261"/>
    <x v="478"/>
    <x v="482"/>
    <x v="481"/>
    <x v="267"/>
    <s v="GA"/>
    <s v="Augusta"/>
    <s v="FL"/>
    <s v="Orlando"/>
    <x v="1"/>
    <n v="791104"/>
    <s v="301-500"/>
    <n v="386"/>
    <x v="234"/>
    <x v="257"/>
    <n v="388"/>
    <n v="418.5"/>
    <x v="2"/>
    <s v="9.18"/>
    <s v="18:00-23:59"/>
    <x v="5"/>
    <x v="0"/>
    <n v="-11"/>
    <n v="0"/>
    <n v="0"/>
    <n v="20"/>
    <n v="0"/>
    <n v="0.80500000000000005"/>
    <n v="0.84099999999999997"/>
    <n v="16991.53"/>
    <x v="1"/>
    <n v="1"/>
    <n v="1"/>
    <n v="0"/>
    <n v="1"/>
    <n v="0"/>
    <n v="1"/>
    <n v="0"/>
    <x v="70"/>
    <x v="50"/>
    <n v="279.89"/>
    <n v="45.36"/>
    <x v="477"/>
    <n v="10"/>
    <n v="21.3"/>
  </r>
  <r>
    <n v="571825556"/>
    <n v="503457"/>
    <n v="8210624"/>
    <n v="8392"/>
    <x v="9"/>
    <n v="56973"/>
    <x v="6"/>
    <x v="46"/>
    <x v="46"/>
    <x v="479"/>
    <x v="483"/>
    <x v="482"/>
    <x v="176"/>
    <s v="OH"/>
    <s v="Dayton"/>
    <s v="FL"/>
    <s v="Jacksonville"/>
    <x v="1"/>
    <n v="791587"/>
    <s v="0-100"/>
    <n v="51"/>
    <x v="76"/>
    <x v="306"/>
    <n v="49"/>
    <n v="77.3"/>
    <x v="0"/>
    <s v="1.67"/>
    <s v="14:00-17:59"/>
    <x v="0"/>
    <x v="0"/>
    <n v="10"/>
    <n v="0"/>
    <n v="0.9"/>
    <n v="61.8"/>
    <n v="0"/>
    <n v="0.76800000000000002"/>
    <n v="0.57199999999999995"/>
    <n v="3449.03"/>
    <x v="0"/>
    <n v="1"/>
    <n v="1"/>
    <n v="0"/>
    <n v="1"/>
    <n v="0"/>
    <n v="1"/>
    <n v="0"/>
    <x v="17"/>
    <x v="1"/>
    <n v="50.25"/>
    <n v="8.02"/>
    <x v="478"/>
    <n v="6.5"/>
    <n v="52.2"/>
  </r>
  <r>
    <n v="662714327"/>
    <n v="864544"/>
    <n v="5374922"/>
    <n v="8385"/>
    <x v="1"/>
    <n v="50437"/>
    <x v="11"/>
    <x v="48"/>
    <x v="48"/>
    <x v="480"/>
    <x v="484"/>
    <x v="483"/>
    <x v="47"/>
    <s v="IL"/>
    <s v="Rockford"/>
    <s v="OH"/>
    <s v="Toledo"/>
    <x v="0"/>
    <n v="791457"/>
    <s v="101-300"/>
    <n v="212"/>
    <x v="330"/>
    <x v="256"/>
    <n v="212.7"/>
    <n v="243.6"/>
    <x v="0"/>
    <s v="6.08"/>
    <s v="10:00-13:59"/>
    <x v="6"/>
    <x v="3"/>
    <n v="46"/>
    <n v="0"/>
    <n v="0"/>
    <n v="73"/>
    <n v="0"/>
    <n v="0.69199999999999995"/>
    <n v="0.68600000000000005"/>
    <n v="12591.08"/>
    <x v="1"/>
    <n v="1"/>
    <n v="0"/>
    <n v="1"/>
    <n v="0"/>
    <n v="1"/>
    <n v="0"/>
    <n v="1"/>
    <x v="10"/>
    <x v="52"/>
    <n v="208.82"/>
    <n v="48.84"/>
    <x v="479"/>
    <n v="24.5"/>
    <n v="60"/>
  </r>
  <r>
    <n v="661296425"/>
    <n v="905635"/>
    <n v="2677407"/>
    <n v="3790"/>
    <x v="4"/>
    <n v="50832"/>
    <x v="6"/>
    <x v="88"/>
    <x v="88"/>
    <x v="481"/>
    <x v="485"/>
    <x v="484"/>
    <x v="87"/>
    <s v="NC"/>
    <s v="Raleigh"/>
    <s v="NC"/>
    <s v="Raleigh"/>
    <x v="1"/>
    <n v="752322"/>
    <s v="101-300"/>
    <n v="203"/>
    <x v="331"/>
    <x v="81"/>
    <n v="209.3"/>
    <n v="260.5"/>
    <x v="0"/>
    <s v="3.16"/>
    <s v="10:00-13:59"/>
    <x v="1"/>
    <x v="0"/>
    <n v="-15"/>
    <n v="0"/>
    <n v="0"/>
    <n v="46"/>
    <n v="0"/>
    <n v="0.74199999999999999"/>
    <n v="0.71699999999999997"/>
    <n v="20274.080000000002"/>
    <x v="1"/>
    <n v="1"/>
    <n v="1"/>
    <n v="0"/>
    <n v="1"/>
    <n v="0"/>
    <n v="1"/>
    <n v="0"/>
    <x v="100"/>
    <x v="19"/>
    <n v="221.91"/>
    <n v="47.87"/>
    <x v="480"/>
    <n v="27.7"/>
    <n v="15.6"/>
  </r>
  <r>
    <n v="754773573"/>
    <n v="988662"/>
    <n v="2264748"/>
    <n v="2021"/>
    <x v="0"/>
    <n v="58988"/>
    <x v="11"/>
    <x v="160"/>
    <x v="160"/>
    <x v="482"/>
    <x v="486"/>
    <x v="485"/>
    <x v="164"/>
    <s v="PA"/>
    <s v="Philadelphia"/>
    <s v="AZ"/>
    <s v="Phoenix"/>
    <x v="2"/>
    <n v="787590"/>
    <s v="101-300"/>
    <n v="216"/>
    <x v="332"/>
    <x v="260"/>
    <n v="213.9"/>
    <n v="275.39999999999998"/>
    <x v="2"/>
    <s v="6.24"/>
    <s v="10:00-13:59"/>
    <x v="0"/>
    <x v="0"/>
    <n v="-15"/>
    <n v="0"/>
    <n v="0"/>
    <n v="43.5"/>
    <n v="0"/>
    <n v="0.63500000000000001"/>
    <n v="0.45500000000000002"/>
    <n v="6046.79"/>
    <x v="0"/>
    <n v="1"/>
    <n v="1"/>
    <n v="0"/>
    <n v="1"/>
    <n v="0"/>
    <n v="1"/>
    <n v="0"/>
    <x v="1"/>
    <x v="16"/>
    <n v="204.46"/>
    <n v="46.05"/>
    <x v="481"/>
    <n v="3.2"/>
    <n v="52.4"/>
  </r>
  <r>
    <n v="270452446"/>
    <n v="245051"/>
    <n v="1739653"/>
    <n v="4763"/>
    <x v="7"/>
    <n v="58751"/>
    <x v="6"/>
    <x v="240"/>
    <x v="239"/>
    <x v="483"/>
    <x v="487"/>
    <x v="486"/>
    <x v="86"/>
    <s v="AZ"/>
    <s v="Phoenix"/>
    <s v="AZ"/>
    <s v="Tucson"/>
    <x v="2"/>
    <n v="742558"/>
    <s v="301-500"/>
    <n v="322"/>
    <x v="191"/>
    <x v="231"/>
    <n v="320.60000000000002"/>
    <n v="350.7"/>
    <x v="0"/>
    <s v="4.63"/>
    <s v="18:00-23:59"/>
    <x v="1"/>
    <x v="0"/>
    <n v="-65"/>
    <n v="0"/>
    <n v="0"/>
    <n v="83.4"/>
    <n v="0"/>
    <n v="0.311"/>
    <n v="0.40500000000000003"/>
    <n v="2535.75"/>
    <x v="0"/>
    <n v="1"/>
    <n v="1"/>
    <n v="0"/>
    <n v="1"/>
    <n v="0"/>
    <n v="1"/>
    <n v="0"/>
    <x v="101"/>
    <x v="21"/>
    <n v="303.85000000000002"/>
    <n v="64.06"/>
    <x v="482"/>
    <n v="12.9"/>
    <n v="68.7"/>
  </r>
  <r>
    <n v="490732457"/>
    <n v="391476"/>
    <n v="8999183"/>
    <n v="6618"/>
    <x v="2"/>
    <n v="58953"/>
    <x v="1"/>
    <x v="221"/>
    <x v="220"/>
    <x v="469"/>
    <x v="488"/>
    <x v="487"/>
    <x v="28"/>
    <s v="MO"/>
    <s v="Springfield"/>
    <s v="MI"/>
    <s v="Ann Arbor"/>
    <x v="0"/>
    <n v="765774"/>
    <s v="0-100"/>
    <n v="66"/>
    <x v="88"/>
    <x v="199"/>
    <n v="65.900000000000006"/>
    <n v="96.3"/>
    <x v="2"/>
    <s v="1.5"/>
    <s v="00:00-05:59"/>
    <x v="5"/>
    <x v="0"/>
    <n v="0"/>
    <n v="0"/>
    <n v="0"/>
    <n v="68.599999999999994"/>
    <n v="0"/>
    <n v="0.92300000000000004"/>
    <n v="0.59399999999999997"/>
    <n v="70619.75"/>
    <x v="2"/>
    <n v="1"/>
    <n v="1"/>
    <n v="0"/>
    <n v="1"/>
    <n v="0"/>
    <n v="1"/>
    <n v="0"/>
    <x v="13"/>
    <x v="5"/>
    <n v="87.84"/>
    <n v="15.87"/>
    <x v="483"/>
    <n v="51.7"/>
    <n v="47.2"/>
  </r>
  <r>
    <n v="500346767"/>
    <n v="559381"/>
    <n v="4526280"/>
    <n v="9754"/>
    <x v="5"/>
    <n v="55794"/>
    <x v="2"/>
    <x v="38"/>
    <x v="38"/>
    <x v="484"/>
    <x v="489"/>
    <x v="488"/>
    <x v="37"/>
    <s v="MO"/>
    <s v="Columbia"/>
    <s v="NJ"/>
    <s v="Trenton"/>
    <x v="3"/>
    <n v="714728"/>
    <s v="0-100"/>
    <n v="41"/>
    <x v="76"/>
    <x v="307"/>
    <n v="39.1"/>
    <n v="76.7"/>
    <x v="2"/>
    <s v="1.97"/>
    <s v="18:00-23:59"/>
    <x v="5"/>
    <x v="0"/>
    <n v="28"/>
    <n v="0"/>
    <n v="1.9"/>
    <n v="63.7"/>
    <n v="0"/>
    <n v="0.78700000000000003"/>
    <n v="0.59799999999999998"/>
    <n v="15571.91"/>
    <x v="1"/>
    <n v="1"/>
    <n v="0"/>
    <n v="1"/>
    <n v="0"/>
    <n v="1"/>
    <n v="0"/>
    <n v="1"/>
    <x v="53"/>
    <x v="32"/>
    <n v="69.88"/>
    <n v="12.99"/>
    <x v="484"/>
    <n v="25"/>
    <n v="0"/>
  </r>
  <r>
    <n v="403754671"/>
    <n v="440035"/>
    <n v="1156287"/>
    <n v="8858"/>
    <x v="0"/>
    <n v="53574"/>
    <x v="9"/>
    <x v="28"/>
    <x v="28"/>
    <x v="485"/>
    <x v="490"/>
    <x v="489"/>
    <x v="268"/>
    <s v="CA"/>
    <s v="Fresno"/>
    <s v="OH"/>
    <s v="Cincinnati"/>
    <x v="0"/>
    <n v="752047"/>
    <s v="101-300"/>
    <n v="144"/>
    <x v="333"/>
    <x v="270"/>
    <n v="142.1"/>
    <n v="173"/>
    <x v="0"/>
    <s v="3.72"/>
    <s v="14:00-17:59"/>
    <x v="4"/>
    <x v="0"/>
    <n v="-15"/>
    <n v="0"/>
    <n v="0"/>
    <n v="38.299999999999997"/>
    <n v="0"/>
    <n v="0.78200000000000003"/>
    <n v="0.76200000000000001"/>
    <n v="3146"/>
    <x v="0"/>
    <n v="1"/>
    <n v="1"/>
    <n v="0"/>
    <n v="1"/>
    <n v="0"/>
    <n v="1"/>
    <n v="0"/>
    <x v="6"/>
    <x v="61"/>
    <n v="158.16999999999999"/>
    <n v="21.99"/>
    <x v="485"/>
    <n v="8.3000000000000007"/>
    <n v="28.6"/>
  </r>
  <r>
    <n v="515985367"/>
    <n v="983794"/>
    <n v="8688755"/>
    <n v="1863"/>
    <x v="0"/>
    <n v="53785"/>
    <x v="9"/>
    <x v="26"/>
    <x v="26"/>
    <x v="486"/>
    <x v="491"/>
    <x v="490"/>
    <x v="269"/>
    <s v="AZ"/>
    <s v="Tempe"/>
    <s v="MI"/>
    <s v="Grand Rapids"/>
    <x v="0"/>
    <n v="772918"/>
    <s v="101-300"/>
    <n v="118"/>
    <x v="334"/>
    <x v="136"/>
    <n v="128.30000000000001"/>
    <n v="198.5"/>
    <x v="0"/>
    <s v="2.35"/>
    <s v="14:00-17:59"/>
    <x v="0"/>
    <x v="0"/>
    <n v="12"/>
    <n v="0"/>
    <n v="0"/>
    <n v="71.2"/>
    <n v="0"/>
    <n v="0.85499999999999998"/>
    <n v="0.65700000000000003"/>
    <n v="2420.37"/>
    <x v="0"/>
    <n v="1"/>
    <n v="1"/>
    <n v="0"/>
    <n v="1"/>
    <n v="0"/>
    <n v="1"/>
    <n v="0"/>
    <x v="22"/>
    <x v="7"/>
    <n v="173.47"/>
    <n v="30.7"/>
    <x v="486"/>
    <n v="22.3"/>
    <n v="23.1"/>
  </r>
  <r>
    <n v="538912794"/>
    <n v="623481"/>
    <n v="2737893"/>
    <n v="4627"/>
    <x v="3"/>
    <n v="55220"/>
    <x v="6"/>
    <x v="148"/>
    <x v="148"/>
    <x v="487"/>
    <x v="492"/>
    <x v="491"/>
    <x v="153"/>
    <s v="MI"/>
    <s v="Ann Arbor"/>
    <s v="OH"/>
    <s v="Columbus"/>
    <x v="0"/>
    <n v="778018"/>
    <s v="101-300"/>
    <n v="268"/>
    <x v="335"/>
    <x v="43"/>
    <n v="268.8"/>
    <n v="337"/>
    <x v="0"/>
    <s v="3.68"/>
    <s v="00:00-05:59"/>
    <x v="6"/>
    <x v="0"/>
    <n v="-46"/>
    <n v="0"/>
    <n v="0"/>
    <n v="50"/>
    <n v="0"/>
    <n v="0.54200000000000004"/>
    <n v="0.43"/>
    <n v="4091.38"/>
    <x v="0"/>
    <n v="1"/>
    <n v="1"/>
    <n v="0"/>
    <n v="1"/>
    <n v="0"/>
    <n v="1"/>
    <n v="0"/>
    <x v="3"/>
    <x v="74"/>
    <n v="230.88"/>
    <n v="34.15"/>
    <x v="487"/>
    <n v="22.3"/>
    <n v="77.2"/>
  </r>
  <r>
    <n v="931575232"/>
    <n v="903035"/>
    <n v="7110622"/>
    <n v="3200"/>
    <x v="2"/>
    <n v="57750"/>
    <x v="1"/>
    <x v="263"/>
    <x v="262"/>
    <x v="488"/>
    <x v="493"/>
    <x v="492"/>
    <x v="270"/>
    <s v="NY"/>
    <s v="Syracuse"/>
    <s v="NY"/>
    <s v="Syracuse"/>
    <x v="3"/>
    <n v="742838"/>
    <s v="301-500"/>
    <n v="388"/>
    <x v="304"/>
    <x v="307"/>
    <n v="386.2"/>
    <n v="422.1"/>
    <x v="2"/>
    <s v="7.84"/>
    <s v="10:00-13:59"/>
    <x v="0"/>
    <x v="0"/>
    <n v="-34"/>
    <n v="103"/>
    <n v="0"/>
    <n v="48.3"/>
    <n v="0"/>
    <n v="0.503"/>
    <n v="0.75700000000000001"/>
    <n v="1417.71"/>
    <x v="0"/>
    <n v="1"/>
    <n v="1"/>
    <n v="0"/>
    <n v="1"/>
    <n v="0"/>
    <n v="1"/>
    <n v="0"/>
    <x v="43"/>
    <x v="37"/>
    <n v="268.97000000000003"/>
    <n v="76.08"/>
    <x v="488"/>
    <n v="26.8"/>
    <n v="21.6"/>
  </r>
  <r>
    <n v="463318956"/>
    <n v="260263"/>
    <n v="5674183"/>
    <n v="5736"/>
    <x v="7"/>
    <n v="56818"/>
    <x v="6"/>
    <x v="208"/>
    <x v="207"/>
    <x v="489"/>
    <x v="494"/>
    <x v="493"/>
    <x v="213"/>
    <s v="NC"/>
    <s v="Raleigh"/>
    <s v="PA"/>
    <s v="Allentown"/>
    <x v="3"/>
    <n v="702410"/>
    <s v="101-300"/>
    <n v="239"/>
    <x v="174"/>
    <x v="191"/>
    <n v="247.3"/>
    <n v="287.60000000000002"/>
    <x v="2"/>
    <s v="4.72"/>
    <s v="10:00-13:59"/>
    <x v="1"/>
    <x v="0"/>
    <n v="-16"/>
    <n v="0"/>
    <n v="0"/>
    <n v="49.4"/>
    <n v="0"/>
    <n v="0.24299999999999999"/>
    <n v="0.746"/>
    <n v="22095.59"/>
    <x v="1"/>
    <n v="1"/>
    <n v="1"/>
    <n v="0"/>
    <n v="1"/>
    <n v="0"/>
    <n v="1"/>
    <n v="0"/>
    <x v="42"/>
    <x v="5"/>
    <n v="248.34"/>
    <n v="40.229999999999997"/>
    <x v="489"/>
    <n v="30.8"/>
    <n v="40.1"/>
  </r>
  <r>
    <n v="828960875"/>
    <n v="356702"/>
    <n v="4426900"/>
    <n v="1502"/>
    <x v="1"/>
    <n v="50684"/>
    <x v="2"/>
    <x v="251"/>
    <x v="250"/>
    <x v="490"/>
    <x v="495"/>
    <x v="494"/>
    <x v="248"/>
    <s v="PA"/>
    <s v="Pittsburgh"/>
    <s v="MI"/>
    <s v="Ann Arbor"/>
    <x v="0"/>
    <n v="719112"/>
    <s v="0-100"/>
    <n v="85"/>
    <x v="110"/>
    <x v="25"/>
    <n v="91.5"/>
    <n v="131.6"/>
    <x v="0"/>
    <s v="1.61"/>
    <s v="06:00-09:59"/>
    <x v="3"/>
    <x v="0"/>
    <n v="-37"/>
    <n v="0"/>
    <n v="0"/>
    <n v="59.9"/>
    <n v="0"/>
    <n v="0.81100000000000005"/>
    <n v="0.88100000000000001"/>
    <n v="2960.06"/>
    <x v="0"/>
    <n v="1"/>
    <n v="1"/>
    <n v="0"/>
    <n v="1"/>
    <n v="0"/>
    <n v="1"/>
    <n v="0"/>
    <x v="59"/>
    <x v="44"/>
    <n v="93.77"/>
    <n v="23.52"/>
    <x v="490"/>
    <n v="47.2"/>
    <n v="12.5"/>
  </r>
  <r>
    <n v="741975062"/>
    <n v="220116"/>
    <n v="6933742"/>
    <n v="5218"/>
    <x v="0"/>
    <n v="54233"/>
    <x v="2"/>
    <x v="6"/>
    <x v="6"/>
    <x v="491"/>
    <x v="496"/>
    <x v="495"/>
    <x v="6"/>
    <s v="OH"/>
    <s v="Toledo"/>
    <s v="NC"/>
    <s v="Wilmington"/>
    <x v="1"/>
    <n v="745838"/>
    <s v="101-300"/>
    <n v="251"/>
    <x v="185"/>
    <x v="25"/>
    <n v="254.7"/>
    <n v="288.3"/>
    <x v="0"/>
    <s v="5.32"/>
    <s v="06:00-09:59"/>
    <x v="2"/>
    <x v="0"/>
    <n v="-17"/>
    <n v="0"/>
    <n v="0"/>
    <n v="65.099999999999994"/>
    <n v="0"/>
    <n v="0.73799999999999999"/>
    <n v="0.501"/>
    <n v="18813.8"/>
    <x v="1"/>
    <n v="1"/>
    <n v="1"/>
    <n v="0"/>
    <n v="1"/>
    <n v="0"/>
    <n v="1"/>
    <n v="0"/>
    <x v="10"/>
    <x v="57"/>
    <n v="207.96"/>
    <n v="60.88"/>
    <x v="491"/>
    <n v="31.9"/>
    <n v="44.5"/>
  </r>
  <r>
    <n v="156227043"/>
    <n v="358607"/>
    <n v="5727085"/>
    <n v="6864"/>
    <x v="1"/>
    <n v="50577"/>
    <x v="5"/>
    <x v="171"/>
    <x v="170"/>
    <x v="492"/>
    <x v="497"/>
    <x v="496"/>
    <x v="178"/>
    <s v="WA"/>
    <s v="Spokane"/>
    <s v="TN"/>
    <s v="Knoxville"/>
    <x v="1"/>
    <n v="715799"/>
    <s v="101-300"/>
    <n v="206"/>
    <x v="103"/>
    <x v="258"/>
    <n v="202.3"/>
    <n v="229.2"/>
    <x v="0"/>
    <s v="4.13"/>
    <s v="18:00-23:59"/>
    <x v="5"/>
    <x v="0"/>
    <n v="4"/>
    <n v="0"/>
    <n v="0"/>
    <n v="59.4"/>
    <n v="0"/>
    <n v="0.69399999999999995"/>
    <n v="0.7"/>
    <n v="93490.2"/>
    <x v="2"/>
    <n v="1"/>
    <n v="1"/>
    <n v="0"/>
    <n v="1"/>
    <n v="0"/>
    <n v="1"/>
    <n v="0"/>
    <x v="18"/>
    <x v="1"/>
    <n v="147.12"/>
    <n v="39.19"/>
    <x v="492"/>
    <n v="7.3"/>
    <n v="38.5"/>
  </r>
  <r>
    <n v="947425963"/>
    <n v="905635"/>
    <n v="2677407"/>
    <n v="3790"/>
    <x v="4"/>
    <n v="58007"/>
    <x v="9"/>
    <x v="70"/>
    <x v="70"/>
    <x v="493"/>
    <x v="498"/>
    <x v="497"/>
    <x v="69"/>
    <s v="OH"/>
    <s v="Cleveland"/>
    <s v="AZ"/>
    <s v="Flagstaff"/>
    <x v="2"/>
    <n v="759297"/>
    <s v="0-100"/>
    <n v="54"/>
    <x v="336"/>
    <x v="308"/>
    <n v="70.400000000000006"/>
    <n v="146"/>
    <x v="0"/>
    <s v="0.88"/>
    <s v="10:00-13:59"/>
    <x v="1"/>
    <x v="0"/>
    <n v="-37"/>
    <n v="0"/>
    <n v="1.2"/>
    <n v="59.8"/>
    <n v="0"/>
    <n v="0.52200000000000002"/>
    <n v="0.96599999999999997"/>
    <n v="3253.63"/>
    <x v="0"/>
    <n v="1"/>
    <n v="1"/>
    <n v="0"/>
    <n v="1"/>
    <n v="0"/>
    <n v="1"/>
    <n v="0"/>
    <x v="22"/>
    <x v="33"/>
    <n v="121.82"/>
    <n v="20.350000000000001"/>
    <x v="493"/>
    <n v="27.7"/>
    <n v="12.1"/>
  </r>
  <r>
    <n v="777409303"/>
    <n v="197251"/>
    <n v="4078418"/>
    <n v="2585"/>
    <x v="4"/>
    <n v="50227"/>
    <x v="10"/>
    <x v="140"/>
    <x v="140"/>
    <x v="494"/>
    <x v="499"/>
    <x v="498"/>
    <x v="144"/>
    <s v="MO"/>
    <s v="Springfield"/>
    <s v="NC"/>
    <s v="Raleigh"/>
    <x v="1"/>
    <n v="790402"/>
    <s v="301-500"/>
    <n v="376"/>
    <x v="150"/>
    <x v="122"/>
    <n v="366.6"/>
    <n v="394.9"/>
    <x v="0"/>
    <s v="10.02"/>
    <s v="10:00-13:59"/>
    <x v="1"/>
    <x v="0"/>
    <n v="5"/>
    <n v="73"/>
    <n v="0"/>
    <n v="42.5"/>
    <n v="0"/>
    <n v="0.80700000000000005"/>
    <n v="0.63600000000000001"/>
    <n v="1833.29"/>
    <x v="0"/>
    <n v="1"/>
    <n v="1"/>
    <n v="0"/>
    <n v="1"/>
    <n v="0"/>
    <n v="1"/>
    <n v="0"/>
    <x v="102"/>
    <x v="21"/>
    <n v="295.87"/>
    <n v="49.31"/>
    <x v="494"/>
    <n v="11.9"/>
    <n v="13.6"/>
  </r>
  <r>
    <n v="795038832"/>
    <n v="684004"/>
    <n v="8670955"/>
    <n v="8721"/>
    <x v="3"/>
    <n v="52328"/>
    <x v="2"/>
    <x v="261"/>
    <x v="260"/>
    <x v="495"/>
    <x v="500"/>
    <x v="499"/>
    <x v="264"/>
    <s v="OH"/>
    <s v="Cleveland"/>
    <s v="TN"/>
    <s v="Chattanooga"/>
    <x v="1"/>
    <n v="736170"/>
    <s v="301-500"/>
    <n v="437"/>
    <x v="89"/>
    <x v="309"/>
    <n v="426.3"/>
    <n v="451.7"/>
    <x v="0"/>
    <s v="8.91"/>
    <s v="00:00-05:59"/>
    <x v="4"/>
    <x v="0"/>
    <n v="-60"/>
    <n v="0"/>
    <n v="0"/>
    <n v="38.200000000000003"/>
    <n v="0"/>
    <n v="0.81100000000000005"/>
    <n v="0.66700000000000004"/>
    <n v="14995.39"/>
    <x v="1"/>
    <n v="1"/>
    <n v="1"/>
    <n v="0"/>
    <n v="1"/>
    <n v="0"/>
    <n v="1"/>
    <n v="0"/>
    <x v="103"/>
    <x v="23"/>
    <n v="307.73"/>
    <n v="58.81"/>
    <x v="495"/>
    <n v="0.1"/>
    <n v="10.7"/>
  </r>
  <r>
    <n v="459327003"/>
    <n v="145561"/>
    <n v="2564689"/>
    <n v="1161"/>
    <x v="3"/>
    <n v="52731"/>
    <x v="5"/>
    <x v="247"/>
    <x v="246"/>
    <x v="496"/>
    <x v="501"/>
    <x v="500"/>
    <x v="100"/>
    <s v="TN"/>
    <s v="Nashville"/>
    <s v="MI"/>
    <s v="Ann Arbor"/>
    <x v="0"/>
    <n v="784181"/>
    <s v="301-500"/>
    <n v="403"/>
    <x v="273"/>
    <x v="38"/>
    <n v="405.3"/>
    <n v="441.5"/>
    <x v="0"/>
    <s v="8.13"/>
    <s v="14:00-17:59"/>
    <x v="3"/>
    <x v="0"/>
    <n v="-31"/>
    <n v="0"/>
    <n v="0"/>
    <n v="50.7"/>
    <n v="0"/>
    <n v="0.80400000000000005"/>
    <n v="0.93700000000000006"/>
    <n v="21169.16"/>
    <x v="1"/>
    <n v="1"/>
    <n v="1"/>
    <n v="0"/>
    <n v="1"/>
    <n v="0"/>
    <n v="1"/>
    <n v="0"/>
    <x v="22"/>
    <x v="41"/>
    <n v="360.15"/>
    <n v="96.46"/>
    <x v="496"/>
    <n v="5.6"/>
    <n v="0"/>
  </r>
  <r>
    <n v="170772317"/>
    <n v="903035"/>
    <n v="7110622"/>
    <n v="3200"/>
    <x v="2"/>
    <n v="59019"/>
    <x v="11"/>
    <x v="151"/>
    <x v="151"/>
    <x v="497"/>
    <x v="502"/>
    <x v="501"/>
    <x v="271"/>
    <s v="CO"/>
    <s v="Denver"/>
    <s v="CO"/>
    <s v="Pueblo"/>
    <x v="2"/>
    <n v="705397"/>
    <s v="301-500"/>
    <n v="485"/>
    <x v="228"/>
    <x v="310"/>
    <n v="482.9"/>
    <n v="564.70000000000005"/>
    <x v="2"/>
    <s v="9.53"/>
    <s v="14:00-17:59"/>
    <x v="2"/>
    <x v="0"/>
    <n v="-22"/>
    <n v="0"/>
    <n v="0"/>
    <n v="46.5"/>
    <n v="0"/>
    <n v="0.69899999999999995"/>
    <n v="0.35499999999999998"/>
    <n v="3664.81"/>
    <x v="0"/>
    <n v="1"/>
    <n v="1"/>
    <n v="0"/>
    <n v="1"/>
    <n v="0"/>
    <n v="1"/>
    <n v="0"/>
    <x v="68"/>
    <x v="4"/>
    <n v="516.12"/>
    <n v="98.17"/>
    <x v="497"/>
    <n v="26.8"/>
    <n v="13"/>
  </r>
  <r>
    <n v="454002758"/>
    <n v="910620"/>
    <n v="5977931"/>
    <n v="1064"/>
    <x v="3"/>
    <n v="50430"/>
    <x v="7"/>
    <x v="191"/>
    <x v="190"/>
    <x v="498"/>
    <x v="503"/>
    <x v="502"/>
    <x v="193"/>
    <s v="AZ"/>
    <s v="Tempe"/>
    <s v="NC"/>
    <s v="Raleigh"/>
    <x v="1"/>
    <n v="757732"/>
    <s v="0-100"/>
    <n v="98"/>
    <x v="275"/>
    <x v="311"/>
    <n v="83.1"/>
    <n v="143.6"/>
    <x v="0"/>
    <s v="1.76"/>
    <s v="10:00-13:59"/>
    <x v="2"/>
    <x v="0"/>
    <n v="-38"/>
    <n v="81"/>
    <n v="0"/>
    <n v="30"/>
    <n v="0"/>
    <n v="0.94099999999999995"/>
    <n v="0.60299999999999998"/>
    <n v="10096.200000000001"/>
    <x v="1"/>
    <n v="1"/>
    <n v="1"/>
    <n v="0"/>
    <n v="1"/>
    <n v="0"/>
    <n v="1"/>
    <n v="0"/>
    <x v="58"/>
    <x v="16"/>
    <n v="110.5"/>
    <n v="21.95"/>
    <x v="498"/>
    <n v="7"/>
    <n v="64.3"/>
  </r>
  <r>
    <n v="201474984"/>
    <n v="736059"/>
    <n v="7851696"/>
    <n v="5493"/>
    <x v="8"/>
    <n v="59255"/>
    <x v="1"/>
    <x v="150"/>
    <x v="150"/>
    <x v="499"/>
    <x v="504"/>
    <x v="503"/>
    <x v="27"/>
    <s v="IL"/>
    <s v="Aurora"/>
    <s v="WA"/>
    <s v="Vancouver"/>
    <x v="2"/>
    <n v="749362"/>
    <s v="501-1000"/>
    <n v="577"/>
    <x v="292"/>
    <x v="78"/>
    <n v="576.20000000000005"/>
    <n v="602.1"/>
    <x v="2"/>
    <s v="11.52"/>
    <s v="10:00-13:59"/>
    <x v="2"/>
    <x v="0"/>
    <n v="-30"/>
    <n v="0"/>
    <n v="0"/>
    <n v="47.4"/>
    <n v="0"/>
    <n v="0.69599999999999995"/>
    <n v="0.376"/>
    <n v="22746.06"/>
    <x v="1"/>
    <n v="1"/>
    <n v="1"/>
    <n v="0"/>
    <n v="1"/>
    <n v="0"/>
    <n v="1"/>
    <n v="0"/>
    <x v="46"/>
    <x v="82"/>
    <n v="482.83"/>
    <n v="76.900000000000006"/>
    <x v="499"/>
    <n v="11.5"/>
    <n v="18.899999999999999"/>
  </r>
  <r>
    <n v="699108439"/>
    <n v="852787"/>
    <n v="6075395"/>
    <n v="7668"/>
    <x v="8"/>
    <n v="51709"/>
    <x v="10"/>
    <x v="264"/>
    <x v="263"/>
    <x v="500"/>
    <x v="505"/>
    <x v="504"/>
    <x v="272"/>
    <s v="GA"/>
    <s v="Atlanta"/>
    <s v="GA"/>
    <s v="Atlanta"/>
    <x v="1"/>
    <n v="783084"/>
    <s v="301-500"/>
    <n v="321"/>
    <x v="337"/>
    <x v="222"/>
    <n v="321.5"/>
    <n v="327.10000000000002"/>
    <x v="3"/>
    <s v="6.65"/>
    <s v="10:00-13:59"/>
    <x v="6"/>
    <x v="0"/>
    <n v="13"/>
    <n v="0"/>
    <n v="0"/>
    <n v="60.4"/>
    <n v="0"/>
    <n v="0.66600000000000004"/>
    <n v="0.51200000000000001"/>
    <n v="5441.37"/>
    <x v="0"/>
    <n v="1"/>
    <n v="1"/>
    <n v="0"/>
    <n v="1"/>
    <n v="0"/>
    <n v="1"/>
    <n v="0"/>
    <x v="65"/>
    <x v="5"/>
    <n v="218.78"/>
    <n v="63.05"/>
    <x v="500"/>
    <n v="15.7"/>
    <n v="68.2"/>
  </r>
  <r>
    <n v="828404274"/>
    <n v="245051"/>
    <n v="1739653"/>
    <n v="4763"/>
    <x v="7"/>
    <n v="55782"/>
    <x v="6"/>
    <x v="58"/>
    <x v="58"/>
    <x v="501"/>
    <x v="506"/>
    <x v="505"/>
    <x v="44"/>
    <s v="MO"/>
    <s v="Kansas City"/>
    <s v="NY"/>
    <s v="Buffalo"/>
    <x v="3"/>
    <n v="739953"/>
    <s v="501-1000"/>
    <n v="839"/>
    <x v="262"/>
    <x v="312"/>
    <n v="838"/>
    <n v="895.9"/>
    <x v="0"/>
    <s v="16.47"/>
    <s v="10:00-13:59"/>
    <x v="3"/>
    <x v="0"/>
    <n v="9"/>
    <n v="0"/>
    <n v="0"/>
    <n v="53"/>
    <n v="0"/>
    <n v="0.44700000000000001"/>
    <n v="0.76900000000000002"/>
    <n v="3657.66"/>
    <x v="0"/>
    <n v="1"/>
    <n v="1"/>
    <n v="0"/>
    <n v="1"/>
    <n v="0"/>
    <n v="1"/>
    <n v="0"/>
    <x v="59"/>
    <x v="58"/>
    <n v="598.72"/>
    <n v="131.24"/>
    <x v="501"/>
    <n v="12.9"/>
    <n v="83.6"/>
  </r>
  <r>
    <n v="515070154"/>
    <n v="787277"/>
    <n v="6022741"/>
    <n v="3693"/>
    <x v="4"/>
    <n v="51234"/>
    <x v="6"/>
    <x v="61"/>
    <x v="61"/>
    <x v="502"/>
    <x v="507"/>
    <x v="506"/>
    <x v="273"/>
    <s v="MI"/>
    <s v="Grand Rapids"/>
    <s v="PA"/>
    <s v="Philadelphia"/>
    <x v="3"/>
    <n v="763944"/>
    <s v="0-100"/>
    <n v="47"/>
    <x v="16"/>
    <x v="300"/>
    <n v="48.8"/>
    <n v="73.8"/>
    <x v="0"/>
    <s v="9.67"/>
    <s v="06:00-09:59"/>
    <x v="4"/>
    <x v="1"/>
    <n v="490"/>
    <n v="0"/>
    <n v="0"/>
    <n v="88.6"/>
    <n v="1"/>
    <n v="0.47199999999999998"/>
    <n v="0.56499999999999995"/>
    <n v="4412.6499999999996"/>
    <x v="0"/>
    <n v="1"/>
    <n v="0"/>
    <n v="1"/>
    <n v="0"/>
    <n v="1"/>
    <n v="0"/>
    <n v="1"/>
    <x v="31"/>
    <x v="82"/>
    <n v="55.9"/>
    <n v="485.04"/>
    <x v="502"/>
    <n v="3.4"/>
    <n v="33.799999999999997"/>
  </r>
  <r>
    <n v="405100495"/>
    <n v="835392"/>
    <n v="4194548"/>
    <n v="4005"/>
    <x v="8"/>
    <n v="58493"/>
    <x v="7"/>
    <x v="265"/>
    <x v="264"/>
    <x v="503"/>
    <x v="508"/>
    <x v="507"/>
    <x v="176"/>
    <s v="NC"/>
    <s v="Charlotte"/>
    <s v="WA"/>
    <s v="Vancouver"/>
    <x v="2"/>
    <n v="773553"/>
    <s v="501-1000"/>
    <n v="490"/>
    <x v="166"/>
    <x v="313"/>
    <n v="487.2"/>
    <n v="529.1"/>
    <x v="0"/>
    <s v="9.68"/>
    <s v="18:00-23:59"/>
    <x v="2"/>
    <x v="0"/>
    <n v="5"/>
    <n v="0"/>
    <n v="0"/>
    <n v="25.5"/>
    <n v="0"/>
    <n v="0.46899999999999997"/>
    <n v="0.83199999999999996"/>
    <n v="65420.11"/>
    <x v="2"/>
    <n v="1"/>
    <n v="1"/>
    <n v="0"/>
    <n v="1"/>
    <n v="0"/>
    <n v="1"/>
    <n v="0"/>
    <x v="52"/>
    <x v="16"/>
    <n v="462.13"/>
    <n v="67.02"/>
    <x v="503"/>
    <n v="31.7"/>
    <n v="46.4"/>
  </r>
  <r>
    <n v="370578414"/>
    <n v="974628"/>
    <n v="3641282"/>
    <n v="6892"/>
    <x v="0"/>
    <n v="55205"/>
    <x v="4"/>
    <x v="266"/>
    <x v="265"/>
    <x v="504"/>
    <x v="509"/>
    <x v="508"/>
    <x v="274"/>
    <s v="GA"/>
    <s v="Atlanta"/>
    <s v="PA"/>
    <s v="Philadelphia"/>
    <x v="3"/>
    <n v="770517"/>
    <s v="301-500"/>
    <n v="494"/>
    <x v="338"/>
    <x v="133"/>
    <n v="493.2"/>
    <n v="523.4"/>
    <x v="0"/>
    <s v="9.66"/>
    <s v="10:00-13:59"/>
    <x v="6"/>
    <x v="0"/>
    <n v="-32"/>
    <n v="27"/>
    <n v="0"/>
    <n v="45.2"/>
    <n v="0"/>
    <n v="0.77900000000000003"/>
    <n v="0.95799999999999996"/>
    <n v="2901.28"/>
    <x v="0"/>
    <n v="1"/>
    <n v="1"/>
    <n v="0"/>
    <n v="1"/>
    <n v="0"/>
    <n v="1"/>
    <n v="0"/>
    <x v="12"/>
    <x v="56"/>
    <n v="467.26"/>
    <n v="64"/>
    <x v="504"/>
    <n v="1.4"/>
    <n v="11.1"/>
  </r>
  <r>
    <n v="877103091"/>
    <n v="343962"/>
    <n v="5672073"/>
    <n v="7396"/>
    <x v="2"/>
    <n v="51420"/>
    <x v="6"/>
    <x v="114"/>
    <x v="113"/>
    <x v="505"/>
    <x v="510"/>
    <x v="509"/>
    <x v="114"/>
    <s v="MI"/>
    <s v="Ann Arbor"/>
    <s v="AZ"/>
    <s v="Flagstaff"/>
    <x v="2"/>
    <n v="776415"/>
    <s v="301-500"/>
    <n v="342"/>
    <x v="339"/>
    <x v="314"/>
    <n v="349.8"/>
    <n v="375"/>
    <x v="1"/>
    <s v="5.79"/>
    <s v="06:00-09:59"/>
    <x v="3"/>
    <x v="0"/>
    <n v="-45"/>
    <n v="72"/>
    <n v="0"/>
    <n v="37.700000000000003"/>
    <n v="0"/>
    <n v="0.82399999999999995"/>
    <n v="0.48099999999999998"/>
    <n v="3104.58"/>
    <x v="0"/>
    <n v="1"/>
    <n v="1"/>
    <n v="0"/>
    <n v="1"/>
    <n v="0"/>
    <n v="1"/>
    <n v="0"/>
    <x v="67"/>
    <x v="39"/>
    <n v="304.7"/>
    <n v="49.8"/>
    <x v="505"/>
    <n v="13.7"/>
    <n v="41.4"/>
  </r>
  <r>
    <n v="804980312"/>
    <n v="479580"/>
    <n v="8106422"/>
    <n v="2495"/>
    <x v="5"/>
    <n v="50768"/>
    <x v="7"/>
    <x v="267"/>
    <x v="266"/>
    <x v="506"/>
    <x v="511"/>
    <x v="510"/>
    <x v="275"/>
    <s v="MI"/>
    <s v="Detroit"/>
    <s v="CO"/>
    <s v="Fort Collins"/>
    <x v="2"/>
    <n v="711743"/>
    <s v="0-100"/>
    <n v="103"/>
    <x v="194"/>
    <x v="181"/>
    <n v="108.8"/>
    <n v="155.80000000000001"/>
    <x v="0"/>
    <s v="1.52"/>
    <s v="10:00-13:59"/>
    <x v="2"/>
    <x v="0"/>
    <n v="-36"/>
    <n v="0"/>
    <n v="0"/>
    <n v="62.8"/>
    <n v="0"/>
    <n v="0.67500000000000004"/>
    <n v="0.72799999999999998"/>
    <n v="2954.97"/>
    <x v="0"/>
    <n v="1"/>
    <n v="1"/>
    <n v="0"/>
    <n v="1"/>
    <n v="0"/>
    <n v="1"/>
    <n v="0"/>
    <x v="85"/>
    <x v="11"/>
    <n v="113.45"/>
    <n v="27.31"/>
    <x v="506"/>
    <n v="9.6999999999999993"/>
    <n v="65"/>
  </r>
  <r>
    <n v="747145068"/>
    <n v="864544"/>
    <n v="5374922"/>
    <n v="8385"/>
    <x v="1"/>
    <n v="56034"/>
    <x v="6"/>
    <x v="108"/>
    <x v="107"/>
    <x v="507"/>
    <x v="512"/>
    <x v="511"/>
    <x v="99"/>
    <s v="CO"/>
    <s v="Fort Collins"/>
    <s v="TX"/>
    <s v="Austin"/>
    <x v="1"/>
    <n v="703172"/>
    <s v="301-500"/>
    <n v="455"/>
    <x v="278"/>
    <x v="315"/>
    <n v="453.7"/>
    <n v="476.6"/>
    <x v="0"/>
    <s v="7.35"/>
    <s v="14:00-17:59"/>
    <x v="1"/>
    <x v="0"/>
    <n v="-32"/>
    <n v="0"/>
    <n v="0"/>
    <n v="51.8"/>
    <n v="0"/>
    <n v="0.40600000000000003"/>
    <n v="0.27700000000000002"/>
    <n v="88204.39"/>
    <x v="2"/>
    <n v="1"/>
    <n v="1"/>
    <n v="0"/>
    <n v="1"/>
    <n v="0"/>
    <n v="1"/>
    <n v="0"/>
    <x v="62"/>
    <x v="30"/>
    <n v="402.73"/>
    <n v="61.38"/>
    <x v="507"/>
    <n v="24.5"/>
    <n v="49.6"/>
  </r>
  <r>
    <n v="261462131"/>
    <n v="287330"/>
    <n v="4348276"/>
    <n v="9338"/>
    <x v="3"/>
    <n v="59596"/>
    <x v="11"/>
    <x v="268"/>
    <x v="267"/>
    <x v="508"/>
    <x v="513"/>
    <x v="512"/>
    <x v="237"/>
    <s v="NC"/>
    <s v="Wilmington"/>
    <s v="CA"/>
    <s v="Los Angeles"/>
    <x v="2"/>
    <n v="778944"/>
    <s v="501-1000"/>
    <n v="914"/>
    <x v="283"/>
    <x v="316"/>
    <n v="917.3"/>
    <n v="999.1"/>
    <x v="2"/>
    <s v="17.9"/>
    <s v="06:00-09:59"/>
    <x v="4"/>
    <x v="0"/>
    <n v="-31"/>
    <n v="0"/>
    <n v="0"/>
    <n v="32.1"/>
    <n v="0"/>
    <n v="0.45100000000000001"/>
    <n v="0.86299999999999999"/>
    <n v="4704.21"/>
    <x v="0"/>
    <n v="1"/>
    <n v="1"/>
    <n v="0"/>
    <n v="1"/>
    <n v="0"/>
    <n v="1"/>
    <n v="0"/>
    <x v="104"/>
    <x v="0"/>
    <n v="706.95"/>
    <n v="107.18"/>
    <x v="508"/>
    <n v="17.5"/>
    <n v="69.7"/>
  </r>
  <r>
    <n v="457944766"/>
    <n v="733052"/>
    <n v="2642635"/>
    <n v="8989"/>
    <x v="1"/>
    <n v="58635"/>
    <x v="3"/>
    <x v="269"/>
    <x v="268"/>
    <x v="509"/>
    <x v="514"/>
    <x v="513"/>
    <x v="276"/>
    <s v="PA"/>
    <s v="Philadelphia"/>
    <s v="CA"/>
    <s v="Fresno"/>
    <x v="2"/>
    <n v="768585"/>
    <s v="301-500"/>
    <n v="336"/>
    <x v="340"/>
    <x v="317"/>
    <n v="341.2"/>
    <n v="394.1"/>
    <x v="2"/>
    <s v="6.59"/>
    <s v="06:00-09:59"/>
    <x v="1"/>
    <x v="0"/>
    <n v="-6"/>
    <n v="0"/>
    <n v="0"/>
    <n v="14.3"/>
    <n v="0"/>
    <n v="0.75900000000000001"/>
    <n v="0.627"/>
    <n v="9996.2199999999993"/>
    <x v="1"/>
    <n v="1"/>
    <n v="1"/>
    <n v="0"/>
    <n v="1"/>
    <n v="0"/>
    <n v="1"/>
    <n v="0"/>
    <x v="2"/>
    <x v="8"/>
    <n v="270.3"/>
    <n v="56.39"/>
    <x v="509"/>
    <n v="11.9"/>
    <n v="9.1"/>
  </r>
  <r>
    <n v="187512088"/>
    <n v="263032"/>
    <n v="4191175"/>
    <n v="6486"/>
    <x v="9"/>
    <n v="53104"/>
    <x v="2"/>
    <x v="28"/>
    <x v="28"/>
    <x v="510"/>
    <x v="515"/>
    <x v="514"/>
    <x v="268"/>
    <s v="AZ"/>
    <s v="Tucson"/>
    <s v="MI"/>
    <s v="Detroit"/>
    <x v="0"/>
    <n v="772918"/>
    <s v="101-300"/>
    <n v="155"/>
    <x v="136"/>
    <x v="318"/>
    <n v="149.4"/>
    <n v="200.6"/>
    <x v="4"/>
    <s v="3.39 hrs"/>
    <s v="14:00-17:59"/>
    <x v="4"/>
    <x v="0"/>
    <n v="-11"/>
    <n v="27"/>
    <n v="0"/>
    <n v="26.6"/>
    <n v="0"/>
    <n v="0.84899999999999998"/>
    <n v="0.5"/>
    <n v="4474.1499999999996"/>
    <x v="0"/>
    <n v="1"/>
    <n v="1"/>
    <n v="0"/>
    <n v="1"/>
    <n v="0"/>
    <n v="1"/>
    <n v="0"/>
    <x v="105"/>
    <x v="61"/>
    <n v="172.24"/>
    <n v="34.14"/>
    <x v="510"/>
    <n v="13.2"/>
    <n v="34.4"/>
  </r>
  <r>
    <n v="725711790"/>
    <n v="816751"/>
    <n v="3011363"/>
    <n v="9996"/>
    <x v="7"/>
    <n v="54355"/>
    <x v="10"/>
    <x v="49"/>
    <x v="49"/>
    <x v="511"/>
    <x v="516"/>
    <x v="515"/>
    <x v="50"/>
    <s v="WA"/>
    <s v="Seattle"/>
    <s v="WA"/>
    <s v="Everett"/>
    <x v="2"/>
    <n v="745653"/>
    <s v="501-1000"/>
    <n v="777"/>
    <x v="155"/>
    <x v="216"/>
    <n v="779"/>
    <n v="824.3"/>
    <x v="0"/>
    <s v="16.93"/>
    <s v="06:00-09:59"/>
    <x v="2"/>
    <x v="0"/>
    <n v="-22"/>
    <n v="0"/>
    <n v="0"/>
    <n v="16.399999999999999"/>
    <n v="0"/>
    <n v="0.86099999999999999"/>
    <n v="0.42899999999999999"/>
    <n v="6500.76"/>
    <x v="1"/>
    <n v="1"/>
    <n v="1"/>
    <n v="0"/>
    <n v="1"/>
    <n v="0"/>
    <n v="1"/>
    <n v="0"/>
    <x v="13"/>
    <x v="24"/>
    <n v="696.86"/>
    <n v="88.39"/>
    <x v="511"/>
    <n v="13.3"/>
    <n v="28.4"/>
  </r>
  <r>
    <n v="812548074"/>
    <n v="903035"/>
    <n v="7110622"/>
    <n v="3200"/>
    <x v="2"/>
    <n v="53305"/>
    <x v="14"/>
    <x v="188"/>
    <x v="187"/>
    <x v="512"/>
    <x v="517"/>
    <x v="516"/>
    <x v="190"/>
    <s v="TN"/>
    <s v="Chattanooga"/>
    <s v="MO"/>
    <s v="Independence"/>
    <x v="0"/>
    <n v="722184"/>
    <s v="101-300"/>
    <n v="142"/>
    <x v="6"/>
    <x v="151"/>
    <n v="142.9"/>
    <n v="187.4"/>
    <x v="2"/>
    <s v="3.25"/>
    <s v="14:00-17:59"/>
    <x v="6"/>
    <x v="0"/>
    <n v="-21"/>
    <n v="0"/>
    <n v="0"/>
    <n v="63.7"/>
    <n v="0"/>
    <n v="0.78700000000000003"/>
    <n v="0.47299999999999998"/>
    <n v="17827.990000000002"/>
    <x v="1"/>
    <n v="1"/>
    <n v="1"/>
    <n v="0"/>
    <n v="1"/>
    <n v="0"/>
    <n v="1"/>
    <n v="0"/>
    <x v="4"/>
    <x v="76"/>
    <n v="165.78"/>
    <n v="28.92"/>
    <x v="512"/>
    <n v="26.8"/>
    <n v="17.3"/>
  </r>
  <r>
    <n v="251857566"/>
    <n v="855731"/>
    <n v="2724590"/>
    <n v="1202"/>
    <x v="8"/>
    <n v="51538"/>
    <x v="6"/>
    <x v="58"/>
    <x v="58"/>
    <x v="513"/>
    <x v="518"/>
    <x v="517"/>
    <x v="58"/>
    <s v="WA"/>
    <s v="Vancouver"/>
    <s v="TN"/>
    <s v="Chattanooga"/>
    <x v="1"/>
    <n v="715799"/>
    <s v="101-300"/>
    <n v="170"/>
    <x v="318"/>
    <x v="196"/>
    <n v="173.9"/>
    <n v="198"/>
    <x v="0"/>
    <s v="2.81"/>
    <s v="06:00-09:59"/>
    <x v="3"/>
    <x v="0"/>
    <n v="6"/>
    <n v="0"/>
    <n v="0"/>
    <n v="28.9"/>
    <n v="0"/>
    <n v="0.499"/>
    <n v="0.624"/>
    <n v="2168.87"/>
    <x v="0"/>
    <n v="1"/>
    <n v="1"/>
    <n v="0"/>
    <n v="1"/>
    <n v="0"/>
    <n v="1"/>
    <n v="0"/>
    <x v="26"/>
    <x v="63"/>
    <n v="157"/>
    <n v="21.04"/>
    <x v="513"/>
    <n v="32.200000000000003"/>
    <n v="66.599999999999994"/>
  </r>
  <r>
    <n v="475617211"/>
    <n v="779514"/>
    <n v="5130808"/>
    <n v="3731"/>
    <x v="4"/>
    <n v="51331"/>
    <x v="6"/>
    <x v="137"/>
    <x v="137"/>
    <x v="514"/>
    <x v="519"/>
    <x v="518"/>
    <x v="140"/>
    <s v="NJ"/>
    <s v="Jersey City"/>
    <s v="NJ"/>
    <s v="Elizabeth"/>
    <x v="3"/>
    <n v="748114"/>
    <s v="101-300"/>
    <n v="174"/>
    <x v="341"/>
    <x v="17"/>
    <n v="168.3"/>
    <n v="217.6"/>
    <x v="0"/>
    <s v="5.64"/>
    <s v="14:00-17:59"/>
    <x v="6"/>
    <x v="3"/>
    <n v="37"/>
    <n v="0"/>
    <n v="0"/>
    <n v="91.2"/>
    <n v="0"/>
    <n v="0.36199999999999999"/>
    <n v="0.66800000000000004"/>
    <n v="1789.31"/>
    <x v="0"/>
    <n v="1"/>
    <n v="0"/>
    <n v="1"/>
    <n v="0"/>
    <n v="1"/>
    <n v="0"/>
    <n v="1"/>
    <x v="6"/>
    <x v="91"/>
    <n v="193.45"/>
    <n v="41.82"/>
    <x v="514"/>
    <n v="38.9"/>
    <n v="78.7"/>
  </r>
  <r>
    <n v="433108786"/>
    <n v="520651"/>
    <n v="5098412"/>
    <n v="7892"/>
    <x v="1"/>
    <n v="58168"/>
    <x v="1"/>
    <x v="270"/>
    <x v="269"/>
    <x v="515"/>
    <x v="520"/>
    <x v="519"/>
    <x v="277"/>
    <s v="AZ"/>
    <s v="Flagstaff"/>
    <s v="AZ"/>
    <s v="Tucson"/>
    <x v="2"/>
    <n v="742558"/>
    <s v="501-1000"/>
    <n v="570"/>
    <x v="342"/>
    <x v="319"/>
    <n v="569.79999999999995"/>
    <n v="658"/>
    <x v="0"/>
    <s v="14.42"/>
    <s v="00:00-05:59"/>
    <x v="4"/>
    <x v="0"/>
    <n v="-1"/>
    <n v="0"/>
    <n v="0"/>
    <n v="57.8"/>
    <n v="0"/>
    <n v="0.54400000000000004"/>
    <n v="0.746"/>
    <n v="2770.57"/>
    <x v="0"/>
    <n v="1"/>
    <n v="1"/>
    <n v="0"/>
    <n v="1"/>
    <n v="0"/>
    <n v="1"/>
    <n v="0"/>
    <x v="1"/>
    <x v="7"/>
    <n v="413.19"/>
    <n v="134.63999999999999"/>
    <x v="515"/>
    <n v="45.8"/>
    <n v="52"/>
  </r>
  <r>
    <n v="804433388"/>
    <n v="198246"/>
    <n v="9626108"/>
    <n v="5555"/>
    <x v="0"/>
    <n v="56939"/>
    <x v="6"/>
    <x v="86"/>
    <x v="86"/>
    <x v="516"/>
    <x v="521"/>
    <x v="520"/>
    <x v="85"/>
    <s v="TN"/>
    <s v="Memphis"/>
    <s v="TN"/>
    <s v="Knoxville"/>
    <x v="1"/>
    <n v="733303"/>
    <s v="0-100"/>
    <n v="38"/>
    <x v="343"/>
    <x v="320"/>
    <n v="33.5"/>
    <n v="71.7"/>
    <x v="1"/>
    <s v="0.43"/>
    <s v="00:00-05:59"/>
    <x v="2"/>
    <x v="0"/>
    <n v="-64"/>
    <n v="73"/>
    <n v="0"/>
    <n v="69.400000000000006"/>
    <n v="0"/>
    <n v="0.64700000000000002"/>
    <n v="0.437"/>
    <n v="1411"/>
    <x v="0"/>
    <n v="1"/>
    <n v="1"/>
    <n v="0"/>
    <n v="1"/>
    <n v="0"/>
    <n v="1"/>
    <n v="0"/>
    <x v="79"/>
    <x v="11"/>
    <n v="49.91"/>
    <n v="15.46"/>
    <x v="516"/>
    <n v="11.5"/>
    <n v="22.2"/>
  </r>
  <r>
    <n v="849987147"/>
    <n v="518373"/>
    <n v="7812810"/>
    <n v="2045"/>
    <x v="4"/>
    <n v="58261"/>
    <x v="10"/>
    <x v="47"/>
    <x v="47"/>
    <x v="517"/>
    <x v="522"/>
    <x v="521"/>
    <x v="278"/>
    <s v="CO"/>
    <s v="Denver"/>
    <s v="NJ"/>
    <s v="Paterson"/>
    <x v="3"/>
    <n v="774044"/>
    <s v="101-300"/>
    <n v="274"/>
    <x v="344"/>
    <x v="321"/>
    <n v="276"/>
    <n v="315.7"/>
    <x v="0"/>
    <s v="4.81"/>
    <s v="18:00-23:59"/>
    <x v="1"/>
    <x v="0"/>
    <n v="-30"/>
    <n v="0"/>
    <n v="0"/>
    <n v="47.1"/>
    <n v="0"/>
    <n v="0.45"/>
    <n v="0.70799999999999996"/>
    <n v="12151.83"/>
    <x v="1"/>
    <n v="1"/>
    <n v="1"/>
    <n v="0"/>
    <n v="1"/>
    <n v="0"/>
    <n v="1"/>
    <n v="0"/>
    <x v="27"/>
    <x v="13"/>
    <n v="271.92"/>
    <n v="57.76"/>
    <x v="517"/>
    <n v="21.7"/>
    <n v="11.2"/>
  </r>
  <r>
    <n v="810962214"/>
    <n v="166613"/>
    <n v="3484601"/>
    <n v="6855"/>
    <x v="8"/>
    <n v="55558"/>
    <x v="9"/>
    <x v="50"/>
    <x v="50"/>
    <x v="518"/>
    <x v="523"/>
    <x v="522"/>
    <x v="50"/>
    <s v="CA"/>
    <s v="Oakland"/>
    <s v="TN"/>
    <s v="Knoxville"/>
    <x v="1"/>
    <n v="747187"/>
    <s v="301-500"/>
    <n v="328"/>
    <x v="31"/>
    <x v="262"/>
    <n v="323"/>
    <n v="366.7"/>
    <x v="0"/>
    <s v="7.65"/>
    <s v="10:00-13:59"/>
    <x v="0"/>
    <x v="0"/>
    <n v="15"/>
    <n v="0"/>
    <n v="0"/>
    <n v="55.3"/>
    <n v="0"/>
    <n v="0.4"/>
    <n v="0.58899999999999997"/>
    <n v="1332.07"/>
    <x v="0"/>
    <n v="1"/>
    <n v="1"/>
    <n v="0"/>
    <n v="1"/>
    <n v="0"/>
    <n v="1"/>
    <n v="0"/>
    <x v="17"/>
    <x v="63"/>
    <n v="273.95999999999998"/>
    <n v="64.48"/>
    <x v="17"/>
    <n v="43.3"/>
    <n v="32.4"/>
  </r>
  <r>
    <n v="520861681"/>
    <n v="479201"/>
    <n v="7550190"/>
    <n v="5887"/>
    <x v="4"/>
    <n v="55944"/>
    <x v="12"/>
    <x v="116"/>
    <x v="115"/>
    <x v="519"/>
    <x v="524"/>
    <x v="523"/>
    <x v="116"/>
    <s v="CO"/>
    <s v="Pueblo"/>
    <s v="TX"/>
    <s v="Houston"/>
    <x v="1"/>
    <n v="703172"/>
    <s v="301-500"/>
    <n v="296"/>
    <x v="271"/>
    <x v="5"/>
    <n v="292.7"/>
    <n v="340.7"/>
    <x v="3"/>
    <s v="6.99"/>
    <s v="10:00-13:59"/>
    <x v="6"/>
    <x v="0"/>
    <n v="-11"/>
    <n v="16"/>
    <n v="0"/>
    <n v="50.2"/>
    <n v="0"/>
    <n v="0.77"/>
    <n v="0.53300000000000003"/>
    <n v="13735.82"/>
    <x v="1"/>
    <n v="1"/>
    <n v="1"/>
    <n v="0"/>
    <n v="1"/>
    <n v="0"/>
    <n v="1"/>
    <n v="0"/>
    <x v="69"/>
    <x v="12"/>
    <n v="235.7"/>
    <n v="62.45"/>
    <x v="518"/>
    <n v="13.1"/>
    <n v="64.099999999999994"/>
  </r>
  <r>
    <n v="238460786"/>
    <n v="358607"/>
    <n v="5727085"/>
    <n v="6864"/>
    <x v="1"/>
    <n v="57126"/>
    <x v="10"/>
    <x v="271"/>
    <x v="270"/>
    <x v="520"/>
    <x v="525"/>
    <x v="524"/>
    <x v="279"/>
    <s v="CO"/>
    <s v="Aurora"/>
    <s v="GA"/>
    <s v="Atlanta"/>
    <x v="1"/>
    <n v="714585"/>
    <s v="101-300"/>
    <n v="240"/>
    <x v="345"/>
    <x v="45"/>
    <n v="240.7"/>
    <n v="252.3"/>
    <x v="0"/>
    <s v="5.19"/>
    <s v="06:00-09:59"/>
    <x v="4"/>
    <x v="0"/>
    <n v="-28"/>
    <n v="0"/>
    <n v="0"/>
    <n v="50.2"/>
    <n v="0"/>
    <n v="0.65500000000000003"/>
    <n v="0.66800000000000004"/>
    <n v="1716.08"/>
    <x v="0"/>
    <n v="1"/>
    <n v="1"/>
    <n v="0"/>
    <n v="1"/>
    <n v="0"/>
    <n v="1"/>
    <n v="0"/>
    <x v="30"/>
    <x v="24"/>
    <n v="216.69"/>
    <n v="51.11"/>
    <x v="519"/>
    <n v="7.3"/>
    <n v="53.5"/>
  </r>
  <r>
    <n v="738920648"/>
    <n v="731262"/>
    <n v="4594297"/>
    <n v="3558"/>
    <x v="5"/>
    <n v="50480"/>
    <x v="9"/>
    <x v="272"/>
    <x v="271"/>
    <x v="521"/>
    <x v="526"/>
    <x v="525"/>
    <x v="280"/>
    <s v="OH"/>
    <s v="Cleveland"/>
    <s v="MI"/>
    <s v="Lansing"/>
    <x v="0"/>
    <n v="774922"/>
    <s v="501-1000"/>
    <n v="1036"/>
    <x v="346"/>
    <x v="322"/>
    <n v="1030.4000000000001"/>
    <n v="1091.2"/>
    <x v="2"/>
    <s v="17.63"/>
    <s v="10:00-13:59"/>
    <x v="6"/>
    <x v="0"/>
    <n v="2"/>
    <n v="0"/>
    <n v="0"/>
    <n v="47.7"/>
    <n v="0"/>
    <n v="0.50600000000000001"/>
    <n v="0.69299999999999995"/>
    <n v="2425.06"/>
    <x v="0"/>
    <n v="1"/>
    <n v="1"/>
    <n v="0"/>
    <n v="1"/>
    <n v="0"/>
    <n v="1"/>
    <n v="0"/>
    <x v="13"/>
    <x v="22"/>
    <n v="945.72"/>
    <n v="214.8"/>
    <x v="520"/>
    <n v="10"/>
    <n v="81.8"/>
  </r>
  <r>
    <n v="861104727"/>
    <n v="665492"/>
    <n v="5960271"/>
    <n v="7015"/>
    <x v="1"/>
    <n v="55263"/>
    <x v="7"/>
    <x v="66"/>
    <x v="66"/>
    <x v="522"/>
    <x v="527"/>
    <x v="526"/>
    <x v="228"/>
    <s v="MO"/>
    <s v="Independence"/>
    <s v="NY"/>
    <s v="New York"/>
    <x v="3"/>
    <n v="739953"/>
    <s v="501-1000"/>
    <n v="668"/>
    <x v="347"/>
    <x v="306"/>
    <n v="658.3"/>
    <n v="729.5"/>
    <x v="0"/>
    <s v="13.01"/>
    <s v="10:00-13:59"/>
    <x v="4"/>
    <x v="0"/>
    <n v="-5"/>
    <n v="0"/>
    <n v="0"/>
    <n v="75.2"/>
    <n v="0"/>
    <n v="0.59699999999999998"/>
    <n v="0.52200000000000002"/>
    <n v="3811.37"/>
    <x v="0"/>
    <n v="1"/>
    <n v="1"/>
    <n v="0"/>
    <n v="1"/>
    <n v="0"/>
    <n v="1"/>
    <n v="0"/>
    <x v="56"/>
    <x v="46"/>
    <n v="552.14"/>
    <n v="111.34"/>
    <x v="521"/>
    <n v="5.6"/>
    <n v="1.9"/>
  </r>
  <r>
    <n v="190966348"/>
    <n v="207175"/>
    <n v="8077999"/>
    <n v="4152"/>
    <x v="6"/>
    <n v="54094"/>
    <x v="6"/>
    <x v="24"/>
    <x v="24"/>
    <x v="523"/>
    <x v="528"/>
    <x v="527"/>
    <x v="281"/>
    <s v="CO"/>
    <s v="Aurora"/>
    <s v="IL"/>
    <s v="Springfield"/>
    <x v="0"/>
    <n v="786969"/>
    <s v="0-100"/>
    <n v="30"/>
    <x v="188"/>
    <x v="110"/>
    <n v="36.200000000000003"/>
    <n v="81"/>
    <x v="3"/>
    <s v="1.4"/>
    <s v="18:00-23:59"/>
    <x v="1"/>
    <x v="0"/>
    <n v="-6"/>
    <n v="0"/>
    <n v="0"/>
    <n v="61.2"/>
    <n v="0"/>
    <n v="0.626"/>
    <n v="0.48099999999999998"/>
    <n v="4051.27"/>
    <x v="0"/>
    <n v="1"/>
    <n v="1"/>
    <n v="0"/>
    <n v="1"/>
    <n v="0"/>
    <n v="1"/>
    <n v="0"/>
    <x v="52"/>
    <x v="42"/>
    <n v="61.56"/>
    <n v="14.43"/>
    <x v="522"/>
    <n v="16.8"/>
    <n v="0.6"/>
  </r>
  <r>
    <n v="432411019"/>
    <n v="260265"/>
    <n v="8175395"/>
    <n v="8280"/>
    <x v="6"/>
    <n v="56167"/>
    <x v="8"/>
    <x v="233"/>
    <x v="232"/>
    <x v="524"/>
    <x v="529"/>
    <x v="528"/>
    <x v="66"/>
    <s v="CA"/>
    <s v="Fresno"/>
    <s v="AZ"/>
    <s v="Tempe"/>
    <x v="2"/>
    <n v="702981"/>
    <s v="101-300"/>
    <n v="227"/>
    <x v="248"/>
    <x v="192"/>
    <n v="223.1"/>
    <n v="253.6"/>
    <x v="3"/>
    <s v="7.51"/>
    <s v="18:00-23:59"/>
    <x v="6"/>
    <x v="4"/>
    <n v="146"/>
    <n v="195"/>
    <n v="0"/>
    <n v="48"/>
    <n v="0"/>
    <n v="0.76100000000000001"/>
    <n v="0.2"/>
    <n v="828.69"/>
    <x v="0"/>
    <n v="1"/>
    <n v="0"/>
    <n v="1"/>
    <n v="0"/>
    <n v="1"/>
    <n v="0"/>
    <n v="1"/>
    <x v="59"/>
    <x v="25"/>
    <n v="216.65"/>
    <n v="30.29"/>
    <x v="523"/>
    <n v="14.2"/>
    <n v="47.4"/>
  </r>
  <r>
    <n v="700138002"/>
    <n v="145561"/>
    <n v="2564689"/>
    <n v="1161"/>
    <x v="3"/>
    <n v="52793"/>
    <x v="12"/>
    <x v="101"/>
    <x v="101"/>
    <x v="525"/>
    <x v="530"/>
    <x v="529"/>
    <x v="99"/>
    <s v="MO"/>
    <s v="Independence"/>
    <s v="NJ"/>
    <s v="Jersey City"/>
    <x v="3"/>
    <n v="714728"/>
    <s v="0-100"/>
    <n v="101"/>
    <x v="348"/>
    <x v="154"/>
    <n v="92.6"/>
    <n v="154.4"/>
    <x v="0"/>
    <s v="2.54"/>
    <s v="14:00-17:59"/>
    <x v="3"/>
    <x v="0"/>
    <n v="3"/>
    <n v="0"/>
    <n v="0"/>
    <n v="51.7"/>
    <n v="0"/>
    <n v="0.35099999999999998"/>
    <n v="0.36699999999999999"/>
    <n v="2815.92"/>
    <x v="0"/>
    <n v="1"/>
    <n v="1"/>
    <n v="0"/>
    <n v="1"/>
    <n v="0"/>
    <n v="1"/>
    <n v="0"/>
    <x v="37"/>
    <x v="37"/>
    <n v="131.46"/>
    <n v="28.32"/>
    <x v="524"/>
    <n v="5.6"/>
    <n v="0"/>
  </r>
  <r>
    <n v="504456327"/>
    <n v="220116"/>
    <n v="6933742"/>
    <n v="5218"/>
    <x v="0"/>
    <n v="52892"/>
    <x v="7"/>
    <x v="190"/>
    <x v="189"/>
    <x v="526"/>
    <x v="531"/>
    <x v="530"/>
    <x v="192"/>
    <s v="TX"/>
    <s v="San Antonio"/>
    <s v="MO"/>
    <s v="Columbia"/>
    <x v="0"/>
    <n v="769048"/>
    <s v="101-300"/>
    <n v="273"/>
    <x v="349"/>
    <x v="323"/>
    <n v="266.3"/>
    <n v="300.8"/>
    <x v="0"/>
    <s v="4.5"/>
    <s v="10:00-13:59"/>
    <x v="0"/>
    <x v="0"/>
    <n v="-32"/>
    <n v="0"/>
    <n v="0"/>
    <n v="37.700000000000003"/>
    <n v="0"/>
    <n v="0.496"/>
    <n v="0.56599999999999995"/>
    <n v="1205.3699999999999"/>
    <x v="0"/>
    <n v="1"/>
    <n v="1"/>
    <n v="0"/>
    <n v="1"/>
    <n v="0"/>
    <n v="1"/>
    <n v="0"/>
    <x v="96"/>
    <x v="95"/>
    <n v="264.69"/>
    <n v="56.46"/>
    <x v="525"/>
    <n v="31.9"/>
    <n v="26.7"/>
  </r>
  <r>
    <n v="790945624"/>
    <n v="287330"/>
    <n v="4348276"/>
    <n v="9338"/>
    <x v="3"/>
    <n v="51198"/>
    <x v="10"/>
    <x v="273"/>
    <x v="272"/>
    <x v="527"/>
    <x v="532"/>
    <x v="531"/>
    <x v="282"/>
    <s v="FL"/>
    <s v="Orlando"/>
    <s v="MI"/>
    <s v="Grand Rapids"/>
    <x v="0"/>
    <n v="747876"/>
    <s v="101-300"/>
    <n v="238"/>
    <x v="118"/>
    <x v="237"/>
    <n v="237.4"/>
    <n v="258.3"/>
    <x v="2"/>
    <s v="7.01"/>
    <s v="10:00-13:59"/>
    <x v="1"/>
    <x v="2"/>
    <n v="127"/>
    <n v="0"/>
    <n v="3.3"/>
    <n v="48.6"/>
    <n v="0"/>
    <n v="0.68"/>
    <n v="0.76800000000000002"/>
    <n v="20199.93"/>
    <x v="1"/>
    <n v="1"/>
    <n v="0"/>
    <n v="1"/>
    <n v="0"/>
    <n v="1"/>
    <n v="0"/>
    <n v="1"/>
    <x v="75"/>
    <x v="69"/>
    <n v="210.17"/>
    <n v="50.67"/>
    <x v="526"/>
    <n v="17.5"/>
    <n v="70.8"/>
  </r>
  <r>
    <n v="950040559"/>
    <n v="500156"/>
    <n v="3138181"/>
    <n v="7528"/>
    <x v="0"/>
    <n v="58011"/>
    <x v="4"/>
    <x v="191"/>
    <x v="190"/>
    <x v="528"/>
    <x v="533"/>
    <x v="532"/>
    <x v="219"/>
    <s v="MI"/>
    <s v="Lansing"/>
    <s v="TX"/>
    <s v="Austin"/>
    <x v="1"/>
    <n v="712046"/>
    <s v="501-1000"/>
    <n v="659"/>
    <x v="350"/>
    <x v="324"/>
    <n v="668.5"/>
    <n v="757.2"/>
    <x v="0"/>
    <s v="13.8"/>
    <s v="14:00-17:59"/>
    <x v="2"/>
    <x v="0"/>
    <n v="23"/>
    <n v="47"/>
    <n v="0"/>
    <n v="52"/>
    <n v="0"/>
    <n v="0.78200000000000003"/>
    <n v="0.754"/>
    <n v="88789.25"/>
    <x v="2"/>
    <n v="1"/>
    <n v="0"/>
    <n v="1"/>
    <n v="0"/>
    <n v="1"/>
    <n v="0"/>
    <n v="1"/>
    <x v="37"/>
    <x v="56"/>
    <n v="511.69"/>
    <n v="150.01"/>
    <x v="527"/>
    <n v="24.1"/>
    <n v="37.799999999999997"/>
  </r>
  <r>
    <n v="452699013"/>
    <n v="549245"/>
    <n v="5213115"/>
    <n v="1663"/>
    <x v="9"/>
    <n v="52372"/>
    <x v="4"/>
    <x v="111"/>
    <x v="110"/>
    <x v="529"/>
    <x v="534"/>
    <x v="533"/>
    <x v="110"/>
    <s v="OH"/>
    <s v="Cleveland"/>
    <s v="TN"/>
    <s v="Clarksville"/>
    <x v="1"/>
    <n v="736170"/>
    <s v="301-500"/>
    <n v="414"/>
    <x v="273"/>
    <x v="181"/>
    <n v="413.2"/>
    <n v="473.2"/>
    <x v="2"/>
    <s v="7.63"/>
    <s v="06:00-09:59"/>
    <x v="6"/>
    <x v="0"/>
    <n v="-29"/>
    <n v="0"/>
    <n v="0"/>
    <n v="46.4"/>
    <n v="0"/>
    <n v="0.68300000000000005"/>
    <n v="0.72899999999999998"/>
    <n v="9294.57"/>
    <x v="1"/>
    <n v="1"/>
    <n v="1"/>
    <n v="0"/>
    <n v="1"/>
    <n v="0"/>
    <n v="1"/>
    <n v="0"/>
    <x v="27"/>
    <x v="29"/>
    <n v="371.42"/>
    <n v="72.3"/>
    <x v="528"/>
    <n v="7.6"/>
    <n v="37.5"/>
  </r>
  <r>
    <n v="973150512"/>
    <n v="955662"/>
    <n v="8315831"/>
    <n v="9445"/>
    <x v="1"/>
    <n v="51892"/>
    <x v="12"/>
    <x v="17"/>
    <x v="17"/>
    <x v="530"/>
    <x v="535"/>
    <x v="534"/>
    <x v="17"/>
    <s v="CA"/>
    <s v="Fresno"/>
    <s v="MO"/>
    <s v="Columbia"/>
    <x v="0"/>
    <n v="705882"/>
    <s v="0-100"/>
    <n v="28"/>
    <x v="351"/>
    <x v="325"/>
    <n v="31.5"/>
    <n v="124.6"/>
    <x v="1"/>
    <s v="1.75"/>
    <s v="06:00-09:59"/>
    <x v="4"/>
    <x v="2"/>
    <n v="15"/>
    <n v="0"/>
    <n v="3.7"/>
    <n v="24.7"/>
    <n v="0"/>
    <n v="0.63300000000000001"/>
    <n v="0.62"/>
    <n v="114242.56"/>
    <x v="2"/>
    <n v="1"/>
    <n v="1"/>
    <n v="0"/>
    <n v="1"/>
    <n v="0"/>
    <n v="1"/>
    <n v="0"/>
    <x v="19"/>
    <x v="17"/>
    <n v="91.55"/>
    <n v="25.97"/>
    <x v="529"/>
    <n v="18.100000000000001"/>
    <n v="40.6"/>
  </r>
  <r>
    <n v="237217505"/>
    <n v="198246"/>
    <n v="9626108"/>
    <n v="5555"/>
    <x v="0"/>
    <n v="55790"/>
    <x v="1"/>
    <x v="274"/>
    <x v="273"/>
    <x v="531"/>
    <x v="536"/>
    <x v="535"/>
    <x v="267"/>
    <s v="MI"/>
    <s v="Grand Rapids"/>
    <s v="NJ"/>
    <s v="Paterson"/>
    <x v="3"/>
    <n v="742039"/>
    <s v="0-100"/>
    <n v="81"/>
    <x v="344"/>
    <x v="25"/>
    <n v="78.7"/>
    <n v="122"/>
    <x v="1"/>
    <s v="2.45"/>
    <s v="00:00-05:59"/>
    <x v="6"/>
    <x v="0"/>
    <n v="5"/>
    <n v="0"/>
    <n v="0"/>
    <n v="54.5"/>
    <n v="0"/>
    <n v="0.63300000000000001"/>
    <n v="0.52700000000000002"/>
    <n v="116076.11"/>
    <x v="2"/>
    <n v="1"/>
    <n v="1"/>
    <n v="0"/>
    <n v="1"/>
    <n v="0"/>
    <n v="1"/>
    <n v="0"/>
    <x v="59"/>
    <x v="3"/>
    <n v="76.63"/>
    <n v="26.56"/>
    <x v="530"/>
    <n v="11.5"/>
    <n v="0"/>
  </r>
  <r>
    <n v="819532005"/>
    <n v="838797"/>
    <n v="5785687"/>
    <n v="9571"/>
    <x v="3"/>
    <n v="51883"/>
    <x v="7"/>
    <x v="275"/>
    <x v="274"/>
    <x v="532"/>
    <x v="537"/>
    <x v="536"/>
    <x v="254"/>
    <s v="IL"/>
    <s v="Springfield"/>
    <s v="WA"/>
    <s v="Seattle"/>
    <x v="2"/>
    <n v="749362"/>
    <s v="101-300"/>
    <n v="260"/>
    <x v="230"/>
    <x v="254"/>
    <n v="261.10000000000002"/>
    <n v="323.3"/>
    <x v="0"/>
    <s v="9.4"/>
    <s v="00:00-05:59"/>
    <x v="0"/>
    <x v="3"/>
    <n v="156"/>
    <n v="0"/>
    <n v="0"/>
    <n v="68.900000000000006"/>
    <n v="0"/>
    <n v="0.70699999999999996"/>
    <n v="0.77400000000000002"/>
    <n v="2540.29"/>
    <x v="0"/>
    <n v="1"/>
    <n v="0"/>
    <n v="1"/>
    <n v="0"/>
    <n v="1"/>
    <n v="0"/>
    <n v="1"/>
    <x v="38"/>
    <x v="6"/>
    <n v="219.5"/>
    <n v="70.27"/>
    <x v="531"/>
    <n v="12.8"/>
    <n v="89.7"/>
  </r>
  <r>
    <n v="854658900"/>
    <n v="145561"/>
    <n v="2564689"/>
    <n v="1161"/>
    <x v="3"/>
    <n v="55467"/>
    <x v="10"/>
    <x v="248"/>
    <x v="247"/>
    <x v="533"/>
    <x v="538"/>
    <x v="537"/>
    <x v="260"/>
    <s v="FL"/>
    <s v="Tampa"/>
    <s v="CA"/>
    <s v="Fresno"/>
    <x v="2"/>
    <n v="761759"/>
    <s v="101-300"/>
    <n v="312"/>
    <x v="301"/>
    <x v="90"/>
    <n v="310.8"/>
    <n v="382.2"/>
    <x v="0"/>
    <s v="8.52"/>
    <s v="06:00-09:59"/>
    <x v="0"/>
    <x v="0"/>
    <n v="-23"/>
    <n v="0"/>
    <n v="1.9"/>
    <n v="48.3"/>
    <n v="0"/>
    <n v="0.39900000000000002"/>
    <n v="0.94899999999999995"/>
    <n v="1479.19"/>
    <x v="0"/>
    <n v="1"/>
    <n v="1"/>
    <n v="0"/>
    <n v="1"/>
    <n v="0"/>
    <n v="1"/>
    <n v="0"/>
    <x v="76"/>
    <x v="22"/>
    <n v="260.54000000000002"/>
    <n v="65.09"/>
    <x v="532"/>
    <n v="5.6"/>
    <n v="0.3"/>
  </r>
  <r>
    <n v="990087914"/>
    <n v="781446"/>
    <n v="6098175"/>
    <n v="2693"/>
    <x v="8"/>
    <n v="50797"/>
    <x v="7"/>
    <x v="86"/>
    <x v="86"/>
    <x v="534"/>
    <x v="539"/>
    <x v="538"/>
    <x v="85"/>
    <s v="AZ"/>
    <s v="Mesa"/>
    <s v="AZ"/>
    <s v="Flagstaff"/>
    <x v="2"/>
    <n v="742558"/>
    <s v="101-300"/>
    <n v="160"/>
    <x v="352"/>
    <x v="138"/>
    <n v="163.4"/>
    <n v="209.8"/>
    <x v="1"/>
    <s v="2.71"/>
    <s v="10:00-13:59"/>
    <x v="2"/>
    <x v="0"/>
    <n v="-64"/>
    <n v="0"/>
    <n v="0"/>
    <n v="93.7"/>
    <n v="0"/>
    <n v="0.72299999999999998"/>
    <n v="0.66"/>
    <n v="1394.58"/>
    <x v="0"/>
    <n v="1"/>
    <n v="1"/>
    <n v="0"/>
    <n v="1"/>
    <n v="0"/>
    <n v="1"/>
    <n v="0"/>
    <x v="76"/>
    <x v="29"/>
    <n v="135.26"/>
    <n v="35.07"/>
    <x v="533"/>
    <n v="13.3"/>
    <n v="15.8"/>
  </r>
  <r>
    <n v="893253262"/>
    <n v="472528"/>
    <n v="4117625"/>
    <n v="7278"/>
    <x v="3"/>
    <n v="58209"/>
    <x v="9"/>
    <x v="158"/>
    <x v="158"/>
    <x v="535"/>
    <x v="540"/>
    <x v="539"/>
    <x v="163"/>
    <s v="WA"/>
    <s v="Seattle"/>
    <s v="NJ"/>
    <s v="Jersey City"/>
    <x v="3"/>
    <n v="774899"/>
    <s v="501-1000"/>
    <n v="490"/>
    <x v="353"/>
    <x v="50"/>
    <n v="483.2"/>
    <n v="514.6"/>
    <x v="0"/>
    <s v="11.21"/>
    <s v="14:00-17:59"/>
    <x v="1"/>
    <x v="0"/>
    <n v="-19"/>
    <n v="0"/>
    <n v="0"/>
    <n v="67.7"/>
    <n v="0"/>
    <n v="0.753"/>
    <n v="0.92500000000000004"/>
    <n v="5171.75"/>
    <x v="0"/>
    <n v="1"/>
    <n v="1"/>
    <n v="0"/>
    <n v="1"/>
    <n v="0"/>
    <n v="1"/>
    <n v="0"/>
    <x v="65"/>
    <x v="18"/>
    <n v="389.04"/>
    <n v="79.7"/>
    <x v="534"/>
    <n v="20.5"/>
    <n v="74.7"/>
  </r>
  <r>
    <n v="835958147"/>
    <n v="379786"/>
    <n v="3726327"/>
    <n v="9004"/>
    <x v="5"/>
    <n v="58235"/>
    <x v="2"/>
    <x v="276"/>
    <x v="275"/>
    <x v="536"/>
    <x v="541"/>
    <x v="540"/>
    <x v="57"/>
    <s v="OH"/>
    <s v="Dayton"/>
    <s v="IL"/>
    <s v="Rockford"/>
    <x v="0"/>
    <n v="771620"/>
    <s v="501-1000"/>
    <n v="790"/>
    <x v="354"/>
    <x v="149"/>
    <n v="790.5"/>
    <n v="854.3"/>
    <x v="0"/>
    <s v="16.14"/>
    <s v="10:00-13:59"/>
    <x v="4"/>
    <x v="0"/>
    <n v="28"/>
    <n v="0"/>
    <n v="0"/>
    <n v="70.7"/>
    <n v="0"/>
    <n v="0.53500000000000003"/>
    <n v="0.54100000000000004"/>
    <n v="66997.960000000006"/>
    <x v="2"/>
    <n v="1"/>
    <n v="0"/>
    <n v="1"/>
    <n v="0"/>
    <n v="1"/>
    <n v="0"/>
    <n v="1"/>
    <x v="7"/>
    <x v="87"/>
    <n v="659.87"/>
    <n v="116.16"/>
    <x v="535"/>
    <n v="55.8"/>
    <n v="41.1"/>
  </r>
  <r>
    <n v="665210546"/>
    <n v="724834"/>
    <n v="1701771"/>
    <n v="6249"/>
    <x v="6"/>
    <n v="50154"/>
    <x v="1"/>
    <x v="185"/>
    <x v="184"/>
    <x v="537"/>
    <x v="542"/>
    <x v="541"/>
    <x v="207"/>
    <s v="OH"/>
    <s v="Dayton"/>
    <s v="TN"/>
    <s v="Clarksville"/>
    <x v="1"/>
    <n v="736170"/>
    <s v="101-300"/>
    <n v="256"/>
    <x v="355"/>
    <x v="44"/>
    <n v="256.89999999999998"/>
    <n v="335"/>
    <x v="2"/>
    <s v="6.75"/>
    <s v="06:00-09:59"/>
    <x v="3"/>
    <x v="3"/>
    <n v="104"/>
    <n v="0"/>
    <n v="0"/>
    <n v="52.4"/>
    <n v="0"/>
    <n v="0.51700000000000002"/>
    <n v="0.441"/>
    <n v="1985.07"/>
    <x v="0"/>
    <n v="1"/>
    <n v="0"/>
    <n v="1"/>
    <n v="0"/>
    <n v="1"/>
    <n v="0"/>
    <n v="1"/>
    <x v="22"/>
    <x v="16"/>
    <n v="241.87"/>
    <n v="46.92"/>
    <x v="536"/>
    <n v="4.4000000000000004"/>
    <n v="7"/>
  </r>
  <r>
    <n v="200344359"/>
    <n v="733052"/>
    <n v="2642635"/>
    <n v="8989"/>
    <x v="1"/>
    <n v="54962"/>
    <x v="11"/>
    <x v="221"/>
    <x v="220"/>
    <x v="538"/>
    <x v="543"/>
    <x v="542"/>
    <x v="191"/>
    <s v="MI"/>
    <s v="Grand Rapids"/>
    <s v="NY"/>
    <s v="Albany"/>
    <x v="3"/>
    <n v="788047"/>
    <s v="501-1000"/>
    <n v="930"/>
    <x v="8"/>
    <x v="326"/>
    <n v="932.4"/>
    <n v="969.5"/>
    <x v="2"/>
    <s v="25.59"/>
    <s v="06:00-09:59"/>
    <x v="5"/>
    <x v="2"/>
    <n v="302"/>
    <n v="0"/>
    <n v="3.3"/>
    <n v="60.4"/>
    <n v="0"/>
    <n v="0.60299999999999998"/>
    <n v="0.77"/>
    <n v="23200.52"/>
    <x v="1"/>
    <n v="1"/>
    <n v="0"/>
    <n v="1"/>
    <n v="0"/>
    <n v="1"/>
    <n v="0"/>
    <n v="1"/>
    <x v="106"/>
    <x v="98"/>
    <n v="721.02"/>
    <n v="122.05"/>
    <x v="537"/>
    <n v="11.9"/>
    <n v="16.2"/>
  </r>
  <r>
    <n v="793663866"/>
    <n v="946335"/>
    <n v="1247595"/>
    <n v="6675"/>
    <x v="1"/>
    <n v="54080"/>
    <x v="2"/>
    <x v="232"/>
    <x v="231"/>
    <x v="539"/>
    <x v="544"/>
    <x v="543"/>
    <x v="283"/>
    <s v="WA"/>
    <s v="Vancouver"/>
    <s v="WA"/>
    <s v="Vancouver"/>
    <x v="2"/>
    <n v="745653"/>
    <s v="101-300"/>
    <n v="146"/>
    <x v="44"/>
    <x v="327"/>
    <n v="137.9"/>
    <n v="194.5"/>
    <x v="0"/>
    <s v="6.84"/>
    <s v="10:00-13:59"/>
    <x v="0"/>
    <x v="4"/>
    <n v="218"/>
    <n v="376"/>
    <n v="0"/>
    <n v="70.099999999999994"/>
    <n v="0"/>
    <n v="0.67300000000000004"/>
    <n v="0.26600000000000001"/>
    <n v="15483.8"/>
    <x v="1"/>
    <n v="1"/>
    <n v="0"/>
    <n v="1"/>
    <n v="0"/>
    <n v="1"/>
    <n v="0"/>
    <n v="1"/>
    <x v="68"/>
    <x v="59"/>
    <n v="152.65"/>
    <n v="41.76"/>
    <x v="538"/>
    <n v="32.6"/>
    <n v="6.5"/>
  </r>
  <r>
    <n v="819896690"/>
    <n v="969693"/>
    <n v="3762152"/>
    <n v="8916"/>
    <x v="3"/>
    <n v="58050"/>
    <x v="1"/>
    <x v="0"/>
    <x v="0"/>
    <x v="540"/>
    <x v="545"/>
    <x v="544"/>
    <x v="0"/>
    <s v="NJ"/>
    <s v="Paterson"/>
    <s v="NJ"/>
    <s v="Jersey City"/>
    <x v="3"/>
    <n v="748114"/>
    <s v="301-500"/>
    <n v="350"/>
    <x v="356"/>
    <x v="21"/>
    <n v="347.1"/>
    <n v="420.9"/>
    <x v="0"/>
    <s v="6.87"/>
    <s v="06:00-09:59"/>
    <x v="0"/>
    <x v="0"/>
    <n v="3"/>
    <n v="0"/>
    <n v="0"/>
    <n v="31.6"/>
    <n v="0"/>
    <n v="0.89200000000000002"/>
    <n v="0.65100000000000002"/>
    <n v="89658.9"/>
    <x v="2"/>
    <n v="1"/>
    <n v="1"/>
    <n v="0"/>
    <n v="1"/>
    <n v="0"/>
    <n v="1"/>
    <n v="0"/>
    <x v="48"/>
    <x v="14"/>
    <n v="276.17"/>
    <n v="73.400000000000006"/>
    <x v="539"/>
    <n v="28.3"/>
    <n v="44.6"/>
  </r>
  <r>
    <n v="554629125"/>
    <n v="816751"/>
    <n v="3011363"/>
    <n v="9996"/>
    <x v="7"/>
    <n v="55947"/>
    <x v="11"/>
    <x v="70"/>
    <x v="70"/>
    <x v="541"/>
    <x v="546"/>
    <x v="545"/>
    <x v="69"/>
    <s v="IL"/>
    <s v="Springfield"/>
    <s v="FL"/>
    <s v="Tampa"/>
    <x v="1"/>
    <n v="754594"/>
    <s v="101-300"/>
    <n v="215"/>
    <x v="203"/>
    <x v="284"/>
    <n v="218.6"/>
    <n v="243.6"/>
    <x v="0"/>
    <s v="4.82"/>
    <s v="10:00-13:59"/>
    <x v="1"/>
    <x v="0"/>
    <n v="23"/>
    <n v="0"/>
    <n v="0"/>
    <n v="43.8"/>
    <n v="0"/>
    <n v="0.59899999999999998"/>
    <n v="0.68899999999999995"/>
    <n v="19176.86"/>
    <x v="1"/>
    <n v="1"/>
    <n v="0"/>
    <n v="1"/>
    <n v="0"/>
    <n v="1"/>
    <n v="0"/>
    <n v="1"/>
    <x v="37"/>
    <x v="46"/>
    <n v="192.12"/>
    <n v="51.68"/>
    <x v="540"/>
    <n v="13.3"/>
    <n v="33.6"/>
  </r>
  <r>
    <n v="645985356"/>
    <n v="946335"/>
    <n v="1247595"/>
    <n v="6675"/>
    <x v="1"/>
    <n v="59617"/>
    <x v="3"/>
    <x v="45"/>
    <x v="45"/>
    <x v="542"/>
    <x v="547"/>
    <x v="546"/>
    <x v="44"/>
    <s v="OH"/>
    <s v="Columbus"/>
    <s v="IL"/>
    <s v="Rockford"/>
    <x v="0"/>
    <n v="771620"/>
    <s v="0-100"/>
    <n v="49"/>
    <x v="208"/>
    <x v="149"/>
    <n v="50.4"/>
    <n v="81.5"/>
    <x v="0"/>
    <s v="1.6"/>
    <s v="18:00-23:59"/>
    <x v="2"/>
    <x v="0"/>
    <n v="6"/>
    <n v="0"/>
    <n v="0"/>
    <n v="59.2"/>
    <n v="0"/>
    <n v="0.83"/>
    <n v="0.59299999999999997"/>
    <n v="5056.6099999999997"/>
    <x v="0"/>
    <n v="1"/>
    <n v="1"/>
    <n v="0"/>
    <n v="1"/>
    <n v="0"/>
    <n v="1"/>
    <n v="0"/>
    <x v="107"/>
    <x v="99"/>
    <n v="67.89"/>
    <n v="11.94"/>
    <x v="541"/>
    <n v="32.6"/>
    <n v="12.9"/>
  </r>
  <r>
    <n v="488509962"/>
    <n v="216739"/>
    <n v="8574680"/>
    <n v="1860"/>
    <x v="4"/>
    <n v="54320"/>
    <x v="4"/>
    <x v="277"/>
    <x v="276"/>
    <x v="543"/>
    <x v="548"/>
    <x v="547"/>
    <x v="284"/>
    <s v="CA"/>
    <s v="Sacramento"/>
    <s v="AZ"/>
    <s v="Flagstaff"/>
    <x v="2"/>
    <n v="702981"/>
    <s v="501-1000"/>
    <n v="970"/>
    <x v="357"/>
    <x v="20"/>
    <n v="980.4"/>
    <n v="1006.6"/>
    <x v="1"/>
    <s v="20.09"/>
    <s v="06:00-09:59"/>
    <x v="2"/>
    <x v="0"/>
    <n v="-20"/>
    <n v="0"/>
    <n v="0"/>
    <n v="46.7"/>
    <n v="0"/>
    <n v="0.504"/>
    <n v="0.48"/>
    <n v="1194.19"/>
    <x v="0"/>
    <n v="1"/>
    <n v="1"/>
    <n v="0"/>
    <n v="1"/>
    <n v="0"/>
    <n v="1"/>
    <n v="0"/>
    <x v="12"/>
    <x v="82"/>
    <n v="888.25"/>
    <n v="136.68"/>
    <x v="542"/>
    <n v="14.3"/>
    <n v="14.8"/>
  </r>
  <r>
    <n v="119574893"/>
    <n v="955662"/>
    <n v="8315831"/>
    <n v="9445"/>
    <x v="1"/>
    <n v="51892"/>
    <x v="7"/>
    <x v="278"/>
    <x v="277"/>
    <x v="544"/>
    <x v="549"/>
    <x v="548"/>
    <x v="22"/>
    <s v="MO"/>
    <s v="Columbia"/>
    <s v="TN"/>
    <s v="Clarksville"/>
    <x v="1"/>
    <n v="705699"/>
    <s v="101-300"/>
    <n v="206"/>
    <x v="289"/>
    <x v="22"/>
    <n v="202.8"/>
    <n v="283.60000000000002"/>
    <x v="1"/>
    <s v="4.53"/>
    <s v="06:00-09:59"/>
    <x v="2"/>
    <x v="0"/>
    <n v="-43"/>
    <n v="0"/>
    <n v="0"/>
    <n v="37.799999999999997"/>
    <n v="0"/>
    <n v="0.52800000000000002"/>
    <n v="0.64100000000000001"/>
    <n v="15183.88"/>
    <x v="1"/>
    <n v="1"/>
    <n v="1"/>
    <n v="0"/>
    <n v="1"/>
    <n v="0"/>
    <n v="1"/>
    <n v="0"/>
    <x v="25"/>
    <x v="95"/>
    <n v="201.49"/>
    <n v="32.880000000000003"/>
    <x v="543"/>
    <n v="18.100000000000001"/>
    <n v="27.9"/>
  </r>
  <r>
    <n v="489336282"/>
    <n v="665492"/>
    <n v="5960271"/>
    <n v="7015"/>
    <x v="1"/>
    <n v="59089"/>
    <x v="8"/>
    <x v="279"/>
    <x v="278"/>
    <x v="545"/>
    <x v="550"/>
    <x v="549"/>
    <x v="16"/>
    <s v="OH"/>
    <s v="Dayton"/>
    <s v="OH"/>
    <s v="Dayton"/>
    <x v="0"/>
    <n v="797593"/>
    <s v="301-500"/>
    <n v="473"/>
    <x v="199"/>
    <x v="253"/>
    <n v="461.1"/>
    <n v="494.2"/>
    <x v="0"/>
    <s v="8.65"/>
    <s v="10:00-13:59"/>
    <x v="2"/>
    <x v="0"/>
    <n v="-9"/>
    <n v="0"/>
    <n v="0"/>
    <n v="38.799999999999997"/>
    <n v="0"/>
    <n v="0.66400000000000003"/>
    <n v="0.79800000000000004"/>
    <n v="90231.97"/>
    <x v="2"/>
    <n v="1"/>
    <n v="1"/>
    <n v="0"/>
    <n v="1"/>
    <n v="0"/>
    <n v="1"/>
    <n v="0"/>
    <x v="56"/>
    <x v="52"/>
    <n v="417.21"/>
    <n v="67.23"/>
    <x v="544"/>
    <n v="5.6"/>
    <n v="0"/>
  </r>
  <r>
    <n v="431642423"/>
    <n v="183667"/>
    <n v="1981186"/>
    <n v="3568"/>
    <x v="6"/>
    <n v="53424"/>
    <x v="11"/>
    <x v="280"/>
    <x v="279"/>
    <x v="546"/>
    <x v="551"/>
    <x v="550"/>
    <x v="285"/>
    <s v="AZ"/>
    <s v="Mesa"/>
    <s v="GA"/>
    <s v="Savannah"/>
    <x v="1"/>
    <n v="700025"/>
    <s v="101-300"/>
    <n v="229"/>
    <x v="358"/>
    <x v="227"/>
    <n v="226.2"/>
    <n v="300"/>
    <x v="1"/>
    <s v="3.83"/>
    <s v="18:00-23:59"/>
    <x v="3"/>
    <x v="0"/>
    <n v="-22"/>
    <n v="0"/>
    <n v="1.9"/>
    <n v="53.7"/>
    <n v="0"/>
    <n v="0.70899999999999996"/>
    <n v="0.42599999999999999"/>
    <n v="7369.93"/>
    <x v="1"/>
    <n v="1"/>
    <n v="1"/>
    <n v="0"/>
    <n v="1"/>
    <n v="0"/>
    <n v="1"/>
    <n v="0"/>
    <x v="68"/>
    <x v="35"/>
    <n v="240.54"/>
    <n v="62.05"/>
    <x v="545"/>
    <n v="21.8"/>
    <n v="18.8"/>
  </r>
  <r>
    <n v="293555835"/>
    <n v="910620"/>
    <n v="5977931"/>
    <n v="1064"/>
    <x v="3"/>
    <n v="59450"/>
    <x v="7"/>
    <x v="234"/>
    <x v="233"/>
    <x v="547"/>
    <x v="552"/>
    <x v="551"/>
    <x v="51"/>
    <s v="FL"/>
    <s v="Jacksonville"/>
    <s v="PA"/>
    <s v="Allentown"/>
    <x v="3"/>
    <n v="798350"/>
    <s v="0-100"/>
    <n v="89"/>
    <x v="238"/>
    <x v="154"/>
    <n v="73"/>
    <n v="108.4"/>
    <x v="0"/>
    <s v="2.57"/>
    <s v="14:00-17:59"/>
    <x v="3"/>
    <x v="0"/>
    <n v="-2"/>
    <n v="0"/>
    <n v="0"/>
    <n v="31.7"/>
    <n v="0"/>
    <n v="0.73699999999999999"/>
    <n v="0.81100000000000005"/>
    <n v="9558.41"/>
    <x v="1"/>
    <n v="1"/>
    <n v="1"/>
    <n v="0"/>
    <n v="1"/>
    <n v="0"/>
    <n v="1"/>
    <n v="0"/>
    <x v="46"/>
    <x v="10"/>
    <n v="83.56"/>
    <n v="18.41"/>
    <x v="546"/>
    <n v="7"/>
    <n v="51.1"/>
  </r>
  <r>
    <n v="329987621"/>
    <n v="770487"/>
    <n v="9683481"/>
    <n v="8270"/>
    <x v="8"/>
    <n v="52015"/>
    <x v="6"/>
    <x v="183"/>
    <x v="182"/>
    <x v="548"/>
    <x v="553"/>
    <x v="552"/>
    <x v="54"/>
    <s v="AZ"/>
    <s v="Tempe"/>
    <s v="AZ"/>
    <s v="Tucson"/>
    <x v="2"/>
    <n v="742558"/>
    <s v="0-100"/>
    <n v="49"/>
    <x v="99"/>
    <x v="131"/>
    <n v="53.2"/>
    <n v="111.3"/>
    <x v="4"/>
    <s v="3.27"/>
    <s v="18:00-23:59"/>
    <x v="3"/>
    <x v="2"/>
    <n v="106"/>
    <n v="0"/>
    <n v="3.3"/>
    <n v="50.2"/>
    <n v="0"/>
    <n v="0.57199999999999995"/>
    <n v="0.56200000000000006"/>
    <n v="2858.24"/>
    <x v="0"/>
    <n v="1"/>
    <n v="0"/>
    <n v="1"/>
    <n v="0"/>
    <n v="1"/>
    <n v="0"/>
    <n v="1"/>
    <x v="75"/>
    <x v="78"/>
    <n v="99.71"/>
    <n v="17.170000000000002"/>
    <x v="547"/>
    <n v="20"/>
    <n v="0"/>
  </r>
  <r>
    <n v="466932310"/>
    <n v="724834"/>
    <n v="1701771"/>
    <n v="6249"/>
    <x v="6"/>
    <n v="56673"/>
    <x v="5"/>
    <x v="215"/>
    <x v="214"/>
    <x v="549"/>
    <x v="554"/>
    <x v="553"/>
    <x v="222"/>
    <s v="MI"/>
    <s v="Grand Rapids"/>
    <s v="MI"/>
    <s v="Grand Rapids"/>
    <x v="0"/>
    <n v="711807"/>
    <s v="101-300"/>
    <n v="283"/>
    <x v="279"/>
    <x v="14"/>
    <n v="283"/>
    <n v="333.2"/>
    <x v="2"/>
    <s v="4.82"/>
    <s v="06:00-09:59"/>
    <x v="4"/>
    <x v="0"/>
    <n v="-25"/>
    <n v="0"/>
    <n v="0"/>
    <n v="61.1"/>
    <n v="0"/>
    <n v="0.79800000000000004"/>
    <n v="0.86899999999999999"/>
    <n v="6944.15"/>
    <x v="0"/>
    <n v="1"/>
    <n v="1"/>
    <n v="0"/>
    <n v="1"/>
    <n v="0"/>
    <n v="1"/>
    <n v="0"/>
    <x v="59"/>
    <x v="7"/>
    <n v="268.56"/>
    <n v="56.04"/>
    <x v="548"/>
    <n v="4.4000000000000004"/>
    <n v="1.1000000000000001"/>
  </r>
  <r>
    <n v="922653967"/>
    <n v="728038"/>
    <n v="1463060"/>
    <n v="7287"/>
    <x v="0"/>
    <n v="56032"/>
    <x v="7"/>
    <x v="281"/>
    <x v="280"/>
    <x v="550"/>
    <x v="555"/>
    <x v="554"/>
    <x v="132"/>
    <s v="OH"/>
    <s v="Cincinnati"/>
    <s v="AZ"/>
    <s v="Mesa"/>
    <x v="2"/>
    <n v="759297"/>
    <s v="301-500"/>
    <n v="353"/>
    <x v="359"/>
    <x v="57"/>
    <n v="355.4"/>
    <n v="440.6"/>
    <x v="0"/>
    <s v="7.45"/>
    <s v="18:00-23:59"/>
    <x v="1"/>
    <x v="0"/>
    <n v="-18"/>
    <n v="0"/>
    <n v="0"/>
    <n v="41.5"/>
    <n v="0"/>
    <n v="0.68799999999999994"/>
    <n v="0.54800000000000004"/>
    <n v="105362.07"/>
    <x v="2"/>
    <n v="1"/>
    <n v="1"/>
    <n v="0"/>
    <n v="1"/>
    <n v="0"/>
    <n v="1"/>
    <n v="0"/>
    <x v="92"/>
    <x v="41"/>
    <n v="321.56"/>
    <n v="91.26"/>
    <x v="549"/>
    <n v="13.6"/>
    <n v="25.4"/>
  </r>
  <r>
    <n v="622129427"/>
    <n v="944962"/>
    <n v="2016911"/>
    <n v="9792"/>
    <x v="7"/>
    <n v="54833"/>
    <x v="13"/>
    <x v="35"/>
    <x v="35"/>
    <x v="551"/>
    <x v="556"/>
    <x v="555"/>
    <x v="286"/>
    <s v="CA"/>
    <s v="San Diego"/>
    <s v="CO"/>
    <s v="Aurora"/>
    <x v="2"/>
    <n v="728940"/>
    <s v="101-300"/>
    <n v="222"/>
    <x v="266"/>
    <x v="328"/>
    <n v="225.3"/>
    <n v="287.3"/>
    <x v="0"/>
    <s v="4.46"/>
    <s v="06:00-09:59"/>
    <x v="4"/>
    <x v="0"/>
    <n v="-39"/>
    <n v="0"/>
    <n v="0"/>
    <n v="19.899999999999999"/>
    <n v="0"/>
    <n v="0.54900000000000004"/>
    <n v="0.77200000000000002"/>
    <n v="4866.9399999999996"/>
    <x v="0"/>
    <n v="1"/>
    <n v="1"/>
    <n v="0"/>
    <n v="1"/>
    <n v="0"/>
    <n v="1"/>
    <n v="0"/>
    <x v="20"/>
    <x v="35"/>
    <n v="239.57"/>
    <n v="35.380000000000003"/>
    <x v="550"/>
    <n v="11.5"/>
    <n v="18.5"/>
  </r>
  <r>
    <n v="306164050"/>
    <n v="263032"/>
    <n v="4191175"/>
    <n v="6486"/>
    <x v="9"/>
    <n v="59894"/>
    <x v="2"/>
    <x v="183"/>
    <x v="182"/>
    <x v="552"/>
    <x v="557"/>
    <x v="556"/>
    <x v="174"/>
    <s v="NY"/>
    <s v="Buffalo"/>
    <s v="NC"/>
    <s v="Wilmington"/>
    <x v="1"/>
    <n v="734898"/>
    <s v="301-500"/>
    <n v="339"/>
    <x v="19"/>
    <x v="297"/>
    <n v="345.2"/>
    <n v="371.5"/>
    <x v="4"/>
    <s v="6.2"/>
    <s v="00:00-05:59"/>
    <x v="3"/>
    <x v="0"/>
    <n v="-17"/>
    <n v="10"/>
    <n v="0"/>
    <n v="38.799999999999997"/>
    <n v="0"/>
    <n v="0.747"/>
    <n v="0.78200000000000003"/>
    <n v="5949.44"/>
    <x v="0"/>
    <n v="1"/>
    <n v="1"/>
    <n v="0"/>
    <n v="1"/>
    <n v="0"/>
    <n v="1"/>
    <n v="0"/>
    <x v="69"/>
    <x v="46"/>
    <n v="337.31"/>
    <n v="80.2"/>
    <x v="551"/>
    <n v="13.2"/>
    <n v="20.2"/>
  </r>
  <r>
    <n v="343248743"/>
    <n v="982554"/>
    <n v="4740036"/>
    <n v="3976"/>
    <x v="1"/>
    <n v="59065"/>
    <x v="2"/>
    <x v="181"/>
    <x v="180"/>
    <x v="553"/>
    <x v="558"/>
    <x v="557"/>
    <x v="95"/>
    <s v="FL"/>
    <s v="Fort Lauderdale"/>
    <s v="FL"/>
    <s v="Jacksonville"/>
    <x v="1"/>
    <n v="758654"/>
    <s v="301-500"/>
    <n v="399"/>
    <x v="235"/>
    <x v="265"/>
    <n v="383.5"/>
    <n v="444.8"/>
    <x v="0"/>
    <s v="10.29"/>
    <s v="14:00-17:59"/>
    <x v="0"/>
    <x v="0"/>
    <n v="-1"/>
    <n v="0"/>
    <n v="0"/>
    <n v="45.8"/>
    <n v="0"/>
    <n v="0.80400000000000005"/>
    <n v="0.65900000000000003"/>
    <n v="2061.81"/>
    <x v="0"/>
    <n v="1"/>
    <n v="1"/>
    <n v="0"/>
    <n v="1"/>
    <n v="0"/>
    <n v="1"/>
    <n v="0"/>
    <x v="50"/>
    <x v="49"/>
    <n v="398.3"/>
    <n v="80.040000000000006"/>
    <x v="552"/>
    <n v="44.5"/>
    <n v="14.9"/>
  </r>
  <r>
    <n v="247709679"/>
    <n v="549245"/>
    <n v="5213115"/>
    <n v="1663"/>
    <x v="9"/>
    <n v="50565"/>
    <x v="7"/>
    <x v="57"/>
    <x v="57"/>
    <x v="554"/>
    <x v="559"/>
    <x v="558"/>
    <x v="110"/>
    <s v="CO"/>
    <s v="Fort Collins"/>
    <s v="MO"/>
    <s v="Independence"/>
    <x v="0"/>
    <n v="706463"/>
    <s v="301-500"/>
    <n v="363"/>
    <x v="283"/>
    <x v="329"/>
    <n v="350.7"/>
    <n v="423.6"/>
    <x v="2"/>
    <s v="12.89"/>
    <s v="18:00-23:59"/>
    <x v="5"/>
    <x v="2"/>
    <n v="439"/>
    <n v="33"/>
    <n v="3.5"/>
    <n v="28.6"/>
    <n v="0"/>
    <n v="0.76200000000000001"/>
    <n v="0.89900000000000002"/>
    <n v="15200.91"/>
    <x v="1"/>
    <n v="1"/>
    <n v="0"/>
    <n v="1"/>
    <n v="0"/>
    <n v="1"/>
    <n v="0"/>
    <n v="1"/>
    <x v="4"/>
    <x v="72"/>
    <n v="387.2"/>
    <n v="85.84"/>
    <x v="553"/>
    <n v="7.6"/>
    <n v="40.1"/>
  </r>
  <r>
    <n v="266371119"/>
    <n v="872246"/>
    <n v="4860684"/>
    <n v="6578"/>
    <x v="5"/>
    <n v="57412"/>
    <x v="11"/>
    <x v="279"/>
    <x v="278"/>
    <x v="555"/>
    <x v="560"/>
    <x v="559"/>
    <x v="16"/>
    <s v="NC"/>
    <s v="Raleigh"/>
    <s v="MI"/>
    <s v="Flint"/>
    <x v="0"/>
    <n v="733483"/>
    <s v="101-300"/>
    <n v="162"/>
    <x v="360"/>
    <x v="330"/>
    <n v="157.5"/>
    <n v="243.3"/>
    <x v="2"/>
    <s v="2.56"/>
    <s v="06:00-09:59"/>
    <x v="2"/>
    <x v="0"/>
    <n v="-34"/>
    <n v="0"/>
    <n v="0"/>
    <n v="48.6"/>
    <n v="0"/>
    <n v="0.63300000000000001"/>
    <n v="0.51100000000000001"/>
    <n v="14470.74"/>
    <x v="1"/>
    <n v="1"/>
    <n v="1"/>
    <n v="0"/>
    <n v="1"/>
    <n v="0"/>
    <n v="1"/>
    <n v="0"/>
    <x v="41"/>
    <x v="38"/>
    <n v="157.79"/>
    <n v="39.67"/>
    <x v="554"/>
    <n v="41.8"/>
    <n v="6.6"/>
  </r>
  <r>
    <n v="182855381"/>
    <n v="479580"/>
    <n v="8106422"/>
    <n v="2495"/>
    <x v="5"/>
    <n v="52018"/>
    <x v="1"/>
    <x v="170"/>
    <x v="169"/>
    <x v="556"/>
    <x v="561"/>
    <x v="560"/>
    <x v="46"/>
    <s v="PA"/>
    <s v="Pittsburgh"/>
    <s v="PA"/>
    <s v="Harrisburg"/>
    <x v="3"/>
    <n v="739365"/>
    <s v="501-1000"/>
    <n v="1031"/>
    <x v="361"/>
    <x v="68"/>
    <n v="1029.2"/>
    <n v="1085.5"/>
    <x v="0"/>
    <s v="20.46"/>
    <s v="06:00-09:59"/>
    <x v="6"/>
    <x v="0"/>
    <n v="2"/>
    <n v="0"/>
    <n v="2.1"/>
    <n v="63.1"/>
    <n v="0"/>
    <n v="0.79800000000000004"/>
    <n v="0.754"/>
    <n v="16863"/>
    <x v="1"/>
    <n v="1"/>
    <n v="1"/>
    <n v="0"/>
    <n v="1"/>
    <n v="0"/>
    <n v="1"/>
    <n v="0"/>
    <x v="69"/>
    <x v="35"/>
    <n v="817.42"/>
    <n v="139.37"/>
    <x v="555"/>
    <n v="9.6999999999999993"/>
    <n v="72"/>
  </r>
  <r>
    <n v="417604347"/>
    <n v="705397"/>
    <n v="5449368"/>
    <n v="5859"/>
    <x v="1"/>
    <n v="52314"/>
    <x v="8"/>
    <x v="124"/>
    <x v="123"/>
    <x v="557"/>
    <x v="562"/>
    <x v="561"/>
    <x v="124"/>
    <s v="CO"/>
    <s v="Aurora"/>
    <s v="FL"/>
    <s v="Orlando"/>
    <x v="1"/>
    <n v="730539"/>
    <s v="101-300"/>
    <n v="139"/>
    <x v="362"/>
    <x v="0"/>
    <n v="140.19999999999999"/>
    <n v="161.80000000000001"/>
    <x v="2"/>
    <s v="4.26"/>
    <s v="00:00-05:59"/>
    <x v="2"/>
    <x v="2"/>
    <n v="15"/>
    <n v="0"/>
    <n v="3.7"/>
    <n v="69.599999999999994"/>
    <n v="0"/>
    <n v="0.29899999999999999"/>
    <n v="0.66900000000000004"/>
    <n v="7272.73"/>
    <x v="0"/>
    <n v="1"/>
    <n v="1"/>
    <n v="0"/>
    <n v="1"/>
    <n v="0"/>
    <n v="1"/>
    <n v="0"/>
    <x v="108"/>
    <x v="61"/>
    <n v="121.32"/>
    <n v="27.2"/>
    <x v="556"/>
    <n v="11.4"/>
    <n v="32.6"/>
  </r>
  <r>
    <n v="946237594"/>
    <n v="766563"/>
    <n v="9910817"/>
    <n v="1391"/>
    <x v="7"/>
    <n v="54412"/>
    <x v="4"/>
    <x v="100"/>
    <x v="100"/>
    <x v="558"/>
    <x v="563"/>
    <x v="562"/>
    <x v="98"/>
    <s v="PA"/>
    <s v="Pittsburgh"/>
    <s v="CA"/>
    <s v="Oakland"/>
    <x v="2"/>
    <n v="768585"/>
    <s v="101-300"/>
    <n v="274"/>
    <x v="300"/>
    <x v="136"/>
    <n v="274.7"/>
    <n v="331.3"/>
    <x v="1"/>
    <s v="5.78"/>
    <s v="06:00-09:59"/>
    <x v="6"/>
    <x v="0"/>
    <n v="-18"/>
    <n v="0"/>
    <n v="0"/>
    <n v="45"/>
    <n v="0"/>
    <n v="0.88100000000000001"/>
    <n v="0.67700000000000005"/>
    <n v="3356.75"/>
    <x v="0"/>
    <n v="1"/>
    <n v="1"/>
    <n v="0"/>
    <n v="1"/>
    <n v="0"/>
    <n v="1"/>
    <n v="0"/>
    <x v="100"/>
    <x v="54"/>
    <n v="243.55"/>
    <n v="35.83"/>
    <x v="557"/>
    <n v="10"/>
    <n v="29.7"/>
  </r>
  <r>
    <n v="208599066"/>
    <n v="898975"/>
    <n v="4731818"/>
    <n v="2986"/>
    <x v="1"/>
    <n v="53883"/>
    <x v="13"/>
    <x v="152"/>
    <x v="152"/>
    <x v="559"/>
    <x v="564"/>
    <x v="563"/>
    <x v="157"/>
    <s v="FL"/>
    <s v="Jacksonville"/>
    <s v="CO"/>
    <s v="Colorado Springs"/>
    <x v="2"/>
    <n v="707094"/>
    <s v="101-300"/>
    <n v="316"/>
    <x v="15"/>
    <x v="138"/>
    <n v="317.10000000000002"/>
    <n v="357.1"/>
    <x v="1"/>
    <s v="5.65"/>
    <s v="06:00-09:59"/>
    <x v="2"/>
    <x v="0"/>
    <n v="-16"/>
    <n v="0"/>
    <n v="0"/>
    <n v="50"/>
    <n v="0"/>
    <n v="0.313"/>
    <n v="0.435"/>
    <n v="13864.51"/>
    <x v="1"/>
    <n v="1"/>
    <n v="1"/>
    <n v="0"/>
    <n v="1"/>
    <n v="0"/>
    <n v="1"/>
    <n v="0"/>
    <x v="109"/>
    <x v="60"/>
    <n v="240.52"/>
    <n v="72.23"/>
    <x v="558"/>
    <n v="7.4"/>
    <n v="45.9"/>
  </r>
  <r>
    <n v="645127678"/>
    <n v="260263"/>
    <n v="5674183"/>
    <n v="5736"/>
    <x v="7"/>
    <n v="58216"/>
    <x v="14"/>
    <x v="43"/>
    <x v="43"/>
    <x v="560"/>
    <x v="565"/>
    <x v="564"/>
    <x v="127"/>
    <s v="MI"/>
    <s v="Detroit"/>
    <s v="MI"/>
    <s v="Lansing"/>
    <x v="0"/>
    <n v="711807"/>
    <s v="101-300"/>
    <n v="109"/>
    <x v="19"/>
    <x v="331"/>
    <n v="99.6"/>
    <n v="160.9"/>
    <x v="2"/>
    <s v="2.05"/>
    <s v="18:00-23:59"/>
    <x v="1"/>
    <x v="0"/>
    <n v="0"/>
    <n v="0"/>
    <n v="0"/>
    <n v="38.1"/>
    <n v="0"/>
    <n v="0.85699999999999998"/>
    <n v="0.88100000000000001"/>
    <n v="82281.98"/>
    <x v="2"/>
    <n v="1"/>
    <n v="1"/>
    <n v="0"/>
    <n v="1"/>
    <n v="0"/>
    <n v="1"/>
    <n v="0"/>
    <x v="24"/>
    <x v="5"/>
    <n v="139.93"/>
    <n v="28.63"/>
    <x v="559"/>
    <n v="30.8"/>
    <n v="26.2"/>
  </r>
  <r>
    <n v="927720428"/>
    <n v="816751"/>
    <n v="3011363"/>
    <n v="9996"/>
    <x v="7"/>
    <n v="56739"/>
    <x v="8"/>
    <x v="26"/>
    <x v="26"/>
    <x v="561"/>
    <x v="566"/>
    <x v="565"/>
    <x v="269"/>
    <s v="NC"/>
    <s v="Wilmington"/>
    <s v="CA"/>
    <s v="Sacramento"/>
    <x v="2"/>
    <n v="778944"/>
    <s v="0-100"/>
    <n v="82"/>
    <x v="363"/>
    <x v="124"/>
    <n v="77.2"/>
    <n v="134.6"/>
    <x v="0"/>
    <s v="1.8"/>
    <s v="14:00-17:59"/>
    <x v="0"/>
    <x v="0"/>
    <n v="-29"/>
    <n v="0"/>
    <n v="1.2"/>
    <n v="39.4"/>
    <n v="0"/>
    <n v="0.40200000000000002"/>
    <n v="0.81799999999999995"/>
    <n v="4660.87"/>
    <x v="0"/>
    <n v="1"/>
    <n v="1"/>
    <n v="0"/>
    <n v="1"/>
    <n v="0"/>
    <n v="1"/>
    <n v="0"/>
    <x v="24"/>
    <x v="24"/>
    <n v="110.63"/>
    <n v="18.03"/>
    <x v="560"/>
    <n v="13.3"/>
    <n v="39.5"/>
  </r>
  <r>
    <n v="679574436"/>
    <n v="377932"/>
    <n v="9508103"/>
    <n v="6699"/>
    <x v="2"/>
    <n v="59329"/>
    <x v="10"/>
    <x v="240"/>
    <x v="239"/>
    <x v="562"/>
    <x v="567"/>
    <x v="566"/>
    <x v="240"/>
    <s v="MI"/>
    <s v="Flint"/>
    <s v="WA"/>
    <s v="Seattle"/>
    <x v="2"/>
    <n v="722324"/>
    <s v="101-300"/>
    <n v="159"/>
    <x v="364"/>
    <x v="193"/>
    <n v="157.1"/>
    <n v="202.4"/>
    <x v="3"/>
    <s v="2.58"/>
    <s v="14:00-17:59"/>
    <x v="1"/>
    <x v="0"/>
    <n v="-13"/>
    <n v="0"/>
    <n v="0"/>
    <n v="60.7"/>
    <n v="0"/>
    <n v="0.64600000000000002"/>
    <n v="0.6"/>
    <n v="1846.76"/>
    <x v="0"/>
    <n v="1"/>
    <n v="1"/>
    <n v="0"/>
    <n v="1"/>
    <n v="0"/>
    <n v="1"/>
    <n v="0"/>
    <x v="17"/>
    <x v="22"/>
    <n v="162.28"/>
    <n v="26.91"/>
    <x v="561"/>
    <n v="13.9"/>
    <n v="38.5"/>
  </r>
  <r>
    <n v="996703082"/>
    <n v="816751"/>
    <n v="3011363"/>
    <n v="9996"/>
    <x v="7"/>
    <n v="57902"/>
    <x v="14"/>
    <x v="282"/>
    <x v="281"/>
    <x v="563"/>
    <x v="568"/>
    <x v="567"/>
    <x v="287"/>
    <s v="MO"/>
    <s v="Columbia"/>
    <s v="OH"/>
    <s v="Columbus"/>
    <x v="0"/>
    <n v="762371"/>
    <s v="101-300"/>
    <n v="113"/>
    <x v="303"/>
    <x v="56"/>
    <n v="112.1"/>
    <n v="128.19999999999999"/>
    <x v="0"/>
    <s v="2.42"/>
    <s v="14:00-17:59"/>
    <x v="2"/>
    <x v="0"/>
    <n v="6"/>
    <n v="0"/>
    <n v="0"/>
    <n v="43.8"/>
    <n v="0"/>
    <n v="0.81699999999999995"/>
    <n v="0.59699999999999998"/>
    <n v="21389.75"/>
    <x v="1"/>
    <n v="1"/>
    <n v="1"/>
    <n v="0"/>
    <n v="1"/>
    <n v="0"/>
    <n v="1"/>
    <n v="0"/>
    <x v="95"/>
    <x v="60"/>
    <n v="96.67"/>
    <n v="26.71"/>
    <x v="562"/>
    <n v="13.3"/>
    <n v="17"/>
  </r>
  <r>
    <n v="893112954"/>
    <n v="898975"/>
    <n v="4731818"/>
    <n v="2986"/>
    <x v="1"/>
    <n v="51189"/>
    <x v="4"/>
    <x v="270"/>
    <x v="269"/>
    <x v="564"/>
    <x v="569"/>
    <x v="568"/>
    <x v="277"/>
    <s v="IL"/>
    <s v="Aurora"/>
    <s v="TN"/>
    <s v="Clarksville"/>
    <x v="1"/>
    <n v="758407"/>
    <s v="101-300"/>
    <n v="191"/>
    <x v="238"/>
    <x v="161"/>
    <n v="188"/>
    <n v="214.7"/>
    <x v="1"/>
    <s v="4.71"/>
    <s v="10:00-13:59"/>
    <x v="4"/>
    <x v="0"/>
    <n v="-43"/>
    <n v="0"/>
    <n v="0"/>
    <n v="62.9"/>
    <n v="0"/>
    <n v="0.497"/>
    <n v="0.73799999999999999"/>
    <n v="1278.68"/>
    <x v="0"/>
    <n v="1"/>
    <n v="1"/>
    <n v="0"/>
    <n v="1"/>
    <n v="0"/>
    <n v="1"/>
    <n v="0"/>
    <x v="74"/>
    <x v="100"/>
    <n v="158.13999999999999"/>
    <n v="43.14"/>
    <x v="563"/>
    <n v="7.4"/>
    <n v="40.6"/>
  </r>
  <r>
    <n v="665359037"/>
    <n v="440035"/>
    <n v="1156287"/>
    <n v="8858"/>
    <x v="0"/>
    <n v="57156"/>
    <x v="1"/>
    <x v="268"/>
    <x v="267"/>
    <x v="565"/>
    <x v="570"/>
    <x v="569"/>
    <x v="237"/>
    <s v="NY"/>
    <s v="Albany"/>
    <s v="NY"/>
    <s v="Albany"/>
    <x v="3"/>
    <n v="742838"/>
    <s v="301-500"/>
    <n v="505"/>
    <x v="303"/>
    <x v="253"/>
    <n v="506.5"/>
    <n v="542.1"/>
    <x v="0"/>
    <s v="9.47"/>
    <s v="14:00-17:59"/>
    <x v="4"/>
    <x v="0"/>
    <n v="-61"/>
    <n v="0"/>
    <n v="0"/>
    <n v="59.2"/>
    <n v="0"/>
    <n v="0.52800000000000002"/>
    <n v="0.38500000000000001"/>
    <n v="920.12"/>
    <x v="0"/>
    <n v="1"/>
    <n v="1"/>
    <n v="0"/>
    <n v="1"/>
    <n v="0"/>
    <n v="1"/>
    <n v="0"/>
    <x v="6"/>
    <x v="20"/>
    <n v="464"/>
    <n v="103.85"/>
    <x v="564"/>
    <n v="8.3000000000000007"/>
    <n v="24.1"/>
  </r>
  <r>
    <n v="140531056"/>
    <n v="955662"/>
    <n v="8315831"/>
    <n v="9445"/>
    <x v="1"/>
    <n v="57342"/>
    <x v="7"/>
    <x v="213"/>
    <x v="212"/>
    <x v="566"/>
    <x v="571"/>
    <x v="570"/>
    <x v="136"/>
    <s v="FL"/>
    <s v="Orlando"/>
    <s v="NJ"/>
    <s v="Elizabeth"/>
    <x v="3"/>
    <n v="720446"/>
    <s v="101-300"/>
    <n v="107"/>
    <x v="18"/>
    <x v="332"/>
    <n v="100.2"/>
    <n v="178.7"/>
    <x v="1"/>
    <s v="3.84"/>
    <s v="10:00-13:59"/>
    <x v="3"/>
    <x v="0"/>
    <n v="6"/>
    <n v="0"/>
    <n v="0"/>
    <n v="39.4"/>
    <n v="0"/>
    <n v="0.60299999999999998"/>
    <n v="0.59199999999999997"/>
    <n v="2665.72"/>
    <x v="0"/>
    <n v="1"/>
    <n v="1"/>
    <n v="0"/>
    <n v="1"/>
    <n v="0"/>
    <n v="1"/>
    <n v="0"/>
    <x v="27"/>
    <x v="74"/>
    <n v="139.04"/>
    <n v="26.76"/>
    <x v="565"/>
    <n v="18.100000000000001"/>
    <n v="39.799999999999997"/>
  </r>
  <r>
    <n v="810741110"/>
    <n v="897549"/>
    <n v="9722815"/>
    <n v="6592"/>
    <x v="6"/>
    <n v="56884"/>
    <x v="3"/>
    <x v="116"/>
    <x v="115"/>
    <x v="567"/>
    <x v="572"/>
    <x v="571"/>
    <x v="116"/>
    <s v="CA"/>
    <s v="San Diego"/>
    <s v="TX"/>
    <s v="Austin"/>
    <x v="1"/>
    <n v="707878"/>
    <s v="101-300"/>
    <n v="231"/>
    <x v="2"/>
    <x v="305"/>
    <n v="228.1"/>
    <n v="298.10000000000002"/>
    <x v="0"/>
    <s v="3.62"/>
    <s v="06:00-09:59"/>
    <x v="6"/>
    <x v="0"/>
    <n v="-40"/>
    <n v="0"/>
    <n v="0"/>
    <n v="35.5"/>
    <n v="0"/>
    <n v="0.52800000000000002"/>
    <n v="0.439"/>
    <n v="17222.96"/>
    <x v="1"/>
    <n v="1"/>
    <n v="1"/>
    <n v="0"/>
    <n v="1"/>
    <n v="0"/>
    <n v="1"/>
    <n v="0"/>
    <x v="55"/>
    <x v="67"/>
    <n v="239.16"/>
    <n v="61.02"/>
    <x v="566"/>
    <n v="13.4"/>
    <n v="63.1"/>
  </r>
  <r>
    <n v="461597989"/>
    <n v="198246"/>
    <n v="9626108"/>
    <n v="5555"/>
    <x v="0"/>
    <n v="53157"/>
    <x v="10"/>
    <x v="106"/>
    <x v="282"/>
    <x v="568"/>
    <x v="573"/>
    <x v="572"/>
    <x v="131"/>
    <s v="TN"/>
    <s v="Memphis"/>
    <s v="CO"/>
    <s v="Aurora"/>
    <x v="2"/>
    <n v="795672"/>
    <s v="0-100"/>
    <n v="65"/>
    <x v="365"/>
    <x v="333"/>
    <n v="68"/>
    <n v="104.6"/>
    <x v="1"/>
    <s v="4.7"/>
    <s v="10:00-13:59"/>
    <x v="3"/>
    <x v="4"/>
    <n v="192"/>
    <n v="210"/>
    <n v="0"/>
    <n v="91.5"/>
    <n v="0"/>
    <n v="0.38800000000000001"/>
    <n v="0.79300000000000004"/>
    <n v="5885.99"/>
    <x v="0"/>
    <n v="1"/>
    <n v="0"/>
    <n v="1"/>
    <n v="0"/>
    <n v="1"/>
    <n v="0"/>
    <n v="1"/>
    <x v="81"/>
    <x v="60"/>
    <n v="67.989999999999995"/>
    <n v="13.56"/>
    <x v="567"/>
    <n v="11.5"/>
    <n v="7.2"/>
  </r>
  <r>
    <n v="922816526"/>
    <n v="598369"/>
    <n v="6266630"/>
    <n v="3869"/>
    <x v="5"/>
    <n v="55520"/>
    <x v="4"/>
    <x v="283"/>
    <x v="283"/>
    <x v="569"/>
    <x v="574"/>
    <x v="573"/>
    <x v="288"/>
    <s v="TX"/>
    <s v="San Antonio"/>
    <s v="TX"/>
    <s v="Houston"/>
    <x v="1"/>
    <n v="710286"/>
    <s v="301-500"/>
    <n v="490"/>
    <x v="366"/>
    <x v="213"/>
    <n v="491.2"/>
    <n v="565.9"/>
    <x v="0"/>
    <s v="8.67"/>
    <s v="10:00-13:59"/>
    <x v="3"/>
    <x v="0"/>
    <n v="25"/>
    <n v="0"/>
    <n v="0"/>
    <n v="46.2"/>
    <n v="0"/>
    <n v="0.38500000000000001"/>
    <n v="0.68700000000000006"/>
    <n v="113410.52"/>
    <x v="2"/>
    <n v="1"/>
    <n v="0"/>
    <n v="1"/>
    <n v="0"/>
    <n v="1"/>
    <n v="0"/>
    <n v="1"/>
    <x v="69"/>
    <x v="33"/>
    <n v="430.9"/>
    <n v="58.24"/>
    <x v="568"/>
    <n v="26.1"/>
    <n v="53.5"/>
  </r>
  <r>
    <n v="763606238"/>
    <n v="728038"/>
    <n v="1463060"/>
    <n v="7287"/>
    <x v="0"/>
    <n v="51741"/>
    <x v="2"/>
    <x v="164"/>
    <x v="164"/>
    <x v="570"/>
    <x v="575"/>
    <x v="574"/>
    <x v="170"/>
    <s v="MO"/>
    <s v="Kansas City"/>
    <s v="PA"/>
    <s v="Pittsburgh"/>
    <x v="3"/>
    <n v="737226"/>
    <s v="0-100"/>
    <n v="27"/>
    <x v="367"/>
    <x v="213"/>
    <n v="24.8"/>
    <n v="50.2"/>
    <x v="0"/>
    <s v="2.19"/>
    <s v="14:00-17:59"/>
    <x v="6"/>
    <x v="0"/>
    <n v="0"/>
    <n v="0"/>
    <n v="0"/>
    <n v="30.9"/>
    <n v="0"/>
    <n v="0.81799999999999995"/>
    <n v="0.78600000000000003"/>
    <n v="4380.13"/>
    <x v="0"/>
    <n v="1"/>
    <n v="1"/>
    <n v="0"/>
    <n v="1"/>
    <n v="0"/>
    <n v="1"/>
    <n v="0"/>
    <x v="20"/>
    <x v="42"/>
    <n v="33.090000000000003"/>
    <n v="7.63"/>
    <x v="151"/>
    <n v="13.6"/>
    <n v="36.6"/>
  </r>
  <r>
    <n v="240712839"/>
    <n v="982554"/>
    <n v="4740036"/>
    <n v="3976"/>
    <x v="1"/>
    <n v="53688"/>
    <x v="6"/>
    <x v="219"/>
    <x v="218"/>
    <x v="571"/>
    <x v="576"/>
    <x v="575"/>
    <x v="170"/>
    <s v="TN"/>
    <s v="Knoxville"/>
    <s v="CO"/>
    <s v="Fort Collins"/>
    <x v="2"/>
    <n v="795672"/>
    <s v="101-300"/>
    <n v="251"/>
    <x v="343"/>
    <x v="238"/>
    <n v="248.9"/>
    <n v="299"/>
    <x v="0"/>
    <s v="4.38"/>
    <s v="18:00-23:59"/>
    <x v="5"/>
    <x v="0"/>
    <n v="-39"/>
    <n v="0"/>
    <n v="1.5"/>
    <n v="27.5"/>
    <n v="0"/>
    <n v="0.45100000000000001"/>
    <n v="0.49399999999999999"/>
    <n v="3070.04"/>
    <x v="0"/>
    <n v="1"/>
    <n v="1"/>
    <n v="0"/>
    <n v="1"/>
    <n v="0"/>
    <n v="1"/>
    <n v="0"/>
    <x v="59"/>
    <x v="101"/>
    <n v="190.21"/>
    <n v="62.89"/>
    <x v="569"/>
    <n v="44.5"/>
    <n v="32.9"/>
  </r>
  <r>
    <n v="741288486"/>
    <n v="988662"/>
    <n v="2264748"/>
    <n v="2021"/>
    <x v="0"/>
    <n v="57485"/>
    <x v="12"/>
    <x v="284"/>
    <x v="284"/>
    <x v="572"/>
    <x v="577"/>
    <x v="576"/>
    <x v="289"/>
    <s v="GA"/>
    <s v="Atlanta"/>
    <s v="GA"/>
    <s v="Macon"/>
    <x v="1"/>
    <n v="783084"/>
    <s v="101-300"/>
    <n v="251"/>
    <x v="368"/>
    <x v="195"/>
    <n v="248.1"/>
    <n v="271.2"/>
    <x v="2"/>
    <s v="3.77"/>
    <s v="10:00-13:59"/>
    <x v="2"/>
    <x v="0"/>
    <n v="-50"/>
    <n v="0"/>
    <n v="0"/>
    <n v="35.200000000000003"/>
    <n v="0"/>
    <n v="0.747"/>
    <n v="0.6"/>
    <n v="4407.22"/>
    <x v="0"/>
    <n v="1"/>
    <n v="1"/>
    <n v="0"/>
    <n v="1"/>
    <n v="0"/>
    <n v="1"/>
    <n v="0"/>
    <x v="46"/>
    <x v="20"/>
    <n v="224.23"/>
    <n v="45.71"/>
    <x v="570"/>
    <n v="3.2"/>
    <n v="48.6"/>
  </r>
  <r>
    <n v="504499880"/>
    <n v="260263"/>
    <n v="5674183"/>
    <n v="5736"/>
    <x v="7"/>
    <n v="55369"/>
    <x v="7"/>
    <x v="153"/>
    <x v="153"/>
    <x v="573"/>
    <x v="578"/>
    <x v="577"/>
    <x v="205"/>
    <s v="AZ"/>
    <s v="Tempe"/>
    <s v="WA"/>
    <s v="Everett"/>
    <x v="2"/>
    <n v="788294"/>
    <s v="301-500"/>
    <n v="443"/>
    <x v="369"/>
    <x v="91"/>
    <n v="441"/>
    <n v="505.6"/>
    <x v="2"/>
    <s v="9.13"/>
    <s v="14:00-17:59"/>
    <x v="0"/>
    <x v="0"/>
    <n v="-35"/>
    <n v="0"/>
    <n v="0"/>
    <n v="31.9"/>
    <n v="0"/>
    <n v="0.52500000000000002"/>
    <n v="0.70499999999999996"/>
    <n v="22684.720000000001"/>
    <x v="1"/>
    <n v="1"/>
    <n v="1"/>
    <n v="0"/>
    <n v="1"/>
    <n v="0"/>
    <n v="1"/>
    <n v="0"/>
    <x v="40"/>
    <x v="68"/>
    <n v="355.16"/>
    <n v="64.48"/>
    <x v="571"/>
    <n v="30.8"/>
    <n v="29.6"/>
  </r>
  <r>
    <n v="265627642"/>
    <n v="217301"/>
    <n v="5453786"/>
    <n v="5548"/>
    <x v="6"/>
    <n v="55644"/>
    <x v="10"/>
    <x v="285"/>
    <x v="285"/>
    <x v="574"/>
    <x v="579"/>
    <x v="578"/>
    <x v="290"/>
    <s v="MO"/>
    <s v="Springfield"/>
    <s v="TN"/>
    <s v="Memphis"/>
    <x v="1"/>
    <n v="705699"/>
    <s v="101-300"/>
    <n v="307"/>
    <x v="35"/>
    <x v="298"/>
    <n v="304"/>
    <n v="346.6"/>
    <x v="3"/>
    <s v="11.64"/>
    <s v="06:00-09:59"/>
    <x v="2"/>
    <x v="2"/>
    <n v="231"/>
    <n v="0"/>
    <n v="4.2"/>
    <n v="28.2"/>
    <n v="0"/>
    <n v="0.79500000000000004"/>
    <n v="0.755"/>
    <n v="10248.02"/>
    <x v="1"/>
    <n v="1"/>
    <n v="0"/>
    <n v="1"/>
    <n v="0"/>
    <n v="1"/>
    <n v="0"/>
    <n v="1"/>
    <x v="8"/>
    <x v="10"/>
    <n v="315.24"/>
    <n v="61.73"/>
    <x v="572"/>
    <n v="13"/>
    <n v="41.3"/>
  </r>
  <r>
    <n v="274211616"/>
    <n v="705397"/>
    <n v="5449368"/>
    <n v="5859"/>
    <x v="1"/>
    <n v="59089"/>
    <x v="8"/>
    <x v="14"/>
    <x v="14"/>
    <x v="575"/>
    <x v="580"/>
    <x v="579"/>
    <x v="14"/>
    <s v="OH"/>
    <s v="Columbus"/>
    <s v="IL"/>
    <s v="Chicago"/>
    <x v="0"/>
    <n v="771620"/>
    <s v="301-500"/>
    <n v="479"/>
    <x v="189"/>
    <x v="162"/>
    <n v="476.8"/>
    <n v="488.5"/>
    <x v="2"/>
    <s v="12.94"/>
    <s v="14:00-17:59"/>
    <x v="0"/>
    <x v="4"/>
    <n v="143"/>
    <n v="225"/>
    <n v="0"/>
    <n v="74.3"/>
    <n v="0"/>
    <n v="0.75900000000000001"/>
    <n v="0.55300000000000005"/>
    <n v="4139.45"/>
    <x v="0"/>
    <n v="1"/>
    <n v="0"/>
    <n v="1"/>
    <n v="0"/>
    <n v="1"/>
    <n v="0"/>
    <n v="1"/>
    <x v="27"/>
    <x v="61"/>
    <n v="391.61"/>
    <n v="92.52"/>
    <x v="573"/>
    <n v="11.4"/>
    <n v="31.6"/>
  </r>
  <r>
    <n v="294181873"/>
    <n v="736059"/>
    <n v="7851696"/>
    <n v="5493"/>
    <x v="8"/>
    <n v="54023"/>
    <x v="10"/>
    <x v="283"/>
    <x v="283"/>
    <x v="576"/>
    <x v="581"/>
    <x v="580"/>
    <x v="288"/>
    <s v="NC"/>
    <s v="Wilmington"/>
    <s v="IL"/>
    <s v="Aurora"/>
    <x v="0"/>
    <n v="727770"/>
    <s v="0-100"/>
    <n v="23"/>
    <x v="81"/>
    <x v="249"/>
    <n v="24.8"/>
    <n v="88.5"/>
    <x v="2"/>
    <s v="4.79"/>
    <s v="10:00-13:59"/>
    <x v="3"/>
    <x v="3"/>
    <n v="156"/>
    <n v="0"/>
    <n v="0"/>
    <n v="79.900000000000006"/>
    <n v="0"/>
    <n v="0.66200000000000003"/>
    <n v="0.70699999999999996"/>
    <n v="5933.11"/>
    <x v="0"/>
    <n v="1"/>
    <n v="0"/>
    <n v="1"/>
    <n v="0"/>
    <n v="1"/>
    <n v="0"/>
    <n v="1"/>
    <x v="0"/>
    <x v="9"/>
    <n v="72"/>
    <n v="14.69"/>
    <x v="574"/>
    <n v="11.5"/>
    <n v="24.7"/>
  </r>
  <r>
    <n v="992649957"/>
    <n v="872246"/>
    <n v="4860684"/>
    <n v="6578"/>
    <x v="5"/>
    <n v="50716"/>
    <x v="13"/>
    <x v="209"/>
    <x v="208"/>
    <x v="577"/>
    <x v="582"/>
    <x v="581"/>
    <x v="215"/>
    <s v="AZ"/>
    <s v="Tucson"/>
    <s v="CA"/>
    <s v="San Diego"/>
    <x v="2"/>
    <n v="733902"/>
    <s v="101-300"/>
    <n v="206"/>
    <x v="370"/>
    <x v="53"/>
    <n v="207.6"/>
    <n v="227.1"/>
    <x v="2"/>
    <s v="4.48"/>
    <s v="00:00-05:59"/>
    <x v="5"/>
    <x v="0"/>
    <n v="-3"/>
    <n v="0"/>
    <n v="1"/>
    <n v="44.4"/>
    <n v="0"/>
    <n v="0.36099999999999999"/>
    <n v="0.78400000000000003"/>
    <n v="3315.45"/>
    <x v="0"/>
    <n v="1"/>
    <n v="1"/>
    <n v="0"/>
    <n v="1"/>
    <n v="0"/>
    <n v="1"/>
    <n v="0"/>
    <x v="62"/>
    <x v="56"/>
    <n v="154.21"/>
    <n v="45.67"/>
    <x v="575"/>
    <n v="41.8"/>
    <n v="8.6"/>
  </r>
  <r>
    <n v="843937341"/>
    <n v="456778"/>
    <n v="5171761"/>
    <n v="8041"/>
    <x v="6"/>
    <n v="53967"/>
    <x v="3"/>
    <x v="253"/>
    <x v="252"/>
    <x v="578"/>
    <x v="583"/>
    <x v="582"/>
    <x v="251"/>
    <s v="CO"/>
    <s v="Denver"/>
    <s v="PA"/>
    <s v="Pittsburgh"/>
    <x v="3"/>
    <n v="728157"/>
    <s v="101-300"/>
    <n v="190"/>
    <x v="371"/>
    <x v="49"/>
    <n v="182.1"/>
    <n v="242.8"/>
    <x v="3"/>
    <s v="6.18"/>
    <s v="10:00-13:59"/>
    <x v="3"/>
    <x v="2"/>
    <n v="122"/>
    <n v="0"/>
    <n v="2.1"/>
    <n v="49.4"/>
    <n v="0"/>
    <n v="0.56200000000000006"/>
    <n v="0.83099999999999996"/>
    <n v="2782.56"/>
    <x v="0"/>
    <n v="1"/>
    <n v="0"/>
    <n v="1"/>
    <n v="0"/>
    <n v="1"/>
    <n v="0"/>
    <n v="1"/>
    <x v="56"/>
    <x v="46"/>
    <n v="159.91999999999999"/>
    <n v="41.54"/>
    <x v="576"/>
    <n v="3.8"/>
    <n v="43.1"/>
  </r>
  <r>
    <n v="927959968"/>
    <n v="429963"/>
    <n v="9874152"/>
    <n v="4157"/>
    <x v="4"/>
    <n v="57423"/>
    <x v="11"/>
    <x v="145"/>
    <x v="145"/>
    <x v="579"/>
    <x v="584"/>
    <x v="583"/>
    <x v="149"/>
    <s v="NJ"/>
    <s v="Elizabeth"/>
    <s v="MI"/>
    <s v="Lansing"/>
    <x v="0"/>
    <n v="773308"/>
    <s v="0-100"/>
    <n v="47"/>
    <x v="195"/>
    <x v="195"/>
    <n v="57.8"/>
    <n v="82.8"/>
    <x v="3"/>
    <s v="1.95"/>
    <s v="10:00-13:59"/>
    <x v="3"/>
    <x v="0"/>
    <n v="1"/>
    <n v="0"/>
    <n v="0"/>
    <n v="45.1"/>
    <n v="0"/>
    <n v="0.71499999999999997"/>
    <n v="0.878"/>
    <n v="15086.6"/>
    <x v="1"/>
    <n v="1"/>
    <n v="1"/>
    <n v="0"/>
    <n v="1"/>
    <n v="0"/>
    <n v="1"/>
    <n v="0"/>
    <x v="38"/>
    <x v="9"/>
    <n v="64.39"/>
    <n v="9.23"/>
    <x v="577"/>
    <n v="14.3"/>
    <n v="68.7"/>
  </r>
  <r>
    <n v="770809983"/>
    <n v="581141"/>
    <n v="2936571"/>
    <n v="6592"/>
    <x v="0"/>
    <n v="56450"/>
    <x v="7"/>
    <x v="267"/>
    <x v="266"/>
    <x v="580"/>
    <x v="585"/>
    <x v="584"/>
    <x v="275"/>
    <s v="NY"/>
    <s v="Syracuse"/>
    <s v="WA"/>
    <s v="Tacoma"/>
    <x v="2"/>
    <n v="750010"/>
    <s v="101-300"/>
    <n v="202"/>
    <x v="372"/>
    <x v="81"/>
    <n v="198.7"/>
    <n v="224.8"/>
    <x v="0"/>
    <s v="4.16"/>
    <s v="06:00-09:59"/>
    <x v="2"/>
    <x v="0"/>
    <n v="15"/>
    <n v="0"/>
    <n v="0"/>
    <n v="80.099999999999994"/>
    <n v="0"/>
    <n v="0.52300000000000002"/>
    <n v="0.83"/>
    <n v="20414.689999999999"/>
    <x v="1"/>
    <n v="1"/>
    <n v="1"/>
    <n v="0"/>
    <n v="1"/>
    <n v="0"/>
    <n v="1"/>
    <n v="0"/>
    <x v="8"/>
    <x v="41"/>
    <n v="201.8"/>
    <n v="44.32"/>
    <x v="578"/>
    <n v="27"/>
    <n v="56.9"/>
  </r>
  <r>
    <n v="968704078"/>
    <n v="195325"/>
    <n v="3194789"/>
    <n v="7585"/>
    <x v="7"/>
    <n v="53215"/>
    <x v="6"/>
    <x v="187"/>
    <x v="186"/>
    <x v="581"/>
    <x v="586"/>
    <x v="585"/>
    <x v="291"/>
    <s v="CA"/>
    <s v="Fresno"/>
    <s v="MO"/>
    <s v="Springfield"/>
    <x v="0"/>
    <n v="705882"/>
    <s v="101-300"/>
    <n v="187"/>
    <x v="373"/>
    <x v="260"/>
    <n v="189.8"/>
    <n v="239.6"/>
    <x v="0"/>
    <s v="3.58"/>
    <s v="18:00-23:59"/>
    <x v="2"/>
    <x v="0"/>
    <n v="-25"/>
    <n v="0"/>
    <n v="0"/>
    <n v="32.4"/>
    <n v="0"/>
    <n v="0.47"/>
    <n v="0.77200000000000002"/>
    <n v="5958.39"/>
    <x v="0"/>
    <n v="1"/>
    <n v="1"/>
    <n v="0"/>
    <n v="1"/>
    <n v="0"/>
    <n v="1"/>
    <n v="0"/>
    <x v="27"/>
    <x v="63"/>
    <n v="152.56"/>
    <n v="28.17"/>
    <x v="579"/>
    <n v="15"/>
    <n v="35"/>
  </r>
  <r>
    <n v="277746324"/>
    <n v="216739"/>
    <n v="8574680"/>
    <n v="1860"/>
    <x v="4"/>
    <n v="57825"/>
    <x v="8"/>
    <x v="103"/>
    <x v="103"/>
    <x v="582"/>
    <x v="587"/>
    <x v="586"/>
    <x v="101"/>
    <s v="NJ"/>
    <s v="Paterson"/>
    <s v="CO"/>
    <s v="Pueblo"/>
    <x v="2"/>
    <n v="704543"/>
    <s v="101-300"/>
    <n v="197"/>
    <x v="3"/>
    <x v="309"/>
    <n v="190.6"/>
    <n v="227.3"/>
    <x v="1"/>
    <s v="3.8"/>
    <s v="00:00-05:59"/>
    <x v="3"/>
    <x v="0"/>
    <n v="-7"/>
    <n v="0"/>
    <n v="0"/>
    <n v="19.600000000000001"/>
    <n v="0"/>
    <n v="0.50800000000000001"/>
    <n v="0.84399999999999997"/>
    <n v="76519.789999999994"/>
    <x v="2"/>
    <n v="1"/>
    <n v="1"/>
    <n v="0"/>
    <n v="1"/>
    <n v="0"/>
    <n v="1"/>
    <n v="0"/>
    <x v="22"/>
    <x v="4"/>
    <n v="175.58"/>
    <n v="46.81"/>
    <x v="580"/>
    <n v="14.3"/>
    <n v="20.9"/>
  </r>
  <r>
    <n v="874364348"/>
    <n v="665492"/>
    <n v="5960271"/>
    <n v="7015"/>
    <x v="1"/>
    <n v="50390"/>
    <x v="9"/>
    <x v="205"/>
    <x v="204"/>
    <x v="583"/>
    <x v="588"/>
    <x v="587"/>
    <x v="209"/>
    <s v="PA"/>
    <s v="Philadelphia"/>
    <s v="PA"/>
    <s v="Allentown"/>
    <x v="3"/>
    <n v="739365"/>
    <s v="301-500"/>
    <n v="515"/>
    <x v="374"/>
    <x v="334"/>
    <n v="523.79999999999995"/>
    <n v="604.29999999999995"/>
    <x v="0"/>
    <s v="9.87"/>
    <s v="18:00-23:59"/>
    <x v="6"/>
    <x v="0"/>
    <n v="-37"/>
    <n v="0"/>
    <n v="0"/>
    <n v="72"/>
    <n v="0"/>
    <n v="0.58699999999999997"/>
    <n v="0.442"/>
    <n v="21113.279999999999"/>
    <x v="1"/>
    <n v="1"/>
    <n v="1"/>
    <n v="0"/>
    <n v="1"/>
    <n v="0"/>
    <n v="1"/>
    <n v="0"/>
    <x v="61"/>
    <x v="89"/>
    <n v="410.69"/>
    <n v="98.27"/>
    <x v="581"/>
    <n v="5.6"/>
    <n v="10"/>
  </r>
  <r>
    <n v="569948247"/>
    <n v="872246"/>
    <n v="4860684"/>
    <n v="6578"/>
    <x v="5"/>
    <n v="59891"/>
    <x v="3"/>
    <x v="286"/>
    <x v="286"/>
    <x v="584"/>
    <x v="589"/>
    <x v="588"/>
    <x v="284"/>
    <s v="FL"/>
    <s v="Miami"/>
    <s v="NC"/>
    <s v="Wilmington"/>
    <x v="1"/>
    <n v="789749"/>
    <s v="101-300"/>
    <n v="124"/>
    <x v="0"/>
    <x v="5"/>
    <n v="127.2"/>
    <n v="166.3"/>
    <x v="2"/>
    <s v="3.57"/>
    <s v="14:00-17:59"/>
    <x v="0"/>
    <x v="0"/>
    <n v="-21"/>
    <n v="0"/>
    <n v="0"/>
    <n v="66.099999999999994"/>
    <n v="0"/>
    <n v="0.77200000000000002"/>
    <n v="0.63"/>
    <n v="3180.95"/>
    <x v="0"/>
    <n v="1"/>
    <n v="1"/>
    <n v="0"/>
    <n v="1"/>
    <n v="0"/>
    <n v="1"/>
    <n v="0"/>
    <x v="18"/>
    <x v="46"/>
    <n v="142.12"/>
    <n v="31.24"/>
    <x v="582"/>
    <n v="41.8"/>
    <n v="18.600000000000001"/>
  </r>
  <r>
    <n v="146914391"/>
    <n v="391704"/>
    <n v="7897151"/>
    <n v="4556"/>
    <x v="1"/>
    <n v="53037"/>
    <x v="3"/>
    <x v="207"/>
    <x v="206"/>
    <x v="585"/>
    <x v="590"/>
    <x v="589"/>
    <x v="211"/>
    <s v="MI"/>
    <s v="Grand Rapids"/>
    <s v="AZ"/>
    <s v="Mesa"/>
    <x v="2"/>
    <n v="776415"/>
    <s v="301-500"/>
    <n v="502"/>
    <x v="375"/>
    <x v="24"/>
    <n v="504.3"/>
    <n v="590.6"/>
    <x v="4"/>
    <s v="7.88"/>
    <s v="06:00-09:59"/>
    <x v="5"/>
    <x v="0"/>
    <n v="-38"/>
    <n v="0"/>
    <n v="0.6"/>
    <n v="74.099999999999994"/>
    <n v="0"/>
    <n v="0.51400000000000001"/>
    <n v="0.80700000000000005"/>
    <n v="4446.6099999999997"/>
    <x v="0"/>
    <n v="1"/>
    <n v="1"/>
    <n v="0"/>
    <n v="1"/>
    <n v="0"/>
    <n v="1"/>
    <n v="0"/>
    <x v="108"/>
    <x v="17"/>
    <n v="487"/>
    <n v="127.95"/>
    <x v="583"/>
    <n v="11.3"/>
    <n v="41.9"/>
  </r>
  <r>
    <n v="541156077"/>
    <n v="216739"/>
    <n v="8574680"/>
    <n v="1860"/>
    <x v="4"/>
    <n v="50232"/>
    <x v="1"/>
    <x v="82"/>
    <x v="82"/>
    <x v="586"/>
    <x v="591"/>
    <x v="590"/>
    <x v="81"/>
    <s v="AZ"/>
    <s v="Flagstaff"/>
    <s v="IL"/>
    <s v="Aurora"/>
    <x v="0"/>
    <n v="739948"/>
    <s v="101-300"/>
    <n v="208"/>
    <x v="376"/>
    <x v="38"/>
    <n v="206.9"/>
    <n v="218"/>
    <x v="1"/>
    <s v="8.69"/>
    <s v="10:00-13:59"/>
    <x v="3"/>
    <x v="4"/>
    <n v="247"/>
    <n v="66"/>
    <n v="0"/>
    <n v="41.7"/>
    <n v="0"/>
    <n v="0.55300000000000005"/>
    <n v="0.69899999999999995"/>
    <n v="2882.88"/>
    <x v="0"/>
    <n v="1"/>
    <n v="0"/>
    <n v="1"/>
    <n v="0"/>
    <n v="1"/>
    <n v="0"/>
    <n v="1"/>
    <x v="14"/>
    <x v="6"/>
    <n v="141.52000000000001"/>
    <n v="33.1"/>
    <x v="584"/>
    <n v="14.3"/>
    <n v="24.7"/>
  </r>
  <r>
    <n v="491163514"/>
    <n v="623481"/>
    <n v="2737893"/>
    <n v="4627"/>
    <x v="3"/>
    <n v="53131"/>
    <x v="10"/>
    <x v="130"/>
    <x v="130"/>
    <x v="587"/>
    <x v="592"/>
    <x v="591"/>
    <x v="132"/>
    <s v="NY"/>
    <s v="Albany"/>
    <s v="NJ"/>
    <s v="Jersey City"/>
    <x v="3"/>
    <n v="726305"/>
    <s v="101-300"/>
    <n v="239"/>
    <x v="257"/>
    <x v="107"/>
    <n v="228"/>
    <n v="247.9"/>
    <x v="0"/>
    <s v="6.81"/>
    <s v="14:00-17:59"/>
    <x v="3"/>
    <x v="4"/>
    <n v="125"/>
    <n v="103"/>
    <n v="0"/>
    <n v="53.8"/>
    <n v="0"/>
    <n v="0.72399999999999998"/>
    <n v="0.64300000000000002"/>
    <n v="4705.0600000000004"/>
    <x v="0"/>
    <n v="1"/>
    <n v="0"/>
    <n v="1"/>
    <n v="0"/>
    <n v="1"/>
    <n v="0"/>
    <n v="1"/>
    <x v="42"/>
    <x v="8"/>
    <n v="199.53"/>
    <n v="38.47"/>
    <x v="585"/>
    <n v="22.3"/>
    <n v="73.8"/>
  </r>
  <r>
    <n v="826239153"/>
    <n v="791798"/>
    <n v="6539837"/>
    <n v="5433"/>
    <x v="9"/>
    <n v="57634"/>
    <x v="2"/>
    <x v="287"/>
    <x v="287"/>
    <x v="588"/>
    <x v="593"/>
    <x v="592"/>
    <x v="292"/>
    <s v="AZ"/>
    <s v="Tucson"/>
    <s v="WA"/>
    <s v="Vancouver"/>
    <x v="2"/>
    <n v="788294"/>
    <s v="101-300"/>
    <n v="283"/>
    <x v="377"/>
    <x v="335"/>
    <n v="293"/>
    <n v="354.7"/>
    <x v="3"/>
    <s v="8.02"/>
    <s v="10:00-13:59"/>
    <x v="1"/>
    <x v="0"/>
    <n v="-8"/>
    <n v="0"/>
    <n v="2.6"/>
    <n v="84.2"/>
    <n v="0"/>
    <n v="0.77200000000000002"/>
    <n v="0.66100000000000003"/>
    <n v="19883.580000000002"/>
    <x v="1"/>
    <n v="1"/>
    <n v="1"/>
    <n v="0"/>
    <n v="1"/>
    <n v="0"/>
    <n v="1"/>
    <n v="0"/>
    <x v="12"/>
    <x v="85"/>
    <n v="324.58"/>
    <n v="70.62"/>
    <x v="586"/>
    <n v="11.5"/>
    <n v="23.6"/>
  </r>
  <r>
    <n v="872649234"/>
    <n v="725380"/>
    <n v="7194416"/>
    <n v="9164"/>
    <x v="0"/>
    <n v="50233"/>
    <x v="6"/>
    <x v="235"/>
    <x v="234"/>
    <x v="589"/>
    <x v="594"/>
    <x v="593"/>
    <x v="293"/>
    <s v="AZ"/>
    <s v="Tempe"/>
    <s v="GA"/>
    <s v="Savannah"/>
    <x v="1"/>
    <n v="700025"/>
    <s v="0-100"/>
    <n v="52"/>
    <x v="378"/>
    <x v="1"/>
    <n v="57.1"/>
    <n v="100.7"/>
    <x v="0"/>
    <s v="1.43"/>
    <s v="14:00-17:59"/>
    <x v="3"/>
    <x v="0"/>
    <n v="-4"/>
    <n v="0"/>
    <n v="0"/>
    <n v="58.7"/>
    <n v="0"/>
    <n v="0.91600000000000004"/>
    <n v="0.48399999999999999"/>
    <n v="6859.59"/>
    <x v="1"/>
    <n v="1"/>
    <n v="1"/>
    <n v="0"/>
    <n v="1"/>
    <n v="0"/>
    <n v="1"/>
    <n v="0"/>
    <x v="25"/>
    <x v="74"/>
    <n v="78.39"/>
    <n v="11.4"/>
    <x v="587"/>
    <n v="14.3"/>
    <n v="14.9"/>
  </r>
  <r>
    <n v="355046107"/>
    <n v="656116"/>
    <n v="9996207"/>
    <n v="5061"/>
    <x v="2"/>
    <n v="51391"/>
    <x v="7"/>
    <x v="288"/>
    <x v="288"/>
    <x v="590"/>
    <x v="595"/>
    <x v="594"/>
    <x v="105"/>
    <s v="TN"/>
    <s v="Memphis"/>
    <s v="NY"/>
    <s v="Rochester"/>
    <x v="3"/>
    <n v="737287"/>
    <s v="0-100"/>
    <n v="58"/>
    <x v="249"/>
    <x v="157"/>
    <n v="56.1"/>
    <n v="86.9"/>
    <x v="0"/>
    <s v="2.33"/>
    <s v="10:00-13:59"/>
    <x v="3"/>
    <x v="0"/>
    <n v="50"/>
    <n v="0"/>
    <n v="0"/>
    <n v="58.5"/>
    <n v="0"/>
    <n v="0.80800000000000005"/>
    <n v="0.63500000000000001"/>
    <n v="5664.46"/>
    <x v="0"/>
    <n v="1"/>
    <n v="0"/>
    <n v="1"/>
    <n v="0"/>
    <n v="1"/>
    <n v="0"/>
    <n v="1"/>
    <x v="41"/>
    <x v="49"/>
    <n v="61.32"/>
    <n v="8.98"/>
    <x v="588"/>
    <n v="0.1"/>
    <n v="19.7"/>
  </r>
  <r>
    <n v="576954730"/>
    <n v="216739"/>
    <n v="8574680"/>
    <n v="1860"/>
    <x v="4"/>
    <n v="59447"/>
    <x v="9"/>
    <x v="289"/>
    <x v="289"/>
    <x v="591"/>
    <x v="596"/>
    <x v="595"/>
    <x v="294"/>
    <s v="WA"/>
    <s v="Spokane"/>
    <s v="CO"/>
    <s v="Pueblo"/>
    <x v="2"/>
    <n v="742390"/>
    <s v="101-300"/>
    <n v="193"/>
    <x v="268"/>
    <x v="336"/>
    <n v="195.9"/>
    <n v="267.8"/>
    <x v="1"/>
    <s v="4.22"/>
    <s v="10:00-13:59"/>
    <x v="3"/>
    <x v="0"/>
    <n v="-24"/>
    <n v="0"/>
    <n v="0"/>
    <n v="57.1"/>
    <n v="0"/>
    <n v="0.81799999999999995"/>
    <n v="0.41799999999999998"/>
    <n v="1154.4100000000001"/>
    <x v="0"/>
    <n v="1"/>
    <n v="1"/>
    <n v="0"/>
    <n v="1"/>
    <n v="0"/>
    <n v="1"/>
    <n v="0"/>
    <x v="39"/>
    <x v="0"/>
    <n v="178.26"/>
    <n v="46.2"/>
    <x v="589"/>
    <n v="14.3"/>
    <n v="21.4"/>
  </r>
  <r>
    <n v="755621841"/>
    <n v="787277"/>
    <n v="6022741"/>
    <n v="3693"/>
    <x v="4"/>
    <n v="50889"/>
    <x v="6"/>
    <x v="290"/>
    <x v="290"/>
    <x v="592"/>
    <x v="597"/>
    <x v="596"/>
    <x v="192"/>
    <s v="OH"/>
    <s v="Cincinnati"/>
    <s v="NJ"/>
    <s v="Newark"/>
    <x v="3"/>
    <n v="791295"/>
    <s v="501-1000"/>
    <n v="693"/>
    <x v="169"/>
    <x v="7"/>
    <n v="685.1"/>
    <n v="722.4"/>
    <x v="0"/>
    <s v="15.5"/>
    <s v="18:00-23:59"/>
    <x v="2"/>
    <x v="0"/>
    <n v="-35"/>
    <n v="0"/>
    <n v="0"/>
    <n v="52.2"/>
    <n v="0"/>
    <n v="0.53900000000000003"/>
    <n v="0.68400000000000005"/>
    <n v="18054.37"/>
    <x v="1"/>
    <n v="1"/>
    <n v="1"/>
    <n v="0"/>
    <n v="1"/>
    <n v="0"/>
    <n v="1"/>
    <n v="0"/>
    <x v="39"/>
    <x v="1"/>
    <n v="662.36"/>
    <n v="86.76"/>
    <x v="590"/>
    <n v="3.4"/>
    <n v="10.199999999999999"/>
  </r>
  <r>
    <n v="405939035"/>
    <n v="584714"/>
    <n v="5004485"/>
    <n v="7938"/>
    <x v="1"/>
    <n v="57902"/>
    <x v="6"/>
    <x v="122"/>
    <x v="121"/>
    <x v="593"/>
    <x v="598"/>
    <x v="597"/>
    <x v="122"/>
    <s v="MI"/>
    <s v="Detroit"/>
    <s v="NY"/>
    <s v="Syracuse"/>
    <x v="3"/>
    <n v="788047"/>
    <s v="301-500"/>
    <n v="502"/>
    <x v="379"/>
    <x v="336"/>
    <n v="490.6"/>
    <n v="543.70000000000005"/>
    <x v="0"/>
    <s v="8.88"/>
    <s v="06:00-09:59"/>
    <x v="6"/>
    <x v="0"/>
    <n v="-20"/>
    <n v="0"/>
    <n v="0"/>
    <n v="65.400000000000006"/>
    <n v="0"/>
    <n v="0.48899999999999999"/>
    <n v="0.71099999999999997"/>
    <n v="7105.12"/>
    <x v="1"/>
    <n v="1"/>
    <n v="1"/>
    <n v="0"/>
    <n v="1"/>
    <n v="0"/>
    <n v="1"/>
    <n v="0"/>
    <x v="95"/>
    <x v="61"/>
    <n v="429.06"/>
    <n v="71.06"/>
    <x v="591"/>
    <n v="0.2"/>
    <n v="48.8"/>
  </r>
  <r>
    <n v="907873857"/>
    <n v="340174"/>
    <n v="9487336"/>
    <n v="6116"/>
    <x v="0"/>
    <n v="50745"/>
    <x v="7"/>
    <x v="90"/>
    <x v="90"/>
    <x v="594"/>
    <x v="599"/>
    <x v="598"/>
    <x v="89"/>
    <s v="GA"/>
    <s v="Savannah"/>
    <s v="TN"/>
    <s v="Clarksville"/>
    <x v="1"/>
    <n v="780997"/>
    <s v="0-100"/>
    <n v="94"/>
    <x v="167"/>
    <x v="281"/>
    <n v="94.1"/>
    <n v="154.4"/>
    <x v="0"/>
    <s v="1.9"/>
    <s v="10:00-13:59"/>
    <x v="1"/>
    <x v="0"/>
    <n v="-37"/>
    <n v="0"/>
    <n v="0"/>
    <n v="53.1"/>
    <n v="0"/>
    <n v="0.92400000000000004"/>
    <n v="0.626"/>
    <n v="106444.85"/>
    <x v="2"/>
    <n v="1"/>
    <n v="1"/>
    <n v="0"/>
    <n v="1"/>
    <n v="0"/>
    <n v="1"/>
    <n v="0"/>
    <x v="0"/>
    <x v="67"/>
    <n v="113.08"/>
    <n v="33.53"/>
    <x v="592"/>
    <n v="9.4"/>
    <n v="9.4"/>
  </r>
  <r>
    <n v="903734960"/>
    <n v="542417"/>
    <n v="1527021"/>
    <n v="6051"/>
    <x v="0"/>
    <n v="59911"/>
    <x v="9"/>
    <x v="291"/>
    <x v="291"/>
    <x v="595"/>
    <x v="600"/>
    <x v="599"/>
    <x v="214"/>
    <s v="AZ"/>
    <s v="Tucson"/>
    <s v="AZ"/>
    <s v="Tucson"/>
    <x v="2"/>
    <n v="742558"/>
    <s v="301-500"/>
    <n v="315"/>
    <x v="321"/>
    <x v="337"/>
    <n v="310.2"/>
    <n v="373.9"/>
    <x v="3"/>
    <s v="7.52"/>
    <s v="06:00-09:59"/>
    <x v="0"/>
    <x v="0"/>
    <n v="-29"/>
    <n v="0"/>
    <n v="0.7"/>
    <n v="63"/>
    <n v="0"/>
    <n v="0.36299999999999999"/>
    <n v="0.67200000000000004"/>
    <n v="42088.18"/>
    <x v="2"/>
    <n v="1"/>
    <n v="1"/>
    <n v="0"/>
    <n v="1"/>
    <n v="0"/>
    <n v="1"/>
    <n v="0"/>
    <x v="41"/>
    <x v="62"/>
    <n v="255.86"/>
    <n v="66.7"/>
    <x v="593"/>
    <n v="27.6"/>
    <n v="35.5"/>
  </r>
  <r>
    <n v="941599226"/>
    <n v="724834"/>
    <n v="1701771"/>
    <n v="6249"/>
    <x v="6"/>
    <n v="50427"/>
    <x v="8"/>
    <x v="172"/>
    <x v="171"/>
    <x v="596"/>
    <x v="601"/>
    <x v="600"/>
    <x v="31"/>
    <s v="NC"/>
    <s v="Charlotte"/>
    <s v="NC"/>
    <s v="Greensboro"/>
    <x v="1"/>
    <n v="752322"/>
    <s v="301-500"/>
    <n v="314"/>
    <x v="230"/>
    <x v="338"/>
    <n v="311.10000000000002"/>
    <n v="347.9"/>
    <x v="2"/>
    <s v="5.88"/>
    <s v="14:00-17:59"/>
    <x v="6"/>
    <x v="0"/>
    <n v="-2"/>
    <n v="0"/>
    <n v="0"/>
    <n v="30.3"/>
    <n v="0"/>
    <n v="0.96799999999999997"/>
    <n v="0.65700000000000003"/>
    <n v="4472.04"/>
    <x v="0"/>
    <n v="1"/>
    <n v="1"/>
    <n v="0"/>
    <n v="1"/>
    <n v="0"/>
    <n v="1"/>
    <n v="0"/>
    <x v="31"/>
    <x v="82"/>
    <n v="314.87"/>
    <n v="70.52"/>
    <x v="594"/>
    <n v="4.4000000000000004"/>
    <n v="9.6999999999999993"/>
  </r>
  <r>
    <n v="582032731"/>
    <n v="944151"/>
    <n v="6855396"/>
    <n v="8574"/>
    <x v="9"/>
    <n v="50731"/>
    <x v="4"/>
    <x v="189"/>
    <x v="188"/>
    <x v="597"/>
    <x v="602"/>
    <x v="601"/>
    <x v="191"/>
    <s v="TN"/>
    <s v="Chattanooga"/>
    <s v="CO"/>
    <s v="Denver"/>
    <x v="2"/>
    <n v="795672"/>
    <s v="101-300"/>
    <n v="196"/>
    <x v="376"/>
    <x v="102"/>
    <n v="195.7"/>
    <n v="224.8"/>
    <x v="3"/>
    <s v="4.07"/>
    <s v="14:00-17:59"/>
    <x v="6"/>
    <x v="0"/>
    <n v="-33"/>
    <n v="0"/>
    <n v="0"/>
    <n v="54.4"/>
    <n v="0"/>
    <n v="0.58399999999999996"/>
    <n v="0.82599999999999996"/>
    <n v="5649.63"/>
    <x v="0"/>
    <n v="1"/>
    <n v="1"/>
    <n v="0"/>
    <n v="1"/>
    <n v="0"/>
    <n v="1"/>
    <n v="0"/>
    <x v="26"/>
    <x v="13"/>
    <n v="181.66"/>
    <n v="46.7"/>
    <x v="595"/>
    <n v="12.8"/>
    <n v="42.9"/>
  </r>
  <r>
    <n v="351258749"/>
    <n v="376183"/>
    <n v="1649691"/>
    <n v="8098"/>
    <x v="1"/>
    <n v="50799"/>
    <x v="9"/>
    <x v="97"/>
    <x v="97"/>
    <x v="598"/>
    <x v="603"/>
    <x v="602"/>
    <x v="295"/>
    <s v="PA"/>
    <s v="Pittsburgh"/>
    <s v="NJ"/>
    <s v="Elizabeth"/>
    <x v="3"/>
    <n v="778005"/>
    <s v="301-500"/>
    <n v="312"/>
    <x v="120"/>
    <x v="169"/>
    <n v="304.89999999999998"/>
    <n v="331.3"/>
    <x v="0"/>
    <s v="6.93"/>
    <s v="06:00-09:59"/>
    <x v="2"/>
    <x v="0"/>
    <n v="-6"/>
    <n v="0"/>
    <n v="0"/>
    <n v="39"/>
    <n v="0"/>
    <n v="0.79700000000000004"/>
    <n v="0.73799999999999999"/>
    <n v="18673.080000000002"/>
    <x v="1"/>
    <n v="1"/>
    <n v="1"/>
    <n v="0"/>
    <n v="1"/>
    <n v="0"/>
    <n v="1"/>
    <n v="0"/>
    <x v="6"/>
    <x v="39"/>
    <n v="211.14"/>
    <n v="37.950000000000003"/>
    <x v="596"/>
    <n v="12.2"/>
    <n v="20.5"/>
  </r>
  <r>
    <n v="673390109"/>
    <n v="983794"/>
    <n v="8688755"/>
    <n v="1863"/>
    <x v="0"/>
    <n v="56507"/>
    <x v="1"/>
    <x v="0"/>
    <x v="0"/>
    <x v="599"/>
    <x v="604"/>
    <x v="603"/>
    <x v="0"/>
    <s v="FL"/>
    <s v="Fort Lauderdale"/>
    <s v="NJ"/>
    <s v="Elizabeth"/>
    <x v="3"/>
    <n v="720446"/>
    <s v="101-300"/>
    <n v="238"/>
    <x v="178"/>
    <x v="57"/>
    <n v="237.5"/>
    <n v="316.3"/>
    <x v="0"/>
    <s v="7.85"/>
    <s v="06:00-09:59"/>
    <x v="0"/>
    <x v="3"/>
    <n v="122"/>
    <n v="0"/>
    <n v="0"/>
    <n v="100"/>
    <n v="0"/>
    <n v="0.503"/>
    <n v="0.65300000000000002"/>
    <n v="99005.97"/>
    <x v="2"/>
    <n v="1"/>
    <n v="0"/>
    <n v="1"/>
    <n v="0"/>
    <n v="1"/>
    <n v="0"/>
    <n v="1"/>
    <x v="6"/>
    <x v="30"/>
    <n v="201.75"/>
    <n v="66.84"/>
    <x v="597"/>
    <n v="22.3"/>
    <n v="32.5"/>
  </r>
  <r>
    <n v="356805216"/>
    <n v="944962"/>
    <n v="2016911"/>
    <n v="9792"/>
    <x v="7"/>
    <n v="57025"/>
    <x v="12"/>
    <x v="131"/>
    <x v="131"/>
    <x v="600"/>
    <x v="605"/>
    <x v="604"/>
    <x v="133"/>
    <s v="OH"/>
    <s v="Cleveland"/>
    <s v="NJ"/>
    <s v="Trenton"/>
    <x v="3"/>
    <n v="791295"/>
    <s v="101-300"/>
    <n v="135"/>
    <x v="380"/>
    <x v="121"/>
    <n v="128.4"/>
    <n v="164.9"/>
    <x v="0"/>
    <s v="2.46"/>
    <s v="00:00-05:59"/>
    <x v="0"/>
    <x v="0"/>
    <n v="-13"/>
    <n v="0"/>
    <n v="0"/>
    <n v="52.5"/>
    <n v="0"/>
    <n v="0.76700000000000002"/>
    <n v="0.495"/>
    <n v="4769.32"/>
    <x v="0"/>
    <n v="1"/>
    <n v="1"/>
    <n v="0"/>
    <n v="1"/>
    <n v="0"/>
    <n v="1"/>
    <n v="0"/>
    <x v="42"/>
    <x v="16"/>
    <n v="148.71"/>
    <n v="33.64"/>
    <x v="598"/>
    <n v="11.5"/>
    <n v="19.3"/>
  </r>
  <r>
    <n v="432288618"/>
    <n v="757924"/>
    <n v="1162230"/>
    <n v="2636"/>
    <x v="6"/>
    <n v="59027"/>
    <x v="7"/>
    <x v="72"/>
    <x v="72"/>
    <x v="601"/>
    <x v="606"/>
    <x v="605"/>
    <x v="71"/>
    <s v="PA"/>
    <s v="Erie"/>
    <s v="NY"/>
    <s v="Buffalo"/>
    <x v="3"/>
    <n v="775399"/>
    <s v="101-300"/>
    <n v="217"/>
    <x v="381"/>
    <x v="321"/>
    <n v="223.1"/>
    <n v="285.39999999999998"/>
    <x v="0"/>
    <s v="4.6"/>
    <s v="10:00-13:59"/>
    <x v="3"/>
    <x v="0"/>
    <n v="-3"/>
    <n v="0"/>
    <n v="0"/>
    <n v="30.2"/>
    <n v="0"/>
    <n v="0.57799999999999996"/>
    <n v="0.70699999999999996"/>
    <n v="3761.06"/>
    <x v="0"/>
    <n v="1"/>
    <n v="1"/>
    <n v="0"/>
    <n v="1"/>
    <n v="0"/>
    <n v="1"/>
    <n v="0"/>
    <x v="67"/>
    <x v="55"/>
    <n v="237.75"/>
    <n v="30.09"/>
    <x v="599"/>
    <n v="6.1"/>
    <n v="38.1"/>
  </r>
  <r>
    <n v="968253265"/>
    <n v="207175"/>
    <n v="8077999"/>
    <n v="4152"/>
    <x v="6"/>
    <n v="57624"/>
    <x v="6"/>
    <x v="175"/>
    <x v="174"/>
    <x v="602"/>
    <x v="607"/>
    <x v="606"/>
    <x v="296"/>
    <s v="WA"/>
    <s v="Tacoma"/>
    <s v="TX"/>
    <s v="Houston"/>
    <x v="1"/>
    <n v="777840"/>
    <s v="101-300"/>
    <n v="106"/>
    <x v="222"/>
    <x v="61"/>
    <n v="105.4"/>
    <n v="142.30000000000001"/>
    <x v="3"/>
    <s v="1.91"/>
    <s v="10:00-13:59"/>
    <x v="3"/>
    <x v="0"/>
    <n v="-24"/>
    <n v="0"/>
    <n v="0"/>
    <n v="98"/>
    <n v="0"/>
    <n v="0.56200000000000006"/>
    <n v="0.60799999999999998"/>
    <n v="5747.44"/>
    <x v="0"/>
    <n v="1"/>
    <n v="1"/>
    <n v="0"/>
    <n v="1"/>
    <n v="0"/>
    <n v="1"/>
    <n v="0"/>
    <x v="46"/>
    <x v="68"/>
    <n v="92.64"/>
    <n v="30.92"/>
    <x v="600"/>
    <n v="16.8"/>
    <n v="0"/>
  </r>
  <r>
    <n v="942211135"/>
    <n v="160738"/>
    <n v="8321474"/>
    <n v="2154"/>
    <x v="8"/>
    <n v="58326"/>
    <x v="3"/>
    <x v="26"/>
    <x v="26"/>
    <x v="603"/>
    <x v="608"/>
    <x v="607"/>
    <x v="269"/>
    <s v="CO"/>
    <s v="Pueblo"/>
    <s v="AZ"/>
    <s v="Flagstaff"/>
    <x v="2"/>
    <n v="795889"/>
    <s v="101-300"/>
    <n v="173"/>
    <x v="352"/>
    <x v="176"/>
    <n v="176.2"/>
    <n v="223.4"/>
    <x v="0"/>
    <s v="3.25"/>
    <s v="18:00-23:59"/>
    <x v="0"/>
    <x v="3"/>
    <n v="-62"/>
    <n v="0"/>
    <n v="0"/>
    <n v="38.6"/>
    <n v="0"/>
    <n v="0.44"/>
    <n v="0.747"/>
    <n v="19306.169999999998"/>
    <x v="1"/>
    <n v="1"/>
    <n v="1"/>
    <n v="0"/>
    <n v="1"/>
    <n v="0"/>
    <n v="1"/>
    <n v="0"/>
    <x v="70"/>
    <x v="65"/>
    <n v="180.31"/>
    <n v="34.630000000000003"/>
    <x v="601"/>
    <n v="10.9"/>
    <n v="53.2"/>
  </r>
  <r>
    <n v="603601664"/>
    <n v="712982"/>
    <n v="9196204"/>
    <n v="4748"/>
    <x v="5"/>
    <n v="55383"/>
    <x v="11"/>
    <x v="246"/>
    <x v="245"/>
    <x v="604"/>
    <x v="609"/>
    <x v="608"/>
    <x v="14"/>
    <s v="NJ"/>
    <s v="Elizabeth"/>
    <s v="TN"/>
    <s v="Nashville"/>
    <x v="1"/>
    <n v="729716"/>
    <s v="101-300"/>
    <n v="250"/>
    <x v="50"/>
    <x v="227"/>
    <n v="239.4"/>
    <n v="313.10000000000002"/>
    <x v="0"/>
    <s v="7.86 hrs"/>
    <s v="10:00-13:59"/>
    <x v="4"/>
    <x v="3"/>
    <n v="98"/>
    <n v="0"/>
    <n v="0"/>
    <n v="67.400000000000006"/>
    <n v="0"/>
    <n v="0.81299999999999994"/>
    <n v="0.52100000000000002"/>
    <n v="13044.61"/>
    <x v="1"/>
    <n v="1"/>
    <n v="0"/>
    <n v="1"/>
    <n v="0"/>
    <n v="1"/>
    <n v="0"/>
    <n v="1"/>
    <x v="27"/>
    <x v="91"/>
    <n v="233.52"/>
    <n v="67.92"/>
    <x v="602"/>
    <n v="4.7"/>
    <n v="51.5"/>
  </r>
  <r>
    <n v="996696177"/>
    <n v="263032"/>
    <n v="4191175"/>
    <n v="6486"/>
    <x v="9"/>
    <n v="56207"/>
    <x v="1"/>
    <x v="200"/>
    <x v="199"/>
    <x v="605"/>
    <x v="610"/>
    <x v="609"/>
    <x v="235"/>
    <s v="TN"/>
    <s v="Knoxville"/>
    <s v="NC"/>
    <s v="Raleigh"/>
    <x v="1"/>
    <n v="751684"/>
    <s v="501-1000"/>
    <n v="755"/>
    <x v="220"/>
    <x v="249"/>
    <n v="758.5"/>
    <n v="822.4"/>
    <x v="4"/>
    <s v="15.12"/>
    <s v="06:00-09:59"/>
    <x v="5"/>
    <x v="0"/>
    <n v="-16"/>
    <n v="0"/>
    <n v="0"/>
    <n v="17.5"/>
    <n v="0"/>
    <n v="0.63600000000000001"/>
    <n v="0.63"/>
    <n v="17880.900000000001"/>
    <x v="1"/>
    <n v="1"/>
    <n v="1"/>
    <n v="0"/>
    <n v="1"/>
    <n v="0"/>
    <n v="1"/>
    <n v="0"/>
    <x v="60"/>
    <x v="38"/>
    <n v="704.48"/>
    <n v="163.54"/>
    <x v="603"/>
    <n v="13.2"/>
    <n v="33.1"/>
  </r>
  <r>
    <n v="308323285"/>
    <n v="665492"/>
    <n v="5960271"/>
    <n v="7015"/>
    <x v="1"/>
    <n v="52538"/>
    <x v="10"/>
    <x v="33"/>
    <x v="33"/>
    <x v="606"/>
    <x v="611"/>
    <x v="610"/>
    <x v="56"/>
    <s v="GA"/>
    <s v="Augusta"/>
    <s v="GA"/>
    <s v="Augusta"/>
    <x v="1"/>
    <n v="783084"/>
    <s v="501-1000"/>
    <n v="1037"/>
    <x v="382"/>
    <x v="339"/>
    <n v="1046"/>
    <n v="1095.0999999999999"/>
    <x v="0"/>
    <s v="22.11"/>
    <s v="18:00-23:59"/>
    <x v="3"/>
    <x v="2"/>
    <n v="166"/>
    <n v="0"/>
    <n v="3.9"/>
    <n v="47"/>
    <n v="0"/>
    <n v="0.85599999999999998"/>
    <n v="0.27"/>
    <n v="5990.16"/>
    <x v="0"/>
    <n v="1"/>
    <n v="0"/>
    <n v="1"/>
    <n v="0"/>
    <n v="1"/>
    <n v="0"/>
    <n v="1"/>
    <x v="3"/>
    <x v="56"/>
    <n v="768.88"/>
    <n v="167.35"/>
    <x v="604"/>
    <n v="5.6"/>
    <n v="3.4"/>
  </r>
  <r>
    <n v="494966219"/>
    <n v="380746"/>
    <n v="7199635"/>
    <n v="2678"/>
    <x v="1"/>
    <n v="53718"/>
    <x v="8"/>
    <x v="195"/>
    <x v="194"/>
    <x v="607"/>
    <x v="612"/>
    <x v="611"/>
    <x v="197"/>
    <s v="GA"/>
    <s v="Augusta"/>
    <s v="GA"/>
    <s v="Savannah"/>
    <x v="1"/>
    <n v="783084"/>
    <s v="301-500"/>
    <n v="491"/>
    <x v="143"/>
    <x v="340"/>
    <n v="491.7"/>
    <n v="513.70000000000005"/>
    <x v="1"/>
    <s v="9.58"/>
    <s v="10:00-13:59"/>
    <x v="0"/>
    <x v="0"/>
    <n v="-4"/>
    <n v="0"/>
    <n v="0"/>
    <n v="78.099999999999994"/>
    <n v="0"/>
    <n v="0.56599999999999995"/>
    <n v="0.45400000000000001"/>
    <n v="5329.2"/>
    <x v="0"/>
    <n v="1"/>
    <n v="1"/>
    <n v="0"/>
    <n v="1"/>
    <n v="0"/>
    <n v="1"/>
    <n v="0"/>
    <x v="14"/>
    <x v="37"/>
    <n v="377.49"/>
    <n v="82.9"/>
    <x v="605"/>
    <n v="22.1"/>
    <n v="61.8"/>
  </r>
  <r>
    <n v="828326405"/>
    <n v="542417"/>
    <n v="1527021"/>
    <n v="6051"/>
    <x v="0"/>
    <n v="58232"/>
    <x v="7"/>
    <x v="224"/>
    <x v="223"/>
    <x v="608"/>
    <x v="613"/>
    <x v="612"/>
    <x v="230"/>
    <s v="AZ"/>
    <s v="Flagstaff"/>
    <s v="TN"/>
    <s v="Chattanooga"/>
    <x v="1"/>
    <n v="735557"/>
    <s v="301-500"/>
    <n v="372"/>
    <x v="383"/>
    <x v="341"/>
    <n v="375.1"/>
    <n v="424.3"/>
    <x v="3"/>
    <s v="7.44"/>
    <s v="10:00-13:59"/>
    <x v="0"/>
    <x v="0"/>
    <n v="-1"/>
    <n v="0"/>
    <n v="0"/>
    <n v="60.7"/>
    <n v="0"/>
    <n v="0.89300000000000002"/>
    <n v="0.85799999999999998"/>
    <n v="806.36"/>
    <x v="0"/>
    <n v="1"/>
    <n v="1"/>
    <n v="0"/>
    <n v="1"/>
    <n v="0"/>
    <n v="1"/>
    <n v="0"/>
    <x v="24"/>
    <x v="77"/>
    <n v="284.37"/>
    <n v="56.44"/>
    <x v="606"/>
    <n v="27.6"/>
    <n v="37.6"/>
  </r>
  <r>
    <n v="712483158"/>
    <n v="245051"/>
    <n v="1739653"/>
    <n v="4763"/>
    <x v="7"/>
    <n v="53367"/>
    <x v="6"/>
    <x v="292"/>
    <x v="292"/>
    <x v="609"/>
    <x v="614"/>
    <x v="613"/>
    <x v="281"/>
    <s v="OH"/>
    <s v="Cincinnati"/>
    <s v="TX"/>
    <s v="Dallas"/>
    <x v="1"/>
    <n v="782862"/>
    <s v="501-1000"/>
    <n v="505"/>
    <x v="158"/>
    <x v="203"/>
    <n v="503.6"/>
    <n v="531.4"/>
    <x v="0"/>
    <s v="14.72"/>
    <s v="06:00-09:59"/>
    <x v="3"/>
    <x v="4"/>
    <n v="175"/>
    <n v="120"/>
    <n v="1.8"/>
    <n v="17.399999999999999"/>
    <n v="0"/>
    <n v="0.81499999999999995"/>
    <n v="0.52800000000000002"/>
    <n v="4637.01"/>
    <x v="0"/>
    <n v="1"/>
    <n v="0"/>
    <n v="1"/>
    <n v="0"/>
    <n v="1"/>
    <n v="0"/>
    <n v="1"/>
    <x v="13"/>
    <x v="36"/>
    <n v="369.72"/>
    <n v="84.19"/>
    <x v="106"/>
    <n v="12.9"/>
    <n v="62.1"/>
  </r>
  <r>
    <n v="573087862"/>
    <n v="581741"/>
    <n v="3790237"/>
    <n v="1995"/>
    <x v="5"/>
    <n v="55008"/>
    <x v="6"/>
    <x v="80"/>
    <x v="80"/>
    <x v="610"/>
    <x v="615"/>
    <x v="614"/>
    <x v="202"/>
    <s v="CA"/>
    <s v="Sacramento"/>
    <s v="AZ"/>
    <s v="Mesa"/>
    <x v="2"/>
    <n v="702981"/>
    <s v="0-100"/>
    <n v="96"/>
    <x v="196"/>
    <x v="106"/>
    <n v="98.3"/>
    <n v="158.6"/>
    <x v="2"/>
    <s v="1.4"/>
    <s v="10:00-13:59"/>
    <x v="5"/>
    <x v="0"/>
    <n v="-16"/>
    <n v="0"/>
    <n v="0"/>
    <n v="34.299999999999997"/>
    <n v="0"/>
    <n v="0.58099999999999996"/>
    <n v="0.53600000000000003"/>
    <n v="112348.75"/>
    <x v="2"/>
    <n v="1"/>
    <n v="1"/>
    <n v="0"/>
    <n v="1"/>
    <n v="0"/>
    <n v="1"/>
    <n v="0"/>
    <x v="22"/>
    <x v="14"/>
    <n v="107.33"/>
    <n v="17.91"/>
    <x v="607"/>
    <n v="17.5"/>
    <n v="34.9"/>
  </r>
  <r>
    <n v="595725097"/>
    <n v="260263"/>
    <n v="5674183"/>
    <n v="5736"/>
    <x v="7"/>
    <n v="55229"/>
    <x v="6"/>
    <x v="273"/>
    <x v="272"/>
    <x v="611"/>
    <x v="616"/>
    <x v="615"/>
    <x v="77"/>
    <s v="OH"/>
    <s v="Cincinnati"/>
    <s v="TX"/>
    <s v="Houston"/>
    <x v="1"/>
    <n v="782862"/>
    <s v="101-300"/>
    <n v="300"/>
    <x v="383"/>
    <x v="278"/>
    <n v="309.60000000000002"/>
    <n v="339.9"/>
    <x v="2"/>
    <s v="6.28"/>
    <s v="18:00-23:59"/>
    <x v="1"/>
    <x v="0"/>
    <n v="9"/>
    <n v="0"/>
    <n v="0"/>
    <n v="64.5"/>
    <n v="0"/>
    <n v="0.65800000000000003"/>
    <n v="0.88500000000000001"/>
    <n v="4385.72"/>
    <x v="0"/>
    <n v="1"/>
    <n v="1"/>
    <n v="0"/>
    <n v="1"/>
    <n v="0"/>
    <n v="1"/>
    <n v="0"/>
    <x v="27"/>
    <x v="85"/>
    <n v="213.22"/>
    <n v="71.05"/>
    <x v="608"/>
    <n v="30.8"/>
    <n v="17.2"/>
  </r>
  <r>
    <n v="926178355"/>
    <n v="656116"/>
    <n v="9996207"/>
    <n v="5061"/>
    <x v="2"/>
    <n v="57388"/>
    <x v="11"/>
    <x v="172"/>
    <x v="171"/>
    <x v="612"/>
    <x v="617"/>
    <x v="616"/>
    <x v="31"/>
    <s v="PA"/>
    <s v="Allentown"/>
    <s v="NY"/>
    <s v="Albany"/>
    <x v="3"/>
    <n v="775399"/>
    <s v="101-300"/>
    <n v="281"/>
    <x v="118"/>
    <x v="14"/>
    <n v="294.5"/>
    <n v="323.89999999999998"/>
    <x v="0"/>
    <s v="6.24"/>
    <s v="10:00-13:59"/>
    <x v="6"/>
    <x v="3"/>
    <n v="47"/>
    <n v="0"/>
    <n v="0"/>
    <n v="85.2"/>
    <n v="0"/>
    <n v="0.501"/>
    <n v="0.84899999999999998"/>
    <n v="5882.96"/>
    <x v="0"/>
    <n v="1"/>
    <n v="0"/>
    <n v="1"/>
    <n v="0"/>
    <n v="1"/>
    <n v="0"/>
    <n v="1"/>
    <x v="77"/>
    <x v="64"/>
    <n v="205.3"/>
    <n v="60.11"/>
    <x v="609"/>
    <n v="0.1"/>
    <n v="10.4"/>
  </r>
  <r>
    <n v="402550088"/>
    <n v="847581"/>
    <n v="3919694"/>
    <n v="9050"/>
    <x v="7"/>
    <n v="52415"/>
    <x v="1"/>
    <x v="293"/>
    <x v="293"/>
    <x v="613"/>
    <x v="618"/>
    <x v="617"/>
    <x v="297"/>
    <s v="AZ"/>
    <s v="Flagstaff"/>
    <s v="MI"/>
    <s v="Grand Rapids"/>
    <x v="0"/>
    <n v="772918"/>
    <s v="301-500"/>
    <n v="319"/>
    <x v="93"/>
    <x v="269"/>
    <n v="320.89999999999998"/>
    <n v="357.8"/>
    <x v="0"/>
    <s v="6.4"/>
    <s v="10:00-13:59"/>
    <x v="3"/>
    <x v="0"/>
    <n v="-25"/>
    <n v="0"/>
    <n v="0"/>
    <n v="39.299999999999997"/>
    <n v="0"/>
    <n v="0.36799999999999999"/>
    <n v="0.83399999999999996"/>
    <n v="12420.79"/>
    <x v="1"/>
    <n v="1"/>
    <n v="1"/>
    <n v="0"/>
    <n v="1"/>
    <n v="0"/>
    <n v="1"/>
    <n v="0"/>
    <x v="7"/>
    <x v="24"/>
    <n v="311.52999999999997"/>
    <n v="70.349999999999994"/>
    <x v="610"/>
    <n v="12.5"/>
    <n v="16.8"/>
  </r>
  <r>
    <n v="935504321"/>
    <n v="961722"/>
    <n v="5449324"/>
    <n v="7019"/>
    <x v="4"/>
    <n v="57171"/>
    <x v="6"/>
    <x v="25"/>
    <x v="25"/>
    <x v="614"/>
    <x v="619"/>
    <x v="618"/>
    <x v="25"/>
    <s v="CO"/>
    <s v="Fort Collins"/>
    <s v="CO"/>
    <s v="Fort Collins"/>
    <x v="2"/>
    <n v="705397"/>
    <s v="101-300"/>
    <n v="319"/>
    <x v="330"/>
    <x v="305"/>
    <n v="312.89999999999998"/>
    <n v="363.6"/>
    <x v="2"/>
    <s v="6.26"/>
    <s v="14:00-17:59"/>
    <x v="4"/>
    <x v="0"/>
    <n v="4"/>
    <n v="0"/>
    <n v="1.7"/>
    <n v="55.1"/>
    <n v="0"/>
    <n v="0.65400000000000003"/>
    <n v="0.72799999999999998"/>
    <n v="3858.23"/>
    <x v="0"/>
    <n v="1"/>
    <n v="1"/>
    <n v="0"/>
    <n v="1"/>
    <n v="0"/>
    <n v="1"/>
    <n v="0"/>
    <x v="59"/>
    <x v="50"/>
    <n v="313.11"/>
    <n v="59.53"/>
    <x v="611"/>
    <n v="12.7"/>
    <n v="0"/>
  </r>
  <r>
    <n v="510032406"/>
    <n v="356702"/>
    <n v="4426900"/>
    <n v="1502"/>
    <x v="1"/>
    <n v="52949"/>
    <x v="2"/>
    <x v="223"/>
    <x v="222"/>
    <x v="615"/>
    <x v="620"/>
    <x v="619"/>
    <x v="116"/>
    <s v="NC"/>
    <s v="Durham"/>
    <s v="TN"/>
    <s v="Chattanooga"/>
    <x v="1"/>
    <n v="758990"/>
    <s v="301-500"/>
    <n v="349"/>
    <x v="207"/>
    <x v="119"/>
    <n v="352.7"/>
    <n v="407.8"/>
    <x v="0"/>
    <s v="10.76"/>
    <s v="18:00-23:59"/>
    <x v="5"/>
    <x v="4"/>
    <n v="198"/>
    <n v="167"/>
    <n v="0"/>
    <n v="26.4"/>
    <n v="0"/>
    <n v="0.78800000000000003"/>
    <n v="0.84399999999999997"/>
    <n v="37765.47"/>
    <x v="2"/>
    <n v="1"/>
    <n v="0"/>
    <n v="1"/>
    <n v="0"/>
    <n v="1"/>
    <n v="0"/>
    <n v="1"/>
    <x v="8"/>
    <x v="73"/>
    <n v="270.05"/>
    <n v="46.93"/>
    <x v="612"/>
    <n v="47.2"/>
    <n v="2"/>
  </r>
  <r>
    <n v="639991949"/>
    <n v="857168"/>
    <n v="2813543"/>
    <n v="1659"/>
    <x v="6"/>
    <n v="54261"/>
    <x v="3"/>
    <x v="294"/>
    <x v="294"/>
    <x v="616"/>
    <x v="621"/>
    <x v="620"/>
    <x v="298"/>
    <s v="CA"/>
    <s v="Los Angeles"/>
    <s v="TX"/>
    <s v="Austin"/>
    <x v="1"/>
    <n v="707878"/>
    <s v="0-100"/>
    <n v="85"/>
    <x v="384"/>
    <x v="40"/>
    <n v="77.599999999999994"/>
    <n v="129.69999999999999"/>
    <x v="3"/>
    <s v="4.22"/>
    <s v="06:00-09:59"/>
    <x v="3"/>
    <x v="3"/>
    <n v="84"/>
    <n v="0"/>
    <n v="0"/>
    <n v="44.9"/>
    <n v="0"/>
    <n v="0.42599999999999999"/>
    <n v="0.54900000000000004"/>
    <n v="1302.29"/>
    <x v="0"/>
    <n v="1"/>
    <n v="0"/>
    <n v="1"/>
    <n v="0"/>
    <n v="1"/>
    <n v="0"/>
    <n v="1"/>
    <x v="43"/>
    <x v="30"/>
    <n v="106.4"/>
    <n v="21.33"/>
    <x v="613"/>
    <n v="23.7"/>
    <n v="37.5"/>
  </r>
  <r>
    <n v="666355637"/>
    <n v="539898"/>
    <n v="2626229"/>
    <n v="2899"/>
    <x v="4"/>
    <n v="55145"/>
    <x v="6"/>
    <x v="8"/>
    <x v="8"/>
    <x v="617"/>
    <x v="622"/>
    <x v="621"/>
    <x v="113"/>
    <s v="GA"/>
    <s v="Augusta"/>
    <s v="NJ"/>
    <s v="Newark"/>
    <x v="3"/>
    <n v="706957"/>
    <s v="101-300"/>
    <n v="300"/>
    <x v="72"/>
    <x v="59"/>
    <n v="296.3"/>
    <n v="331"/>
    <x v="4"/>
    <s v="9.34"/>
    <s v="10:00-13:59"/>
    <x v="2"/>
    <x v="0"/>
    <n v="-9"/>
    <n v="0"/>
    <n v="0"/>
    <n v="15.1"/>
    <n v="0"/>
    <n v="0.72199999999999998"/>
    <n v="0.27400000000000002"/>
    <n v="14585.53"/>
    <x v="1"/>
    <n v="1"/>
    <n v="1"/>
    <n v="0"/>
    <n v="1"/>
    <n v="0"/>
    <n v="1"/>
    <n v="0"/>
    <x v="49"/>
    <x v="89"/>
    <n v="279.26"/>
    <n v="46.18"/>
    <x v="614"/>
    <n v="25.2"/>
    <n v="17"/>
  </r>
  <r>
    <n v="549533634"/>
    <n v="787277"/>
    <n v="6022741"/>
    <n v="3693"/>
    <x v="4"/>
    <n v="53466"/>
    <x v="7"/>
    <x v="272"/>
    <x v="271"/>
    <x v="618"/>
    <x v="623"/>
    <x v="622"/>
    <x v="280"/>
    <s v="TX"/>
    <s v="San Antonio"/>
    <s v="NC"/>
    <s v="Charlotte"/>
    <x v="1"/>
    <n v="765850"/>
    <s v="301-500"/>
    <n v="344"/>
    <x v="294"/>
    <x v="169"/>
    <n v="340.9"/>
    <n v="387.4"/>
    <x v="0"/>
    <s v="8.49"/>
    <s v="18:00-23:59"/>
    <x v="6"/>
    <x v="0"/>
    <n v="-30"/>
    <n v="0"/>
    <n v="0"/>
    <n v="64.7"/>
    <n v="0"/>
    <n v="0.69699999999999995"/>
    <n v="0.372"/>
    <n v="15644.41"/>
    <x v="1"/>
    <n v="1"/>
    <n v="1"/>
    <n v="0"/>
    <n v="1"/>
    <n v="0"/>
    <n v="1"/>
    <n v="0"/>
    <x v="17"/>
    <x v="3"/>
    <n v="246.15"/>
    <n v="39.21"/>
    <x v="615"/>
    <n v="3.4"/>
    <n v="4.5"/>
  </r>
  <r>
    <n v="274008639"/>
    <n v="787277"/>
    <n v="6022741"/>
    <n v="3693"/>
    <x v="4"/>
    <n v="53088"/>
    <x v="1"/>
    <x v="131"/>
    <x v="131"/>
    <x v="619"/>
    <x v="624"/>
    <x v="623"/>
    <x v="133"/>
    <s v="GA"/>
    <s v="Savannah"/>
    <s v="NC"/>
    <s v="Charlotte"/>
    <x v="1"/>
    <n v="763999"/>
    <s v="0-100"/>
    <n v="101"/>
    <x v="362"/>
    <x v="35"/>
    <n v="113.2"/>
    <n v="150.1"/>
    <x v="0"/>
    <s v="2.75"/>
    <s v="06:00-09:59"/>
    <x v="0"/>
    <x v="0"/>
    <n v="-14"/>
    <n v="0"/>
    <n v="0"/>
    <n v="46.1"/>
    <n v="0"/>
    <n v="0.68200000000000005"/>
    <n v="0.68100000000000005"/>
    <n v="2707.86"/>
    <x v="0"/>
    <n v="1"/>
    <n v="1"/>
    <n v="0"/>
    <n v="1"/>
    <n v="0"/>
    <n v="1"/>
    <n v="0"/>
    <x v="13"/>
    <x v="3"/>
    <n v="97.05"/>
    <n v="26.09"/>
    <x v="616"/>
    <n v="3.4"/>
    <n v="12.8"/>
  </r>
  <r>
    <n v="977130288"/>
    <n v="198246"/>
    <n v="9626108"/>
    <n v="5555"/>
    <x v="0"/>
    <n v="51115"/>
    <x v="13"/>
    <x v="7"/>
    <x v="7"/>
    <x v="620"/>
    <x v="625"/>
    <x v="624"/>
    <x v="7"/>
    <s v="OH"/>
    <s v="Cincinnati"/>
    <s v="TX"/>
    <s v="San Antonio"/>
    <x v="1"/>
    <n v="782862"/>
    <s v="101-300"/>
    <n v="171"/>
    <x v="385"/>
    <x v="226"/>
    <n v="179.6"/>
    <n v="225.7"/>
    <x v="1"/>
    <s v="3.72"/>
    <s v="14:00-17:59"/>
    <x v="1"/>
    <x v="0"/>
    <n v="-3"/>
    <n v="0"/>
    <n v="0"/>
    <n v="48.1"/>
    <n v="0"/>
    <n v="0.71899999999999997"/>
    <n v="0.45300000000000001"/>
    <n v="3954.37"/>
    <x v="0"/>
    <n v="1"/>
    <n v="1"/>
    <n v="0"/>
    <n v="1"/>
    <n v="0"/>
    <n v="1"/>
    <n v="0"/>
    <x v="62"/>
    <x v="88"/>
    <n v="178.06"/>
    <n v="45.69"/>
    <x v="617"/>
    <n v="11.5"/>
    <n v="9.6"/>
  </r>
  <r>
    <n v="314423806"/>
    <n v="779514"/>
    <n v="5130808"/>
    <n v="3731"/>
    <x v="4"/>
    <n v="54578"/>
    <x v="8"/>
    <x v="135"/>
    <x v="135"/>
    <x v="621"/>
    <x v="626"/>
    <x v="625"/>
    <x v="299"/>
    <s v="PA"/>
    <s v="Allentown"/>
    <s v="PA"/>
    <s v="Philadelphia"/>
    <x v="3"/>
    <n v="739365"/>
    <s v="101-300"/>
    <n v="314"/>
    <x v="386"/>
    <x v="37"/>
    <n v="321.3"/>
    <n v="377.2"/>
    <x v="0"/>
    <s v="7.26"/>
    <s v="10:00-13:59"/>
    <x v="3"/>
    <x v="0"/>
    <n v="10"/>
    <n v="0"/>
    <n v="0"/>
    <n v="5"/>
    <n v="0"/>
    <n v="0.61299999999999999"/>
    <n v="0.53300000000000003"/>
    <n v="2852.29"/>
    <x v="0"/>
    <n v="1"/>
    <n v="1"/>
    <n v="0"/>
    <n v="1"/>
    <n v="0"/>
    <n v="1"/>
    <n v="0"/>
    <x v="53"/>
    <x v="34"/>
    <n v="276.2"/>
    <n v="69.88"/>
    <x v="618"/>
    <n v="38.9"/>
    <n v="54.4"/>
  </r>
  <r>
    <n v="960345542"/>
    <n v="480612"/>
    <n v="1641849"/>
    <n v="4108"/>
    <x v="0"/>
    <n v="52590"/>
    <x v="11"/>
    <x v="36"/>
    <x v="36"/>
    <x v="622"/>
    <x v="627"/>
    <x v="626"/>
    <x v="35"/>
    <s v="CA"/>
    <s v="San Diego"/>
    <s v="TN"/>
    <s v="Knoxville"/>
    <x v="1"/>
    <n v="747187"/>
    <s v="101-300"/>
    <n v="165"/>
    <x v="387"/>
    <x v="172"/>
    <n v="169.9"/>
    <n v="217.5"/>
    <x v="0"/>
    <s v="2.61"/>
    <s v="14:00-17:59"/>
    <x v="1"/>
    <x v="0"/>
    <n v="-3"/>
    <n v="0"/>
    <n v="0"/>
    <n v="47.1"/>
    <n v="0"/>
    <n v="0.71199999999999997"/>
    <n v="0.69699999999999995"/>
    <n v="5314.56"/>
    <x v="0"/>
    <n v="1"/>
    <n v="1"/>
    <n v="0"/>
    <n v="1"/>
    <n v="0"/>
    <n v="1"/>
    <n v="0"/>
    <x v="110"/>
    <x v="63"/>
    <n v="180.49"/>
    <n v="27.58"/>
    <x v="619"/>
    <n v="31"/>
    <n v="10.1"/>
  </r>
  <r>
    <n v="749252434"/>
    <n v="972064"/>
    <n v="2818692"/>
    <n v="8158"/>
    <x v="1"/>
    <n v="57372"/>
    <x v="14"/>
    <x v="295"/>
    <x v="295"/>
    <x v="623"/>
    <x v="628"/>
    <x v="627"/>
    <x v="300"/>
    <s v="FL"/>
    <s v="Miami"/>
    <s v="PA"/>
    <s v="Erie"/>
    <x v="3"/>
    <n v="798350"/>
    <s v="301-500"/>
    <n v="509"/>
    <x v="151"/>
    <x v="280"/>
    <n v="503.5"/>
    <n v="570.29999999999995"/>
    <x v="2"/>
    <s v="11.51"/>
    <s v="10:00-13:59"/>
    <x v="5"/>
    <x v="0"/>
    <n v="12"/>
    <n v="0"/>
    <n v="1.3"/>
    <n v="69.900000000000006"/>
    <n v="0"/>
    <n v="0.16700000000000001"/>
    <n v="0.70199999999999996"/>
    <n v="6989.79"/>
    <x v="0"/>
    <n v="1"/>
    <n v="1"/>
    <n v="0"/>
    <n v="1"/>
    <n v="0"/>
    <n v="1"/>
    <n v="0"/>
    <x v="38"/>
    <x v="48"/>
    <n v="449"/>
    <n v="113.09"/>
    <x v="620"/>
    <n v="10"/>
    <n v="32.200000000000003"/>
  </r>
  <r>
    <n v="248604290"/>
    <n v="343962"/>
    <n v="5672073"/>
    <n v="7396"/>
    <x v="2"/>
    <n v="53573"/>
    <x v="11"/>
    <x v="213"/>
    <x v="212"/>
    <x v="624"/>
    <x v="629"/>
    <x v="628"/>
    <x v="136"/>
    <s v="CA"/>
    <s v="Fresno"/>
    <s v="MI"/>
    <s v="Detroit"/>
    <x v="0"/>
    <n v="739361"/>
    <s v="101-300"/>
    <n v="116"/>
    <x v="388"/>
    <x v="342"/>
    <n v="117.4"/>
    <n v="128.6"/>
    <x v="1"/>
    <s v="3.21"/>
    <s v="06:00-09:59"/>
    <x v="3"/>
    <x v="4"/>
    <n v="59"/>
    <n v="91"/>
    <n v="0"/>
    <n v="10.4"/>
    <n v="0"/>
    <n v="0.755"/>
    <n v="0.29699999999999999"/>
    <n v="80166.990000000005"/>
    <x v="2"/>
    <n v="1"/>
    <n v="0"/>
    <n v="1"/>
    <n v="0"/>
    <n v="1"/>
    <n v="0"/>
    <n v="1"/>
    <x v="2"/>
    <x v="29"/>
    <n v="80.930000000000007"/>
    <n v="17.64"/>
    <x v="621"/>
    <n v="13.7"/>
    <n v="39.4"/>
  </r>
  <r>
    <n v="368438908"/>
    <n v="198246"/>
    <n v="9626108"/>
    <n v="5555"/>
    <x v="0"/>
    <n v="52978"/>
    <x v="12"/>
    <x v="221"/>
    <x v="220"/>
    <x v="625"/>
    <x v="630"/>
    <x v="629"/>
    <x v="28"/>
    <s v="WA"/>
    <s v="Tacoma"/>
    <s v="NJ"/>
    <s v="Jersey City"/>
    <x v="3"/>
    <n v="774899"/>
    <s v="101-300"/>
    <n v="257"/>
    <x v="200"/>
    <x v="132"/>
    <n v="268"/>
    <n v="325.3"/>
    <x v="1"/>
    <s v="3.77"/>
    <s v="14:00-17:59"/>
    <x v="5"/>
    <x v="0"/>
    <n v="-67"/>
    <n v="0"/>
    <n v="0"/>
    <n v="60.8"/>
    <n v="0"/>
    <n v="0.47199999999999998"/>
    <n v="0.66900000000000004"/>
    <n v="5179.83"/>
    <x v="0"/>
    <n v="1"/>
    <n v="1"/>
    <n v="0"/>
    <n v="1"/>
    <n v="0"/>
    <n v="1"/>
    <n v="0"/>
    <x v="109"/>
    <x v="63"/>
    <n v="268.41000000000003"/>
    <n v="41.06"/>
    <x v="622"/>
    <n v="11.5"/>
    <n v="0"/>
  </r>
  <r>
    <n v="156027635"/>
    <n v="662275"/>
    <n v="7818496"/>
    <n v="8629"/>
    <x v="4"/>
    <n v="59422"/>
    <x v="2"/>
    <x v="296"/>
    <x v="296"/>
    <x v="626"/>
    <x v="631"/>
    <x v="630"/>
    <x v="278"/>
    <s v="IL"/>
    <s v="Rockford"/>
    <s v="OH"/>
    <s v="Dayton"/>
    <x v="0"/>
    <n v="791457"/>
    <s v="0-100"/>
    <n v="67"/>
    <x v="62"/>
    <x v="343"/>
    <n v="69.7"/>
    <n v="93.4"/>
    <x v="3"/>
    <s v="0.46"/>
    <s v="06:00-09:59"/>
    <x v="3"/>
    <x v="0"/>
    <n v="-66"/>
    <n v="0"/>
    <n v="0"/>
    <n v="46.8"/>
    <n v="0"/>
    <n v="0.71799999999999997"/>
    <n v="0.77600000000000002"/>
    <n v="5239.46"/>
    <x v="0"/>
    <n v="1"/>
    <n v="1"/>
    <n v="0"/>
    <n v="1"/>
    <n v="0"/>
    <n v="1"/>
    <n v="0"/>
    <x v="3"/>
    <x v="50"/>
    <n v="63.62"/>
    <n v="20.11"/>
    <x v="623"/>
    <n v="31.4"/>
    <n v="53.4"/>
  </r>
  <r>
    <n v="788460744"/>
    <n v="189814"/>
    <n v="4188992"/>
    <n v="2648"/>
    <x v="3"/>
    <n v="57313"/>
    <x v="7"/>
    <x v="148"/>
    <x v="148"/>
    <x v="627"/>
    <x v="632"/>
    <x v="631"/>
    <x v="153"/>
    <s v="TN"/>
    <s v="Nashville"/>
    <s v="NC"/>
    <s v="Raleigh"/>
    <x v="1"/>
    <n v="751684"/>
    <s v="301-500"/>
    <n v="399"/>
    <x v="389"/>
    <x v="344"/>
    <n v="405.2"/>
    <n v="466.7"/>
    <x v="4"/>
    <s v="9.87"/>
    <s v="10:00-13:59"/>
    <x v="6"/>
    <x v="3"/>
    <n v="145"/>
    <n v="0"/>
    <n v="0"/>
    <n v="53.5"/>
    <n v="0"/>
    <n v="0.46200000000000002"/>
    <n v="0.72499999999999998"/>
    <n v="4511.57"/>
    <x v="0"/>
    <n v="1"/>
    <n v="0"/>
    <n v="1"/>
    <n v="0"/>
    <n v="1"/>
    <n v="0"/>
    <n v="1"/>
    <x v="48"/>
    <x v="31"/>
    <n v="333.12"/>
    <n v="47.6"/>
    <x v="624"/>
    <n v="23.5"/>
    <n v="60.3"/>
  </r>
  <r>
    <n v="616030284"/>
    <n v="835392"/>
    <n v="4194548"/>
    <n v="4005"/>
    <x v="8"/>
    <n v="57022"/>
    <x v="0"/>
    <x v="2"/>
    <x v="2"/>
    <x v="628"/>
    <x v="633"/>
    <x v="632"/>
    <x v="2"/>
    <s v="IL"/>
    <s v="Peoria"/>
    <s v="MO"/>
    <s v="Springfield"/>
    <x v="0"/>
    <n v="754209"/>
    <s v="101-300"/>
    <n v="153"/>
    <x v="202"/>
    <x v="345"/>
    <n v="143.30000000000001"/>
    <n v="184.3"/>
    <x v="0"/>
    <s v="3.95"/>
    <s v="06:00-09:59"/>
    <x v="2"/>
    <x v="0"/>
    <n v="-5"/>
    <n v="0"/>
    <n v="0"/>
    <n v="71.5"/>
    <n v="0"/>
    <n v="0.49399999999999999"/>
    <n v="0.73"/>
    <n v="9072.0300000000007"/>
    <x v="1"/>
    <n v="1"/>
    <n v="1"/>
    <n v="0"/>
    <n v="1"/>
    <n v="0"/>
    <n v="1"/>
    <n v="0"/>
    <x v="6"/>
    <x v="22"/>
    <n v="154.97999999999999"/>
    <n v="22.14"/>
    <x v="625"/>
    <n v="31.7"/>
    <n v="54.9"/>
  </r>
  <r>
    <n v="498585961"/>
    <n v="814825"/>
    <n v="7817881"/>
    <n v="9958"/>
    <x v="1"/>
    <n v="54975"/>
    <x v="10"/>
    <x v="199"/>
    <x v="198"/>
    <x v="629"/>
    <x v="634"/>
    <x v="633"/>
    <x v="201"/>
    <s v="MI"/>
    <s v="Ann Arbor"/>
    <s v="MI"/>
    <s v="Detroit"/>
    <x v="0"/>
    <n v="711807"/>
    <s v="301-500"/>
    <n v="452"/>
    <x v="79"/>
    <x v="129"/>
    <n v="456.3"/>
    <n v="516.5"/>
    <x v="0"/>
    <s v="11.93"/>
    <s v="00:00-05:59"/>
    <x v="3"/>
    <x v="4"/>
    <n v="110"/>
    <n v="118"/>
    <n v="0"/>
    <n v="67.2"/>
    <n v="0"/>
    <n v="0.84099999999999997"/>
    <n v="0.82799999999999996"/>
    <n v="37183.93"/>
    <x v="2"/>
    <n v="1"/>
    <n v="0"/>
    <n v="1"/>
    <n v="0"/>
    <n v="1"/>
    <n v="0"/>
    <n v="1"/>
    <x v="30"/>
    <x v="23"/>
    <n v="439.74"/>
    <n v="80.59"/>
    <x v="626"/>
    <n v="11.6"/>
    <n v="12.7"/>
  </r>
  <r>
    <n v="695433590"/>
    <n v="629903"/>
    <n v="9143903"/>
    <n v="9666"/>
    <x v="9"/>
    <n v="54925"/>
    <x v="6"/>
    <x v="189"/>
    <x v="188"/>
    <x v="630"/>
    <x v="635"/>
    <x v="634"/>
    <x v="301"/>
    <s v="MI"/>
    <s v="Ann Arbor"/>
    <s v="WA"/>
    <s v="Tacoma"/>
    <x v="2"/>
    <n v="722324"/>
    <s v="301-500"/>
    <n v="333"/>
    <x v="220"/>
    <x v="234"/>
    <n v="326.7"/>
    <n v="398.1"/>
    <x v="3"/>
    <s v="6.01"/>
    <s v="18:00-23:59"/>
    <x v="6"/>
    <x v="0"/>
    <n v="-26"/>
    <n v="19"/>
    <n v="0"/>
    <n v="98"/>
    <n v="0"/>
    <n v="0.66300000000000003"/>
    <n v="0.33300000000000002"/>
    <n v="5581.32"/>
    <x v="0"/>
    <n v="1"/>
    <n v="1"/>
    <n v="0"/>
    <n v="1"/>
    <n v="0"/>
    <n v="1"/>
    <n v="0"/>
    <x v="20"/>
    <x v="33"/>
    <n v="288.12"/>
    <n v="47.79"/>
    <x v="627"/>
    <n v="10.3"/>
    <n v="5.3"/>
  </r>
  <r>
    <n v="210154881"/>
    <n v="479580"/>
    <n v="8106422"/>
    <n v="2495"/>
    <x v="5"/>
    <n v="58047"/>
    <x v="4"/>
    <x v="287"/>
    <x v="287"/>
    <x v="631"/>
    <x v="636"/>
    <x v="635"/>
    <x v="292"/>
    <s v="NY"/>
    <s v="Albany"/>
    <s v="CA"/>
    <s v="Fresno"/>
    <x v="2"/>
    <n v="763311"/>
    <s v="101-300"/>
    <n v="223"/>
    <x v="77"/>
    <x v="346"/>
    <n v="221.7"/>
    <n v="294.3"/>
    <x v="0"/>
    <s v="5.06"/>
    <s v="10:00-13:59"/>
    <x v="1"/>
    <x v="0"/>
    <n v="-11"/>
    <n v="0"/>
    <n v="0"/>
    <n v="26.2"/>
    <n v="0"/>
    <n v="0.252"/>
    <n v="0.746"/>
    <n v="2178.3200000000002"/>
    <x v="0"/>
    <n v="1"/>
    <n v="1"/>
    <n v="0"/>
    <n v="1"/>
    <n v="0"/>
    <n v="1"/>
    <n v="0"/>
    <x v="12"/>
    <x v="36"/>
    <n v="190.34"/>
    <n v="35.32"/>
    <x v="628"/>
    <n v="9.6999999999999993"/>
    <n v="64.599999999999994"/>
  </r>
  <r>
    <n v="863860982"/>
    <n v="391476"/>
    <n v="8999183"/>
    <n v="6618"/>
    <x v="2"/>
    <n v="58090"/>
    <x v="1"/>
    <x v="53"/>
    <x v="53"/>
    <x v="632"/>
    <x v="637"/>
    <x v="636"/>
    <x v="302"/>
    <s v="MO"/>
    <s v="Columbia"/>
    <s v="WA"/>
    <s v="Everett"/>
    <x v="2"/>
    <n v="707148"/>
    <s v="501-1000"/>
    <n v="624"/>
    <x v="351"/>
    <x v="262"/>
    <n v="632.5"/>
    <n v="709.7"/>
    <x v="2"/>
    <s v="10.95"/>
    <s v="18:00-23:59"/>
    <x v="5"/>
    <x v="0"/>
    <n v="-34"/>
    <n v="0"/>
    <n v="0"/>
    <n v="55.7"/>
    <n v="0"/>
    <n v="0.35799999999999998"/>
    <n v="0.45700000000000002"/>
    <n v="3525.14"/>
    <x v="0"/>
    <n v="1"/>
    <n v="1"/>
    <n v="0"/>
    <n v="1"/>
    <n v="0"/>
    <n v="1"/>
    <n v="0"/>
    <x v="1"/>
    <x v="26"/>
    <n v="603.89"/>
    <n v="124.99"/>
    <x v="629"/>
    <n v="51.7"/>
    <n v="47.3"/>
  </r>
  <r>
    <n v="653953485"/>
    <n v="982554"/>
    <n v="4740036"/>
    <n v="3976"/>
    <x v="1"/>
    <n v="58051"/>
    <x v="12"/>
    <x v="35"/>
    <x v="35"/>
    <x v="633"/>
    <x v="638"/>
    <x v="637"/>
    <x v="286"/>
    <s v="NJ"/>
    <s v="Elizabeth"/>
    <s v="NJ"/>
    <s v="Elizabeth"/>
    <x v="3"/>
    <n v="748114"/>
    <s v="101-300"/>
    <n v="310"/>
    <x v="390"/>
    <x v="237"/>
    <n v="312.10000000000002"/>
    <n v="335.1"/>
    <x v="0"/>
    <s v="6.44"/>
    <s v="06:00-09:59"/>
    <x v="4"/>
    <x v="0"/>
    <n v="-36"/>
    <n v="0"/>
    <n v="0"/>
    <n v="87"/>
    <n v="0"/>
    <n v="0.75900000000000001"/>
    <n v="0.754"/>
    <n v="1663.87"/>
    <x v="0"/>
    <n v="1"/>
    <n v="1"/>
    <n v="0"/>
    <n v="1"/>
    <n v="0"/>
    <n v="1"/>
    <n v="0"/>
    <x v="8"/>
    <x v="22"/>
    <n v="295.24"/>
    <n v="66.44"/>
    <x v="630"/>
    <n v="44.5"/>
    <n v="26.4"/>
  </r>
  <r>
    <n v="233871736"/>
    <n v="946335"/>
    <n v="1247595"/>
    <n v="6675"/>
    <x v="1"/>
    <n v="55292"/>
    <x v="12"/>
    <x v="67"/>
    <x v="67"/>
    <x v="634"/>
    <x v="639"/>
    <x v="638"/>
    <x v="66"/>
    <s v="NY"/>
    <s v="Buffalo"/>
    <s v="AZ"/>
    <s v="Mesa"/>
    <x v="2"/>
    <n v="781681"/>
    <s v="101-300"/>
    <n v="111"/>
    <x v="229"/>
    <x v="38"/>
    <n v="115.9"/>
    <n v="123.9"/>
    <x v="0"/>
    <s v="1.84"/>
    <s v="10:00-13:59"/>
    <x v="1"/>
    <x v="0"/>
    <n v="-32"/>
    <n v="0"/>
    <n v="0"/>
    <n v="35.5"/>
    <n v="0"/>
    <n v="0.91"/>
    <n v="0.755"/>
    <n v="14439.26"/>
    <x v="1"/>
    <n v="1"/>
    <n v="1"/>
    <n v="0"/>
    <n v="1"/>
    <n v="0"/>
    <n v="1"/>
    <n v="0"/>
    <x v="50"/>
    <x v="16"/>
    <n v="112.66"/>
    <n v="22.23"/>
    <x v="631"/>
    <n v="32.6"/>
    <n v="0.1"/>
  </r>
  <r>
    <n v="406084084"/>
    <n v="245051"/>
    <n v="1739653"/>
    <n v="4763"/>
    <x v="7"/>
    <n v="56645"/>
    <x v="2"/>
    <x v="221"/>
    <x v="220"/>
    <x v="635"/>
    <x v="640"/>
    <x v="639"/>
    <x v="28"/>
    <s v="AZ"/>
    <s v="Tucson"/>
    <s v="MO"/>
    <s v="Independence"/>
    <x v="0"/>
    <n v="743829"/>
    <s v="101-300"/>
    <n v="147"/>
    <x v="234"/>
    <x v="42"/>
    <n v="145.9"/>
    <n v="171"/>
    <x v="0"/>
    <s v="2.38"/>
    <s v="06:00-09:59"/>
    <x v="5"/>
    <x v="0"/>
    <n v="-34"/>
    <n v="0"/>
    <n v="0"/>
    <n v="78.400000000000006"/>
    <n v="0"/>
    <n v="0.48099999999999998"/>
    <n v="0.67300000000000004"/>
    <n v="4320.3900000000003"/>
    <x v="0"/>
    <n v="1"/>
    <n v="1"/>
    <n v="0"/>
    <n v="1"/>
    <n v="0"/>
    <n v="1"/>
    <n v="0"/>
    <x v="72"/>
    <x v="11"/>
    <n v="122.32"/>
    <n v="19.18"/>
    <x v="529"/>
    <n v="12.9"/>
    <n v="60.3"/>
  </r>
  <r>
    <n v="190060226"/>
    <n v="946335"/>
    <n v="1247595"/>
    <n v="6675"/>
    <x v="1"/>
    <n v="55403"/>
    <x v="3"/>
    <x v="155"/>
    <x v="155"/>
    <x v="636"/>
    <x v="641"/>
    <x v="640"/>
    <x v="188"/>
    <s v="NC"/>
    <s v="Greensboro"/>
    <s v="IL"/>
    <s v="Rockford"/>
    <x v="0"/>
    <n v="727770"/>
    <s v="501-1000"/>
    <n v="618"/>
    <x v="72"/>
    <x v="241"/>
    <n v="606.4"/>
    <n v="645.5"/>
    <x v="0"/>
    <s v="12.92"/>
    <s v="14:00-17:59"/>
    <x v="6"/>
    <x v="0"/>
    <n v="-17"/>
    <n v="0"/>
    <n v="0"/>
    <n v="54.6"/>
    <n v="0"/>
    <n v="0.442"/>
    <n v="0.78200000000000003"/>
    <n v="88263.82"/>
    <x v="2"/>
    <n v="1"/>
    <n v="1"/>
    <n v="0"/>
    <n v="1"/>
    <n v="0"/>
    <n v="1"/>
    <n v="0"/>
    <x v="104"/>
    <x v="60"/>
    <n v="424.19"/>
    <n v="133.91"/>
    <x v="632"/>
    <n v="32.6"/>
    <n v="10.1"/>
  </r>
  <r>
    <n v="919390458"/>
    <n v="220116"/>
    <n v="6933742"/>
    <n v="5218"/>
    <x v="0"/>
    <n v="53430"/>
    <x v="6"/>
    <x v="17"/>
    <x v="17"/>
    <x v="637"/>
    <x v="642"/>
    <x v="641"/>
    <x v="303"/>
    <s v="NC"/>
    <s v="Raleigh"/>
    <s v="PA"/>
    <s v="Pittsburgh"/>
    <x v="3"/>
    <n v="702410"/>
    <s v="301-500"/>
    <n v="385"/>
    <x v="80"/>
    <x v="347"/>
    <n v="379.4"/>
    <n v="411.3"/>
    <x v="0"/>
    <s v="9.1"/>
    <s v="14:00-17:59"/>
    <x v="4"/>
    <x v="0"/>
    <n v="19"/>
    <n v="0"/>
    <n v="0"/>
    <n v="28.6"/>
    <n v="0"/>
    <n v="0.64800000000000002"/>
    <n v="0.68200000000000005"/>
    <n v="2157.4699999999998"/>
    <x v="0"/>
    <n v="1"/>
    <n v="0"/>
    <n v="1"/>
    <n v="0"/>
    <n v="1"/>
    <n v="0"/>
    <n v="1"/>
    <x v="46"/>
    <x v="23"/>
    <n v="370.7"/>
    <n v="86.67"/>
    <x v="633"/>
    <n v="31.9"/>
    <n v="42.9"/>
  </r>
  <r>
    <n v="272134062"/>
    <n v="352572"/>
    <n v="9580255"/>
    <n v="5499"/>
    <x v="1"/>
    <n v="51995"/>
    <x v="2"/>
    <x v="286"/>
    <x v="286"/>
    <x v="638"/>
    <x v="643"/>
    <x v="642"/>
    <x v="284"/>
    <s v="NY"/>
    <s v="Syracuse"/>
    <s v="TN"/>
    <s v="Clarksville"/>
    <x v="1"/>
    <n v="725703"/>
    <s v="101-300"/>
    <n v="155"/>
    <x v="391"/>
    <x v="106"/>
    <n v="159.1"/>
    <n v="199.2"/>
    <x v="0"/>
    <s v="3.61"/>
    <s v="06:00-09:59"/>
    <x v="0"/>
    <x v="0"/>
    <n v="-40"/>
    <n v="0"/>
    <n v="0"/>
    <n v="24.9"/>
    <n v="0"/>
    <n v="0.622"/>
    <n v="0.89300000000000002"/>
    <n v="31288.97"/>
    <x v="2"/>
    <n v="1"/>
    <n v="1"/>
    <n v="0"/>
    <n v="1"/>
    <n v="0"/>
    <n v="1"/>
    <n v="0"/>
    <x v="14"/>
    <x v="32"/>
    <n v="147.38999999999999"/>
    <n v="26.64"/>
    <x v="634"/>
    <n v="12.6"/>
    <n v="64"/>
  </r>
  <r>
    <n v="392907427"/>
    <n v="308496"/>
    <n v="5076817"/>
    <n v="3747"/>
    <x v="5"/>
    <n v="56030"/>
    <x v="8"/>
    <x v="101"/>
    <x v="101"/>
    <x v="639"/>
    <x v="644"/>
    <x v="643"/>
    <x v="304"/>
    <s v="AZ"/>
    <s v="Flagstaff"/>
    <s v="AZ"/>
    <s v="Flagstaff"/>
    <x v="2"/>
    <n v="742558"/>
    <s v="101-300"/>
    <n v="210"/>
    <x v="333"/>
    <x v="259"/>
    <n v="212"/>
    <n v="249.9"/>
    <x v="1"/>
    <s v="4.18"/>
    <s v="18:00-23:59"/>
    <x v="3"/>
    <x v="0"/>
    <n v="-20"/>
    <n v="0"/>
    <n v="0"/>
    <n v="37.6"/>
    <n v="0"/>
    <n v="0.79700000000000004"/>
    <n v="0.45600000000000002"/>
    <n v="2413.09"/>
    <x v="0"/>
    <n v="1"/>
    <n v="1"/>
    <n v="0"/>
    <n v="1"/>
    <n v="0"/>
    <n v="1"/>
    <n v="0"/>
    <x v="76"/>
    <x v="31"/>
    <n v="161.94999999999999"/>
    <n v="41.58"/>
    <x v="635"/>
    <n v="15.5"/>
    <n v="60.7"/>
  </r>
  <r>
    <n v="582452834"/>
    <n v="972064"/>
    <n v="2818692"/>
    <n v="8158"/>
    <x v="1"/>
    <n v="53891"/>
    <x v="4"/>
    <x v="297"/>
    <x v="297"/>
    <x v="640"/>
    <x v="645"/>
    <x v="644"/>
    <x v="172"/>
    <s v="CA"/>
    <s v="Oakland"/>
    <s v="NJ"/>
    <s v="Newark"/>
    <x v="3"/>
    <n v="781663"/>
    <s v="301-500"/>
    <n v="490"/>
    <x v="392"/>
    <x v="237"/>
    <n v="500"/>
    <n v="531.6"/>
    <x v="2"/>
    <s v="12.29"/>
    <s v="06:00-09:59"/>
    <x v="1"/>
    <x v="3"/>
    <n v="-8"/>
    <n v="0"/>
    <n v="0"/>
    <n v="58.4"/>
    <n v="0"/>
    <n v="0.86199999999999999"/>
    <n v="0.314"/>
    <n v="15346.27"/>
    <x v="1"/>
    <n v="1"/>
    <n v="1"/>
    <n v="0"/>
    <n v="1"/>
    <n v="0"/>
    <n v="1"/>
    <n v="0"/>
    <x v="53"/>
    <x v="102"/>
    <n v="409.14"/>
    <n v="84.11"/>
    <x v="636"/>
    <n v="10"/>
    <n v="26"/>
  </r>
  <r>
    <n v="651208305"/>
    <n v="358607"/>
    <n v="5727085"/>
    <n v="6864"/>
    <x v="1"/>
    <n v="57145"/>
    <x v="11"/>
    <x v="108"/>
    <x v="107"/>
    <x v="641"/>
    <x v="646"/>
    <x v="645"/>
    <x v="107"/>
    <s v="PA"/>
    <s v="Erie"/>
    <s v="TX"/>
    <s v="San Antonio"/>
    <x v="1"/>
    <n v="734732"/>
    <s v="301-500"/>
    <n v="453"/>
    <x v="157"/>
    <x v="348"/>
    <n v="453.8"/>
    <n v="517.9"/>
    <x v="0"/>
    <s v="9.77"/>
    <s v="10:00-13:59"/>
    <x v="1"/>
    <x v="0"/>
    <n v="-6"/>
    <n v="0"/>
    <n v="0"/>
    <n v="70.3"/>
    <n v="0"/>
    <n v="0.85799999999999998"/>
    <n v="0.73499999999999999"/>
    <n v="82019.12"/>
    <x v="2"/>
    <n v="1"/>
    <n v="1"/>
    <n v="0"/>
    <n v="1"/>
    <n v="0"/>
    <n v="1"/>
    <n v="0"/>
    <x v="70"/>
    <x v="31"/>
    <n v="350.7"/>
    <n v="93.32"/>
    <x v="637"/>
    <n v="7.3"/>
    <n v="36.1"/>
  </r>
  <r>
    <n v="258214411"/>
    <n v="308496"/>
    <n v="5076817"/>
    <n v="3747"/>
    <x v="5"/>
    <n v="58498"/>
    <x v="10"/>
    <x v="272"/>
    <x v="271"/>
    <x v="642"/>
    <x v="647"/>
    <x v="646"/>
    <x v="280"/>
    <s v="TN"/>
    <s v="Clarksville"/>
    <s v="AZ"/>
    <s v="Flagstaff"/>
    <x v="2"/>
    <n v="760943"/>
    <s v="301-500"/>
    <n v="423"/>
    <x v="393"/>
    <x v="18"/>
    <n v="417.6"/>
    <n v="455.7"/>
    <x v="1"/>
    <s v="7.96"/>
    <s v="18:00-23:59"/>
    <x v="6"/>
    <x v="0"/>
    <n v="-29"/>
    <n v="71"/>
    <n v="0"/>
    <n v="46.4"/>
    <n v="0"/>
    <n v="0.72599999999999998"/>
    <n v="0.40699999999999997"/>
    <n v="48518.84"/>
    <x v="2"/>
    <n v="1"/>
    <n v="1"/>
    <n v="0"/>
    <n v="1"/>
    <n v="0"/>
    <n v="1"/>
    <n v="0"/>
    <x v="50"/>
    <x v="29"/>
    <n v="331.1"/>
    <n v="99.05"/>
    <x v="638"/>
    <n v="15.5"/>
    <n v="60.3"/>
  </r>
  <r>
    <n v="992329618"/>
    <n v="779514"/>
    <n v="5130808"/>
    <n v="3731"/>
    <x v="4"/>
    <n v="59554"/>
    <x v="4"/>
    <x v="298"/>
    <x v="298"/>
    <x v="643"/>
    <x v="648"/>
    <x v="647"/>
    <x v="36"/>
    <s v="NY"/>
    <s v="Rochester"/>
    <s v="FL"/>
    <s v="Tampa"/>
    <x v="1"/>
    <n v="717705"/>
    <s v="101-300"/>
    <n v="124"/>
    <x v="132"/>
    <x v="349"/>
    <n v="123.8"/>
    <n v="157.80000000000001"/>
    <x v="0"/>
    <s v="2.18"/>
    <s v="18:00-23:59"/>
    <x v="5"/>
    <x v="0"/>
    <n v="-4"/>
    <n v="0"/>
    <n v="0"/>
    <n v="69.599999999999994"/>
    <n v="0"/>
    <n v="0.82699999999999996"/>
    <n v="0.79100000000000004"/>
    <n v="8930.5300000000007"/>
    <x v="1"/>
    <n v="1"/>
    <n v="1"/>
    <n v="0"/>
    <n v="1"/>
    <n v="0"/>
    <n v="1"/>
    <n v="0"/>
    <x v="39"/>
    <x v="52"/>
    <n v="113"/>
    <n v="34.46"/>
    <x v="639"/>
    <n v="38.9"/>
    <n v="50.8"/>
  </r>
  <r>
    <n v="569732588"/>
    <n v="263032"/>
    <n v="4191175"/>
    <n v="6486"/>
    <x v="9"/>
    <n v="52102"/>
    <x v="6"/>
    <x v="246"/>
    <x v="245"/>
    <x v="644"/>
    <x v="649"/>
    <x v="648"/>
    <x v="245"/>
    <s v="OH"/>
    <s v="Cincinnati"/>
    <s v="TN"/>
    <s v="Memphis"/>
    <x v="1"/>
    <n v="736170"/>
    <s v="301-500"/>
    <n v="449"/>
    <x v="24"/>
    <x v="350"/>
    <n v="455"/>
    <n v="526.70000000000005"/>
    <x v="4"/>
    <s v="7.62"/>
    <s v="18:00-23:59"/>
    <x v="4"/>
    <x v="0"/>
    <n v="-9"/>
    <n v="0"/>
    <n v="0"/>
    <n v="49.9"/>
    <n v="0"/>
    <n v="0.63"/>
    <n v="0.53400000000000003"/>
    <n v="5176.1899999999996"/>
    <x v="0"/>
    <n v="1"/>
    <n v="1"/>
    <n v="0"/>
    <n v="1"/>
    <n v="0"/>
    <n v="1"/>
    <n v="0"/>
    <x v="50"/>
    <x v="59"/>
    <n v="482.56"/>
    <n v="84.85"/>
    <x v="640"/>
    <n v="13.2"/>
    <n v="18.2"/>
  </r>
  <r>
    <n v="198476695"/>
    <n v="363626"/>
    <n v="1669324"/>
    <n v="6791"/>
    <x v="8"/>
    <n v="53030"/>
    <x v="9"/>
    <x v="18"/>
    <x v="18"/>
    <x v="645"/>
    <x v="650"/>
    <x v="649"/>
    <x v="18"/>
    <s v="AZ"/>
    <s v="Tempe"/>
    <s v="NJ"/>
    <s v="Newark"/>
    <x v="3"/>
    <n v="775534"/>
    <s v="101-300"/>
    <n v="140"/>
    <x v="282"/>
    <x v="185"/>
    <n v="129.5"/>
    <n v="178.8"/>
    <x v="4"/>
    <s v="2.88"/>
    <s v="10:00-13:59"/>
    <x v="3"/>
    <x v="0"/>
    <n v="-28"/>
    <n v="0"/>
    <n v="0"/>
    <n v="60.2"/>
    <n v="0"/>
    <n v="0.70599999999999996"/>
    <n v="0.79200000000000004"/>
    <n v="5261.21"/>
    <x v="0"/>
    <n v="1"/>
    <n v="1"/>
    <n v="0"/>
    <n v="1"/>
    <n v="0"/>
    <n v="1"/>
    <n v="0"/>
    <x v="111"/>
    <x v="80"/>
    <n v="145.16"/>
    <n v="19.850000000000001"/>
    <x v="641"/>
    <n v="13"/>
    <n v="15.8"/>
  </r>
  <r>
    <n v="338411494"/>
    <n v="854639"/>
    <n v="7417985"/>
    <n v="3811"/>
    <x v="6"/>
    <n v="58524"/>
    <x v="10"/>
    <x v="216"/>
    <x v="215"/>
    <x v="646"/>
    <x v="651"/>
    <x v="650"/>
    <x v="209"/>
    <s v="CA"/>
    <s v="San Diego"/>
    <s v="CA"/>
    <s v="Sacramento"/>
    <x v="2"/>
    <n v="739562"/>
    <s v="101-300"/>
    <n v="274"/>
    <x v="89"/>
    <x v="219"/>
    <n v="276.10000000000002"/>
    <n v="312.60000000000002"/>
    <x v="0"/>
    <s v="3.81"/>
    <s v="06:00-09:59"/>
    <x v="1"/>
    <x v="0"/>
    <n v="-48"/>
    <n v="0"/>
    <n v="0"/>
    <n v="42.7"/>
    <n v="0"/>
    <n v="0.61599999999999999"/>
    <n v="0.74099999999999999"/>
    <n v="10479.299999999999"/>
    <x v="1"/>
    <n v="1"/>
    <n v="1"/>
    <n v="0"/>
    <n v="1"/>
    <n v="0"/>
    <n v="1"/>
    <n v="0"/>
    <x v="81"/>
    <x v="31"/>
    <n v="239.93"/>
    <n v="43.81"/>
    <x v="642"/>
    <n v="11.8"/>
    <n v="21.1"/>
  </r>
  <r>
    <n v="976928440"/>
    <n v="629903"/>
    <n v="9143903"/>
    <n v="9666"/>
    <x v="9"/>
    <n v="58107"/>
    <x v="13"/>
    <x v="155"/>
    <x v="155"/>
    <x v="647"/>
    <x v="652"/>
    <x v="651"/>
    <x v="160"/>
    <s v="PA"/>
    <s v="Erie"/>
    <s v="FL"/>
    <s v="Fort Lauderdale"/>
    <x v="1"/>
    <n v="750133"/>
    <s v="101-300"/>
    <n v="158"/>
    <x v="223"/>
    <x v="351"/>
    <n v="150.4"/>
    <n v="208.3"/>
    <x v="3"/>
    <s v="4.25"/>
    <s v="06:00-09:59"/>
    <x v="6"/>
    <x v="0"/>
    <n v="-43"/>
    <n v="0"/>
    <n v="0"/>
    <n v="65.7"/>
    <n v="0"/>
    <n v="0.89400000000000002"/>
    <n v="0.63900000000000001"/>
    <n v="76891.06"/>
    <x v="2"/>
    <n v="1"/>
    <n v="1"/>
    <n v="0"/>
    <n v="1"/>
    <n v="0"/>
    <n v="1"/>
    <n v="0"/>
    <x v="30"/>
    <x v="8"/>
    <n v="161.25"/>
    <n v="31.17"/>
    <x v="643"/>
    <n v="10.3"/>
    <n v="7.5"/>
  </r>
  <r>
    <n v="584394989"/>
    <n v="944151"/>
    <n v="6855396"/>
    <n v="8574"/>
    <x v="9"/>
    <n v="50242"/>
    <x v="7"/>
    <x v="260"/>
    <x v="259"/>
    <x v="648"/>
    <x v="653"/>
    <x v="652"/>
    <x v="62"/>
    <s v="IL"/>
    <s v="Rockford"/>
    <s v="AZ"/>
    <s v="Flagstaff"/>
    <x v="2"/>
    <n v="775527"/>
    <s v="501-1000"/>
    <n v="717"/>
    <x v="394"/>
    <x v="222"/>
    <n v="718"/>
    <n v="795.9"/>
    <x v="3"/>
    <s v="14.65"/>
    <s v="10:00-13:59"/>
    <x v="6"/>
    <x v="0"/>
    <n v="-2"/>
    <n v="0"/>
    <n v="0"/>
    <n v="50.3"/>
    <n v="0"/>
    <n v="0.46200000000000002"/>
    <n v="0.77700000000000002"/>
    <n v="3087.1"/>
    <x v="0"/>
    <n v="1"/>
    <n v="1"/>
    <n v="0"/>
    <n v="1"/>
    <n v="0"/>
    <n v="1"/>
    <n v="0"/>
    <x v="9"/>
    <x v="56"/>
    <n v="637.70000000000005"/>
    <n v="130.65"/>
    <x v="644"/>
    <n v="12.8"/>
    <n v="33.200000000000003"/>
  </r>
  <r>
    <n v="475364113"/>
    <n v="899550"/>
    <n v="5682940"/>
    <n v="9155"/>
    <x v="9"/>
    <n v="51884"/>
    <x v="6"/>
    <x v="161"/>
    <x v="161"/>
    <x v="649"/>
    <x v="654"/>
    <x v="653"/>
    <x v="187"/>
    <s v="TX"/>
    <s v="San Antonio"/>
    <s v="NC"/>
    <s v="Greensboro"/>
    <x v="1"/>
    <n v="765850"/>
    <s v="101-300"/>
    <n v="180"/>
    <x v="21"/>
    <x v="157"/>
    <n v="184.4"/>
    <n v="216"/>
    <x v="2"/>
    <s v="4.01"/>
    <s v="14:00-17:59"/>
    <x v="2"/>
    <x v="0"/>
    <n v="13"/>
    <n v="57"/>
    <n v="1.1000000000000001"/>
    <n v="34.799999999999997"/>
    <n v="0"/>
    <n v="0.77300000000000002"/>
    <n v="0.82699999999999996"/>
    <n v="37786.300000000003"/>
    <x v="2"/>
    <n v="1"/>
    <n v="1"/>
    <n v="0"/>
    <n v="1"/>
    <n v="0"/>
    <n v="1"/>
    <n v="0"/>
    <x v="43"/>
    <x v="56"/>
    <n v="190.47"/>
    <n v="46.49"/>
    <x v="645"/>
    <n v="16.100000000000001"/>
    <n v="59.2"/>
  </r>
  <r>
    <n v="128636900"/>
    <n v="598369"/>
    <n v="6266630"/>
    <n v="3869"/>
    <x v="5"/>
    <n v="58015"/>
    <x v="2"/>
    <x v="184"/>
    <x v="183"/>
    <x v="650"/>
    <x v="655"/>
    <x v="654"/>
    <x v="305"/>
    <s v="NC"/>
    <s v="Raleigh"/>
    <s v="NC"/>
    <s v="Durham"/>
    <x v="1"/>
    <n v="752322"/>
    <s v="101-300"/>
    <n v="289"/>
    <x v="54"/>
    <x v="352"/>
    <n v="292.3"/>
    <n v="303.8"/>
    <x v="0"/>
    <s v="5.43"/>
    <s v="06:00-09:59"/>
    <x v="4"/>
    <x v="0"/>
    <n v="-18"/>
    <n v="43"/>
    <n v="0"/>
    <n v="54"/>
    <n v="0"/>
    <n v="0.69899999999999995"/>
    <n v="0.65200000000000002"/>
    <n v="21049.38"/>
    <x v="1"/>
    <n v="1"/>
    <n v="1"/>
    <n v="0"/>
    <n v="1"/>
    <n v="0"/>
    <n v="1"/>
    <n v="0"/>
    <x v="13"/>
    <x v="1"/>
    <n v="201.66"/>
    <n v="39.950000000000003"/>
    <x v="15"/>
    <n v="26.1"/>
    <n v="41.9"/>
  </r>
  <r>
    <n v="545492166"/>
    <n v="520651"/>
    <n v="5098412"/>
    <n v="7892"/>
    <x v="1"/>
    <n v="59624"/>
    <x v="5"/>
    <x v="212"/>
    <x v="211"/>
    <x v="651"/>
    <x v="656"/>
    <x v="655"/>
    <x v="254"/>
    <s v="OH"/>
    <s v="Cleveland"/>
    <s v="NY"/>
    <s v="Buffalo"/>
    <x v="3"/>
    <n v="785820"/>
    <s v="301-500"/>
    <n v="319"/>
    <x v="180"/>
    <x v="151"/>
    <n v="327"/>
    <n v="353.5"/>
    <x v="0"/>
    <s v="17.6"/>
    <s v="14:00-17:59"/>
    <x v="2"/>
    <x v="1"/>
    <n v="612"/>
    <n v="0"/>
    <n v="0"/>
    <n v="51.8"/>
    <n v="1"/>
    <n v="0.41899999999999998"/>
    <n v="0.76800000000000002"/>
    <n v="850.87"/>
    <x v="0"/>
    <n v="1"/>
    <n v="0"/>
    <n v="1"/>
    <n v="0"/>
    <n v="1"/>
    <n v="0"/>
    <n v="1"/>
    <x v="62"/>
    <x v="93"/>
    <n v="282.76"/>
    <n v="991.61"/>
    <x v="646"/>
    <n v="45.8"/>
    <n v="78.8"/>
  </r>
  <r>
    <n v="157184151"/>
    <n v="653306"/>
    <n v="6188935"/>
    <n v="7944"/>
    <x v="1"/>
    <n v="56747"/>
    <x v="8"/>
    <x v="181"/>
    <x v="180"/>
    <x v="652"/>
    <x v="657"/>
    <x v="656"/>
    <x v="306"/>
    <s v="FL"/>
    <s v="Fort Lauderdale"/>
    <s v="FL"/>
    <s v="Jacksonville"/>
    <x v="1"/>
    <n v="758654"/>
    <s v="101-300"/>
    <n v="226"/>
    <x v="395"/>
    <x v="203"/>
    <n v="227.5"/>
    <n v="239.5"/>
    <x v="2"/>
    <s v="4.81"/>
    <s v="06:00-09:59"/>
    <x v="0"/>
    <x v="0"/>
    <n v="-19"/>
    <n v="0"/>
    <n v="0"/>
    <n v="38.799999999999997"/>
    <n v="0"/>
    <n v="0.60699999999999998"/>
    <n v="0.60899999999999999"/>
    <n v="2286.6799999999998"/>
    <x v="0"/>
    <n v="1"/>
    <n v="1"/>
    <n v="0"/>
    <n v="1"/>
    <n v="0"/>
    <n v="1"/>
    <n v="0"/>
    <x v="70"/>
    <x v="61"/>
    <n v="171.64"/>
    <n v="32.31"/>
    <x v="647"/>
    <n v="23.9"/>
    <n v="65.2"/>
  </r>
  <r>
    <n v="525689202"/>
    <n v="852787"/>
    <n v="6075395"/>
    <n v="7668"/>
    <x v="8"/>
    <n v="58494"/>
    <x v="9"/>
    <x v="238"/>
    <x v="237"/>
    <x v="653"/>
    <x v="658"/>
    <x v="657"/>
    <x v="238"/>
    <s v="NJ"/>
    <s v="Trenton"/>
    <s v="NY"/>
    <s v="Buffalo"/>
    <x v="3"/>
    <n v="795786"/>
    <s v="301-500"/>
    <n v="322"/>
    <x v="396"/>
    <x v="23"/>
    <n v="325.10000000000002"/>
    <n v="372.3"/>
    <x v="3"/>
    <s v="7.45"/>
    <s v="10:00-13:59"/>
    <x v="0"/>
    <x v="0"/>
    <n v="-43"/>
    <n v="0"/>
    <n v="0"/>
    <n v="81.3"/>
    <n v="0"/>
    <n v="0.81299999999999994"/>
    <n v="0.45"/>
    <n v="2596.94"/>
    <x v="0"/>
    <n v="1"/>
    <n v="1"/>
    <n v="0"/>
    <n v="1"/>
    <n v="0"/>
    <n v="1"/>
    <n v="0"/>
    <x v="59"/>
    <x v="55"/>
    <n v="294.64999999999998"/>
    <n v="78.31"/>
    <x v="648"/>
    <n v="15.7"/>
    <n v="69.7"/>
  </r>
  <r>
    <n v="639026034"/>
    <n v="835911"/>
    <n v="7774229"/>
    <n v="3454"/>
    <x v="2"/>
    <n v="54330"/>
    <x v="2"/>
    <x v="168"/>
    <x v="167"/>
    <x v="654"/>
    <x v="659"/>
    <x v="658"/>
    <x v="174"/>
    <s v="FL"/>
    <s v="Orlando"/>
    <s v="NY"/>
    <s v="Syracuse"/>
    <x v="3"/>
    <n v="710118"/>
    <s v="301-500"/>
    <n v="452"/>
    <x v="169"/>
    <x v="321"/>
    <n v="455.3"/>
    <n v="483.2"/>
    <x v="2"/>
    <s v="9.25"/>
    <s v="14:00-17:59"/>
    <x v="1"/>
    <x v="0"/>
    <n v="-23"/>
    <n v="0"/>
    <n v="0"/>
    <n v="57.1"/>
    <n v="0"/>
    <n v="0.69799999999999995"/>
    <n v="0.55600000000000005"/>
    <n v="6493.45"/>
    <x v="0"/>
    <n v="1"/>
    <n v="1"/>
    <n v="0"/>
    <n v="1"/>
    <n v="0"/>
    <n v="1"/>
    <n v="0"/>
    <x v="11"/>
    <x v="58"/>
    <n v="374.63"/>
    <n v="105.72"/>
    <x v="649"/>
    <n v="11.7"/>
    <n v="54.6"/>
  </r>
  <r>
    <n v="501538092"/>
    <n v="217301"/>
    <n v="5453786"/>
    <n v="5548"/>
    <x v="6"/>
    <n v="57863"/>
    <x v="2"/>
    <x v="42"/>
    <x v="42"/>
    <x v="655"/>
    <x v="660"/>
    <x v="659"/>
    <x v="41"/>
    <s v="PA"/>
    <s v="Harrisburg"/>
    <s v="FL"/>
    <s v="Tampa"/>
    <x v="1"/>
    <n v="750133"/>
    <s v="0-100"/>
    <n v="101"/>
    <x v="28"/>
    <x v="125"/>
    <n v="95.2"/>
    <n v="143.69999999999999"/>
    <x v="3"/>
    <s v="3.48"/>
    <s v="10:00-13:59"/>
    <x v="0"/>
    <x v="0"/>
    <n v="15"/>
    <n v="0"/>
    <n v="0"/>
    <n v="86.4"/>
    <n v="0"/>
    <n v="0.61499999999999999"/>
    <n v="0.72899999999999998"/>
    <n v="18618.46"/>
    <x v="1"/>
    <n v="1"/>
    <n v="1"/>
    <n v="0"/>
    <n v="1"/>
    <n v="0"/>
    <n v="1"/>
    <n v="0"/>
    <x v="51"/>
    <x v="48"/>
    <n v="90.38"/>
    <n v="29.39"/>
    <x v="650"/>
    <n v="13"/>
    <n v="39.9"/>
  </r>
  <r>
    <n v="353164777"/>
    <n v="913694"/>
    <n v="2229110"/>
    <n v="8408"/>
    <x v="4"/>
    <n v="53109"/>
    <x v="7"/>
    <x v="213"/>
    <x v="212"/>
    <x v="656"/>
    <x v="661"/>
    <x v="660"/>
    <x v="113"/>
    <s v="TN"/>
    <s v="Nashville"/>
    <s v="TX"/>
    <s v="Dallas"/>
    <x v="1"/>
    <n v="737982"/>
    <s v="501-1000"/>
    <n v="727"/>
    <x v="397"/>
    <x v="351"/>
    <n v="726.2"/>
    <n v="758.6"/>
    <x v="0"/>
    <s v="15.96"/>
    <s v="14:00-17:59"/>
    <x v="3"/>
    <x v="0"/>
    <n v="-31"/>
    <n v="0"/>
    <n v="0"/>
    <n v="61.2"/>
    <n v="0"/>
    <n v="0.78600000000000003"/>
    <n v="0.71099999999999997"/>
    <n v="3815.4"/>
    <x v="0"/>
    <n v="1"/>
    <n v="1"/>
    <n v="0"/>
    <n v="1"/>
    <n v="0"/>
    <n v="1"/>
    <n v="0"/>
    <x v="6"/>
    <x v="12"/>
    <n v="602.89"/>
    <n v="106.7"/>
    <x v="651"/>
    <n v="9.1"/>
    <n v="53.3"/>
  </r>
  <r>
    <n v="514642708"/>
    <n v="440035"/>
    <n v="1156287"/>
    <n v="8858"/>
    <x v="0"/>
    <n v="52186"/>
    <x v="11"/>
    <x v="189"/>
    <x v="188"/>
    <x v="657"/>
    <x v="662"/>
    <x v="661"/>
    <x v="191"/>
    <s v="MO"/>
    <s v="Independence"/>
    <s v="TX"/>
    <s v="San Antonio"/>
    <x v="1"/>
    <n v="741853"/>
    <s v="301-500"/>
    <n v="402"/>
    <x v="203"/>
    <x v="26"/>
    <n v="387.2"/>
    <n v="400.9"/>
    <x v="0"/>
    <s v="8.17"/>
    <s v="06:00-09:59"/>
    <x v="6"/>
    <x v="0"/>
    <n v="-21"/>
    <n v="0"/>
    <n v="0"/>
    <n v="34.200000000000003"/>
    <n v="0"/>
    <n v="0.45500000000000002"/>
    <n v="0.46400000000000002"/>
    <n v="17120.34"/>
    <x v="1"/>
    <n v="1"/>
    <n v="1"/>
    <n v="0"/>
    <n v="1"/>
    <n v="0"/>
    <n v="1"/>
    <n v="0"/>
    <x v="67"/>
    <x v="9"/>
    <n v="333.86"/>
    <n v="53.46"/>
    <x v="652"/>
    <n v="8.3000000000000007"/>
    <n v="27.1"/>
  </r>
  <r>
    <n v="187623171"/>
    <n v="905635"/>
    <n v="2677407"/>
    <n v="3790"/>
    <x v="4"/>
    <n v="51550"/>
    <x v="6"/>
    <x v="299"/>
    <x v="299"/>
    <x v="658"/>
    <x v="663"/>
    <x v="662"/>
    <x v="307"/>
    <s v="AZ"/>
    <s v="Phoenix"/>
    <s v="AZ"/>
    <s v="Tucson"/>
    <x v="2"/>
    <n v="742558"/>
    <s v="301-500"/>
    <n v="503"/>
    <x v="316"/>
    <x v="124"/>
    <n v="505.3"/>
    <n v="528.4"/>
    <x v="0"/>
    <s v="13.51"/>
    <s v="14:00-17:59"/>
    <x v="1"/>
    <x v="3"/>
    <n v="148"/>
    <n v="0"/>
    <n v="1.1000000000000001"/>
    <n v="58.2"/>
    <n v="0"/>
    <n v="0.92500000000000004"/>
    <n v="0.59099999999999997"/>
    <n v="11454.59"/>
    <x v="1"/>
    <n v="1"/>
    <n v="0"/>
    <n v="1"/>
    <n v="0"/>
    <n v="1"/>
    <n v="0"/>
    <n v="1"/>
    <x v="6"/>
    <x v="88"/>
    <n v="366.6"/>
    <n v="80.180000000000007"/>
    <x v="653"/>
    <n v="27.7"/>
    <n v="28.8"/>
  </r>
  <r>
    <n v="502559419"/>
    <n v="217301"/>
    <n v="5453786"/>
    <n v="5548"/>
    <x v="6"/>
    <n v="59984"/>
    <x v="5"/>
    <x v="40"/>
    <x v="40"/>
    <x v="659"/>
    <x v="664"/>
    <x v="663"/>
    <x v="39"/>
    <s v="WA"/>
    <s v="Seattle"/>
    <s v="WA"/>
    <s v="Tacoma"/>
    <x v="2"/>
    <n v="745653"/>
    <s v="301-500"/>
    <n v="409"/>
    <x v="398"/>
    <x v="62"/>
    <n v="392.5"/>
    <n v="420.1"/>
    <x v="3"/>
    <s v="10.11"/>
    <s v="00:00-05:59"/>
    <x v="5"/>
    <x v="3"/>
    <n v="145"/>
    <n v="58"/>
    <n v="0"/>
    <n v="46.8"/>
    <n v="0"/>
    <n v="0.85"/>
    <n v="0.59699999999999998"/>
    <n v="114173.07"/>
    <x v="2"/>
    <n v="1"/>
    <n v="0"/>
    <n v="1"/>
    <n v="0"/>
    <n v="1"/>
    <n v="0"/>
    <n v="1"/>
    <x v="25"/>
    <x v="6"/>
    <n v="273.93"/>
    <n v="79.7"/>
    <x v="654"/>
    <n v="13"/>
    <n v="43.2"/>
  </r>
  <r>
    <n v="341096660"/>
    <n v="728038"/>
    <n v="1463060"/>
    <n v="7287"/>
    <x v="0"/>
    <n v="50646"/>
    <x v="9"/>
    <x v="228"/>
    <x v="227"/>
    <x v="660"/>
    <x v="665"/>
    <x v="664"/>
    <x v="166"/>
    <s v="PA"/>
    <s v="Philadelphia"/>
    <s v="MO"/>
    <s v="St. Louis"/>
    <x v="0"/>
    <n v="731856"/>
    <s v="301-500"/>
    <n v="402"/>
    <x v="28"/>
    <x v="261"/>
    <n v="407.1"/>
    <n v="440.1"/>
    <x v="0"/>
    <s v="8.59"/>
    <s v="06:00-09:59"/>
    <x v="0"/>
    <x v="0"/>
    <n v="-11"/>
    <n v="0"/>
    <n v="0"/>
    <n v="58.9"/>
    <n v="0"/>
    <n v="0.62"/>
    <n v="0.63400000000000001"/>
    <n v="6428.6"/>
    <x v="1"/>
    <n v="1"/>
    <n v="1"/>
    <n v="0"/>
    <n v="1"/>
    <n v="0"/>
    <n v="1"/>
    <n v="0"/>
    <x v="50"/>
    <x v="36"/>
    <n v="300.81"/>
    <n v="44.5"/>
    <x v="655"/>
    <n v="13.6"/>
    <n v="43"/>
  </r>
  <r>
    <n v="130266145"/>
    <n v="816751"/>
    <n v="3011363"/>
    <n v="9996"/>
    <x v="7"/>
    <n v="56144"/>
    <x v="9"/>
    <x v="241"/>
    <x v="240"/>
    <x v="661"/>
    <x v="666"/>
    <x v="665"/>
    <x v="241"/>
    <s v="TX"/>
    <s v="Houston"/>
    <s v="MO"/>
    <s v="St. Louis"/>
    <x v="0"/>
    <n v="769048"/>
    <s v="0-100"/>
    <n v="72"/>
    <x v="399"/>
    <x v="137"/>
    <n v="81.900000000000006"/>
    <n v="122.9"/>
    <x v="0"/>
    <s v="1.4"/>
    <s v="14:00-17:59"/>
    <x v="1"/>
    <x v="0"/>
    <n v="-6"/>
    <n v="0"/>
    <n v="0"/>
    <n v="32.6"/>
    <n v="0"/>
    <n v="0.71099999999999997"/>
    <n v="0.65400000000000003"/>
    <n v="7614.86"/>
    <x v="1"/>
    <n v="1"/>
    <n v="1"/>
    <n v="0"/>
    <n v="1"/>
    <n v="0"/>
    <n v="1"/>
    <n v="0"/>
    <x v="65"/>
    <x v="58"/>
    <n v="99.66"/>
    <n v="26.97"/>
    <x v="656"/>
    <n v="13.3"/>
    <n v="39.6"/>
  </r>
  <r>
    <n v="442185272"/>
    <n v="172933"/>
    <n v="8096887"/>
    <n v="9684"/>
    <x v="3"/>
    <n v="54656"/>
    <x v="8"/>
    <x v="300"/>
    <x v="300"/>
    <x v="662"/>
    <x v="667"/>
    <x v="666"/>
    <x v="308"/>
    <s v="IL"/>
    <s v="Springfield"/>
    <s v="IL"/>
    <s v="Chicago"/>
    <x v="0"/>
    <n v="725966"/>
    <s v="101-300"/>
    <n v="253"/>
    <x v="400"/>
    <x v="319"/>
    <n v="256"/>
    <n v="299.39999999999998"/>
    <x v="0"/>
    <s v="4.42"/>
    <s v="14:00-17:59"/>
    <x v="5"/>
    <x v="0"/>
    <n v="5"/>
    <n v="0"/>
    <n v="0"/>
    <n v="7.2"/>
    <n v="0"/>
    <n v="0.77100000000000002"/>
    <n v="0.502"/>
    <n v="112704.28"/>
    <x v="2"/>
    <n v="1"/>
    <n v="1"/>
    <n v="0"/>
    <n v="1"/>
    <n v="0"/>
    <n v="1"/>
    <n v="0"/>
    <x v="42"/>
    <x v="75"/>
    <n v="227.73"/>
    <n v="61.68"/>
    <x v="657"/>
    <n v="12.2"/>
    <n v="34.799999999999997"/>
  </r>
  <r>
    <n v="206389694"/>
    <n v="905635"/>
    <n v="2677407"/>
    <n v="3790"/>
    <x v="4"/>
    <n v="58904"/>
    <x v="4"/>
    <x v="219"/>
    <x v="218"/>
    <x v="663"/>
    <x v="668"/>
    <x v="667"/>
    <x v="224"/>
    <s v="GA"/>
    <s v="Savannah"/>
    <s v="GA"/>
    <s v="Columbus"/>
    <x v="1"/>
    <n v="783084"/>
    <s v="301-500"/>
    <n v="314"/>
    <x v="332"/>
    <x v="169"/>
    <n v="317.89999999999998"/>
    <n v="372.7"/>
    <x v="0"/>
    <s v="7.21"/>
    <s v="06:00-09:59"/>
    <x v="5"/>
    <x v="0"/>
    <n v="-11"/>
    <n v="0"/>
    <n v="0"/>
    <n v="18.3"/>
    <n v="0"/>
    <n v="0.69599999999999995"/>
    <n v="0.35299999999999998"/>
    <n v="5714.27"/>
    <x v="0"/>
    <n v="1"/>
    <n v="1"/>
    <n v="0"/>
    <n v="1"/>
    <n v="0"/>
    <n v="1"/>
    <n v="0"/>
    <x v="104"/>
    <x v="49"/>
    <n v="327.82"/>
    <n v="38.340000000000003"/>
    <x v="658"/>
    <n v="27.7"/>
    <n v="18.8"/>
  </r>
  <r>
    <n v="867407868"/>
    <n v="514850"/>
    <n v="3253031"/>
    <n v="6450"/>
    <x v="3"/>
    <n v="50537"/>
    <x v="11"/>
    <x v="75"/>
    <x v="75"/>
    <x v="664"/>
    <x v="669"/>
    <x v="668"/>
    <x v="74"/>
    <s v="MI"/>
    <s v="Grand Rapids"/>
    <s v="NJ"/>
    <s v="Jersey City"/>
    <x v="3"/>
    <n v="742039"/>
    <s v="101-300"/>
    <n v="281"/>
    <x v="384"/>
    <x v="163"/>
    <n v="288.2"/>
    <n v="323.3"/>
    <x v="0"/>
    <s v="6.26"/>
    <s v="06:00-09:59"/>
    <x v="5"/>
    <x v="0"/>
    <n v="10"/>
    <n v="0"/>
    <n v="0"/>
    <n v="40.1"/>
    <n v="0"/>
    <n v="0.77700000000000002"/>
    <n v="0.79300000000000004"/>
    <n v="3350.97"/>
    <x v="0"/>
    <n v="1"/>
    <n v="1"/>
    <n v="0"/>
    <n v="1"/>
    <n v="0"/>
    <n v="1"/>
    <n v="0"/>
    <x v="4"/>
    <x v="89"/>
    <n v="228.09"/>
    <n v="47.15"/>
    <x v="659"/>
    <n v="0.1"/>
    <n v="71.099999999999994"/>
  </r>
  <r>
    <n v="797889971"/>
    <n v="946335"/>
    <n v="1247595"/>
    <n v="6675"/>
    <x v="1"/>
    <n v="56572"/>
    <x v="7"/>
    <x v="4"/>
    <x v="4"/>
    <x v="665"/>
    <x v="670"/>
    <x v="669"/>
    <x v="4"/>
    <s v="PA"/>
    <s v="Philadelphia"/>
    <s v="PA"/>
    <s v="Harrisburg"/>
    <x v="3"/>
    <n v="739365"/>
    <s v="0-100"/>
    <n v="59"/>
    <x v="264"/>
    <x v="247"/>
    <n v="56.4"/>
    <n v="125.2"/>
    <x v="0"/>
    <s v="4.95"/>
    <s v="10:00-13:59"/>
    <x v="3"/>
    <x v="4"/>
    <n v="207"/>
    <n v="263"/>
    <n v="0"/>
    <n v="66.099999999999994"/>
    <n v="0"/>
    <n v="0.82499999999999996"/>
    <n v="0.54800000000000004"/>
    <n v="15223.37"/>
    <x v="1"/>
    <n v="1"/>
    <n v="0"/>
    <n v="1"/>
    <n v="0"/>
    <n v="1"/>
    <n v="0"/>
    <n v="1"/>
    <x v="0"/>
    <x v="29"/>
    <n v="91.34"/>
    <n v="22.85"/>
    <x v="660"/>
    <n v="32.6"/>
    <n v="5.3"/>
  </r>
  <r>
    <n v="460015275"/>
    <n v="982554"/>
    <n v="4740036"/>
    <n v="3976"/>
    <x v="1"/>
    <n v="50234"/>
    <x v="12"/>
    <x v="224"/>
    <x v="223"/>
    <x v="666"/>
    <x v="671"/>
    <x v="670"/>
    <x v="230"/>
    <s v="AZ"/>
    <s v="Tucson"/>
    <s v="MO"/>
    <s v="Independence"/>
    <x v="0"/>
    <n v="743829"/>
    <s v="301-500"/>
    <n v="306"/>
    <x v="262"/>
    <x v="353"/>
    <n v="298.39999999999998"/>
    <n v="347.7"/>
    <x v="0"/>
    <s v="5.3"/>
    <s v="06:00-09:59"/>
    <x v="0"/>
    <x v="0"/>
    <n v="-21"/>
    <n v="0"/>
    <n v="0"/>
    <n v="46.5"/>
    <n v="0"/>
    <n v="0.499"/>
    <n v="0.65400000000000003"/>
    <n v="5493.2"/>
    <x v="0"/>
    <n v="1"/>
    <n v="1"/>
    <n v="0"/>
    <n v="1"/>
    <n v="0"/>
    <n v="1"/>
    <n v="0"/>
    <x v="2"/>
    <x v="38"/>
    <n v="270.64999999999998"/>
    <n v="44.84"/>
    <x v="661"/>
    <n v="44.5"/>
    <n v="26.1"/>
  </r>
  <r>
    <n v="949738493"/>
    <n v="983794"/>
    <n v="8688755"/>
    <n v="1863"/>
    <x v="0"/>
    <n v="59696"/>
    <x v="7"/>
    <x v="277"/>
    <x v="276"/>
    <x v="667"/>
    <x v="672"/>
    <x v="671"/>
    <x v="284"/>
    <s v="IL"/>
    <s v="Chicago"/>
    <s v="CO"/>
    <s v="Colorado Springs"/>
    <x v="2"/>
    <n v="701092"/>
    <s v="301-500"/>
    <n v="470"/>
    <x v="294"/>
    <x v="217"/>
    <n v="469.5"/>
    <n v="533"/>
    <x v="0"/>
    <s v="10.31"/>
    <s v="14:00-17:59"/>
    <x v="2"/>
    <x v="0"/>
    <n v="-8"/>
    <n v="0"/>
    <n v="0"/>
    <n v="65"/>
    <n v="0"/>
    <n v="0.49099999999999999"/>
    <n v="0.502"/>
    <n v="5237.8599999999997"/>
    <x v="0"/>
    <n v="1"/>
    <n v="1"/>
    <n v="0"/>
    <n v="1"/>
    <n v="0"/>
    <n v="1"/>
    <n v="0"/>
    <x v="62"/>
    <x v="22"/>
    <n v="404.02"/>
    <n v="62.44"/>
    <x v="662"/>
    <n v="22.3"/>
    <n v="37.799999999999997"/>
  </r>
  <r>
    <n v="256819248"/>
    <n v="148050"/>
    <n v="9164991"/>
    <n v="8208"/>
    <x v="4"/>
    <n v="56539"/>
    <x v="2"/>
    <x v="301"/>
    <x v="301"/>
    <x v="668"/>
    <x v="673"/>
    <x v="672"/>
    <x v="309"/>
    <s v="TN"/>
    <s v="Memphis"/>
    <s v="GA"/>
    <s v="Columbus"/>
    <x v="1"/>
    <n v="732275"/>
    <s v="0-100"/>
    <n v="53"/>
    <x v="401"/>
    <x v="280"/>
    <n v="48.4"/>
    <n v="61.3"/>
    <x v="0"/>
    <s v="1.07"/>
    <s v="14:00-17:59"/>
    <x v="4"/>
    <x v="0"/>
    <n v="-26"/>
    <n v="0"/>
    <n v="0.7"/>
    <n v="31.7"/>
    <n v="0"/>
    <n v="0.67300000000000004"/>
    <n v="0.442"/>
    <n v="5282.15"/>
    <x v="0"/>
    <n v="1"/>
    <n v="1"/>
    <n v="0"/>
    <n v="1"/>
    <n v="0"/>
    <n v="1"/>
    <n v="0"/>
    <x v="24"/>
    <x v="91"/>
    <n v="48.08"/>
    <n v="10.76"/>
    <x v="663"/>
    <n v="2.2000000000000002"/>
    <n v="19.899999999999999"/>
  </r>
  <r>
    <n v="247746438"/>
    <n v="731262"/>
    <n v="4594297"/>
    <n v="3558"/>
    <x v="5"/>
    <n v="51374"/>
    <x v="6"/>
    <x v="302"/>
    <x v="302"/>
    <x v="669"/>
    <x v="674"/>
    <x v="673"/>
    <x v="63"/>
    <s v="CO"/>
    <s v="Pueblo"/>
    <s v="PA"/>
    <s v="Pittsburgh"/>
    <x v="3"/>
    <n v="728157"/>
    <s v="301-500"/>
    <n v="313"/>
    <x v="157"/>
    <x v="331"/>
    <n v="313.5"/>
    <n v="386.2"/>
    <x v="2"/>
    <s v="9.94"/>
    <s v="06:00-09:59"/>
    <x v="5"/>
    <x v="3"/>
    <n v="52"/>
    <n v="0"/>
    <n v="0"/>
    <n v="67"/>
    <n v="0"/>
    <n v="0.628"/>
    <n v="0.432"/>
    <n v="3981.99"/>
    <x v="0"/>
    <n v="1"/>
    <n v="0"/>
    <n v="1"/>
    <n v="0"/>
    <n v="1"/>
    <n v="0"/>
    <n v="1"/>
    <x v="43"/>
    <x v="17"/>
    <n v="275.60000000000002"/>
    <n v="80.489999999999995"/>
    <x v="664"/>
    <n v="10"/>
    <n v="88.9"/>
  </r>
  <r>
    <n v="141127742"/>
    <n v="946335"/>
    <n v="1247595"/>
    <n v="6675"/>
    <x v="1"/>
    <n v="51909"/>
    <x v="6"/>
    <x v="21"/>
    <x v="21"/>
    <x v="670"/>
    <x v="675"/>
    <x v="674"/>
    <x v="21"/>
    <s v="FL"/>
    <s v="Jacksonville"/>
    <s v="NJ"/>
    <s v="Newark"/>
    <x v="3"/>
    <n v="720446"/>
    <s v="301-500"/>
    <n v="435"/>
    <x v="402"/>
    <x v="128"/>
    <n v="436.5"/>
    <n v="458.8"/>
    <x v="0"/>
    <s v="8.75"/>
    <s v="10:00-13:59"/>
    <x v="2"/>
    <x v="0"/>
    <n v="-43"/>
    <n v="34"/>
    <n v="0"/>
    <n v="91.5"/>
    <n v="0"/>
    <n v="0.66400000000000003"/>
    <n v="0.32900000000000001"/>
    <n v="19288.77"/>
    <x v="1"/>
    <n v="1"/>
    <n v="1"/>
    <n v="0"/>
    <n v="1"/>
    <n v="0"/>
    <n v="1"/>
    <n v="0"/>
    <x v="56"/>
    <x v="36"/>
    <n v="307.39999999999998"/>
    <n v="98.49"/>
    <x v="665"/>
    <n v="32.6"/>
    <n v="19.100000000000001"/>
  </r>
  <r>
    <n v="408034406"/>
    <n v="653306"/>
    <n v="6188935"/>
    <n v="7944"/>
    <x v="1"/>
    <n v="59107"/>
    <x v="10"/>
    <x v="303"/>
    <x v="303"/>
    <x v="671"/>
    <x v="676"/>
    <x v="675"/>
    <x v="246"/>
    <s v="PA"/>
    <s v="Allentown"/>
    <s v="NJ"/>
    <s v="Newark"/>
    <x v="3"/>
    <n v="778005"/>
    <s v="101-300"/>
    <n v="294"/>
    <x v="99"/>
    <x v="228"/>
    <n v="291.10000000000002"/>
    <n v="362.9"/>
    <x v="2"/>
    <s v="5.58"/>
    <s v="14:00-17:59"/>
    <x v="4"/>
    <x v="0"/>
    <n v="-23"/>
    <n v="0"/>
    <n v="0"/>
    <n v="53.9"/>
    <n v="0"/>
    <n v="0.81899999999999995"/>
    <n v="0.83499999999999996"/>
    <n v="1589.9"/>
    <x v="0"/>
    <n v="1"/>
    <n v="1"/>
    <n v="0"/>
    <n v="1"/>
    <n v="0"/>
    <n v="1"/>
    <n v="0"/>
    <x v="63"/>
    <x v="75"/>
    <n v="312.45"/>
    <n v="36.74"/>
    <x v="666"/>
    <n v="23.9"/>
    <n v="71.7"/>
  </r>
  <r>
    <n v="990949719"/>
    <n v="705397"/>
    <n v="5449368"/>
    <n v="5859"/>
    <x v="1"/>
    <n v="57218"/>
    <x v="10"/>
    <x v="111"/>
    <x v="110"/>
    <x v="672"/>
    <x v="677"/>
    <x v="676"/>
    <x v="110"/>
    <s v="PA"/>
    <s v="Philadelphia"/>
    <s v="MI"/>
    <s v="Ann Arbor"/>
    <x v="0"/>
    <n v="719112"/>
    <s v="301-500"/>
    <n v="494"/>
    <x v="330"/>
    <x v="327"/>
    <n v="489.7"/>
    <n v="531"/>
    <x v="2"/>
    <s v="10.53"/>
    <s v="06:00-09:59"/>
    <x v="6"/>
    <x v="0"/>
    <n v="-11"/>
    <n v="0"/>
    <n v="0"/>
    <n v="52"/>
    <n v="0"/>
    <n v="0.56399999999999995"/>
    <n v="0.46600000000000003"/>
    <n v="5073.24"/>
    <x v="0"/>
    <n v="1"/>
    <n v="1"/>
    <n v="0"/>
    <n v="1"/>
    <n v="0"/>
    <n v="1"/>
    <n v="0"/>
    <x v="46"/>
    <x v="31"/>
    <n v="335.48"/>
    <n v="108.82"/>
    <x v="667"/>
    <n v="11.4"/>
    <n v="39.1"/>
  </r>
  <r>
    <n v="607294618"/>
    <n v="325772"/>
    <n v="9997381"/>
    <n v="8099"/>
    <x v="8"/>
    <n v="50080"/>
    <x v="12"/>
    <x v="44"/>
    <x v="44"/>
    <x v="673"/>
    <x v="678"/>
    <x v="677"/>
    <x v="43"/>
    <s v="NY"/>
    <s v="Albany"/>
    <s v="CO"/>
    <s v="Pueblo"/>
    <x v="2"/>
    <n v="726712"/>
    <s v="101-300"/>
    <n v="310"/>
    <x v="178"/>
    <x v="347"/>
    <n v="297.10000000000002"/>
    <n v="369.3"/>
    <x v="2"/>
    <s v="7.2"/>
    <s v="14:00-17:59"/>
    <x v="1"/>
    <x v="0"/>
    <n v="22"/>
    <n v="0"/>
    <n v="0"/>
    <n v="36.200000000000003"/>
    <n v="0"/>
    <n v="0.54900000000000004"/>
    <n v="0.622"/>
    <n v="10922.12"/>
    <x v="1"/>
    <n v="1"/>
    <n v="0"/>
    <n v="1"/>
    <n v="0"/>
    <n v="1"/>
    <n v="0"/>
    <n v="1"/>
    <x v="83"/>
    <x v="88"/>
    <n v="269.93"/>
    <n v="61.78"/>
    <x v="668"/>
    <n v="4.7"/>
    <n v="23"/>
  </r>
  <r>
    <n v="847401602"/>
    <n v="497887"/>
    <n v="5456272"/>
    <n v="5488"/>
    <x v="9"/>
    <n v="52083"/>
    <x v="7"/>
    <x v="15"/>
    <x v="15"/>
    <x v="674"/>
    <x v="679"/>
    <x v="678"/>
    <x v="15"/>
    <s v="FL"/>
    <s v="Fort Lauderdale"/>
    <s v="IL"/>
    <s v="Rockford"/>
    <x v="0"/>
    <n v="774588"/>
    <s v="101-300"/>
    <n v="291"/>
    <x v="403"/>
    <x v="36"/>
    <n v="290"/>
    <n v="337.6"/>
    <x v="2"/>
    <s v="5.03"/>
    <s v="00:00-05:59"/>
    <x v="6"/>
    <x v="0"/>
    <n v="-9"/>
    <n v="0"/>
    <n v="0"/>
    <n v="43.9"/>
    <n v="0"/>
    <n v="0.437"/>
    <n v="0.66300000000000003"/>
    <n v="7326.95"/>
    <x v="1"/>
    <n v="1"/>
    <n v="1"/>
    <n v="0"/>
    <n v="1"/>
    <n v="0"/>
    <n v="1"/>
    <n v="0"/>
    <x v="58"/>
    <x v="18"/>
    <n v="218.16"/>
    <n v="43.39"/>
    <x v="258"/>
    <n v="34.9"/>
    <n v="62.9"/>
  </r>
  <r>
    <n v="992398092"/>
    <n v="705397"/>
    <n v="5449368"/>
    <n v="5859"/>
    <x v="1"/>
    <n v="51690"/>
    <x v="2"/>
    <x v="290"/>
    <x v="290"/>
    <x v="675"/>
    <x v="680"/>
    <x v="679"/>
    <x v="310"/>
    <s v="NJ"/>
    <s v="Trenton"/>
    <s v="NC"/>
    <s v="Raleigh"/>
    <x v="1"/>
    <n v="724967"/>
    <s v="101-300"/>
    <n v="105"/>
    <x v="59"/>
    <x v="354"/>
    <n v="102.4"/>
    <n v="111.6"/>
    <x v="2"/>
    <s v="2.02"/>
    <s v="10:00-13:59"/>
    <x v="2"/>
    <x v="0"/>
    <n v="-14"/>
    <n v="0"/>
    <n v="0"/>
    <n v="56.6"/>
    <n v="0"/>
    <n v="0.72799999999999998"/>
    <n v="0.77500000000000002"/>
    <n v="17643.04"/>
    <x v="1"/>
    <n v="1"/>
    <n v="1"/>
    <n v="0"/>
    <n v="1"/>
    <n v="0"/>
    <n v="1"/>
    <n v="0"/>
    <x v="61"/>
    <x v="52"/>
    <n v="93.84"/>
    <n v="19.420000000000002"/>
    <x v="669"/>
    <n v="11.4"/>
    <n v="32.200000000000003"/>
  </r>
  <r>
    <n v="249027517"/>
    <n v="246316"/>
    <n v="1352896"/>
    <n v="5426"/>
    <x v="7"/>
    <n v="50756"/>
    <x v="6"/>
    <x v="246"/>
    <x v="245"/>
    <x v="676"/>
    <x v="681"/>
    <x v="680"/>
    <x v="14"/>
    <s v="NJ"/>
    <s v="Trenton"/>
    <s v="OH"/>
    <s v="Cincinnati"/>
    <x v="0"/>
    <n v="732749"/>
    <s v="101-300"/>
    <n v="186"/>
    <x v="241"/>
    <x v="277"/>
    <n v="183.8"/>
    <n v="236.2"/>
    <x v="0"/>
    <s v="4.06"/>
    <s v="06:00-09:59"/>
    <x v="4"/>
    <x v="0"/>
    <n v="-20"/>
    <n v="0"/>
    <n v="0"/>
    <n v="59.8"/>
    <n v="0"/>
    <n v="0.55900000000000005"/>
    <n v="0.76400000000000001"/>
    <n v="1196.1400000000001"/>
    <x v="0"/>
    <n v="1"/>
    <n v="1"/>
    <n v="0"/>
    <n v="1"/>
    <n v="0"/>
    <n v="1"/>
    <n v="0"/>
    <x v="20"/>
    <x v="13"/>
    <n v="172.34"/>
    <n v="51.84"/>
    <x v="670"/>
    <n v="28.1"/>
    <n v="14.8"/>
  </r>
  <r>
    <n v="914799481"/>
    <n v="301629"/>
    <n v="8633773"/>
    <n v="7331"/>
    <x v="1"/>
    <n v="52670"/>
    <x v="8"/>
    <x v="167"/>
    <x v="166"/>
    <x v="677"/>
    <x v="682"/>
    <x v="681"/>
    <x v="173"/>
    <s v="MO"/>
    <s v="St. Louis"/>
    <s v="AZ"/>
    <s v="Tempe"/>
    <x v="2"/>
    <n v="792123"/>
    <s v="101-300"/>
    <n v="280"/>
    <x v="34"/>
    <x v="271"/>
    <n v="284.39999999999998"/>
    <n v="322.5"/>
    <x v="3"/>
    <s v="4.57"/>
    <s v="14:00-17:59"/>
    <x v="0"/>
    <x v="0"/>
    <n v="-26"/>
    <n v="0"/>
    <n v="0"/>
    <n v="50.1"/>
    <n v="0"/>
    <n v="0.66"/>
    <n v="0.59099999999999997"/>
    <n v="1424.83"/>
    <x v="0"/>
    <n v="1"/>
    <n v="1"/>
    <n v="0"/>
    <n v="1"/>
    <n v="0"/>
    <n v="1"/>
    <n v="0"/>
    <x v="26"/>
    <x v="2"/>
    <n v="202.86"/>
    <n v="42.94"/>
    <x v="671"/>
    <n v="63.5"/>
    <n v="6.4"/>
  </r>
  <r>
    <n v="857563699"/>
    <n v="787277"/>
    <n v="6022741"/>
    <n v="3693"/>
    <x v="4"/>
    <n v="53751"/>
    <x v="12"/>
    <x v="19"/>
    <x v="19"/>
    <x v="678"/>
    <x v="683"/>
    <x v="682"/>
    <x v="19"/>
    <s v="OH"/>
    <s v="Columbus"/>
    <s v="PA"/>
    <s v="Allentown"/>
    <x v="3"/>
    <n v="794841"/>
    <s v="301-500"/>
    <n v="374"/>
    <x v="340"/>
    <x v="164"/>
    <n v="385.8"/>
    <n v="388.6"/>
    <x v="0"/>
    <s v="9.95"/>
    <s v="10:00-13:59"/>
    <x v="5"/>
    <x v="0"/>
    <n v="-15"/>
    <n v="0"/>
    <n v="0"/>
    <n v="55.3"/>
    <n v="0"/>
    <n v="0.66"/>
    <n v="0.69099999999999995"/>
    <n v="1225.07"/>
    <x v="0"/>
    <n v="1"/>
    <n v="1"/>
    <n v="0"/>
    <n v="1"/>
    <n v="0"/>
    <n v="1"/>
    <n v="0"/>
    <x v="14"/>
    <x v="67"/>
    <n v="249.78"/>
    <n v="51.77"/>
    <x v="672"/>
    <n v="3.4"/>
    <n v="0"/>
  </r>
  <r>
    <n v="603703167"/>
    <n v="623481"/>
    <n v="2737893"/>
    <n v="4627"/>
    <x v="3"/>
    <n v="58659"/>
    <x v="8"/>
    <x v="99"/>
    <x v="99"/>
    <x v="679"/>
    <x v="684"/>
    <x v="683"/>
    <x v="97"/>
    <s v="WA"/>
    <s v="Everett"/>
    <s v="TN"/>
    <s v="Memphis"/>
    <x v="1"/>
    <n v="715799"/>
    <s v="301-500"/>
    <n v="428"/>
    <x v="302"/>
    <x v="326"/>
    <n v="425.9"/>
    <n v="489"/>
    <x v="0"/>
    <s v="8.32"/>
    <s v="06:00-09:59"/>
    <x v="5"/>
    <x v="0"/>
    <n v="-24"/>
    <n v="0"/>
    <n v="0"/>
    <n v="50.3"/>
    <n v="0"/>
    <n v="0.59399999999999997"/>
    <n v="0.318"/>
    <n v="5870.25"/>
    <x v="0"/>
    <n v="1"/>
    <n v="1"/>
    <n v="0"/>
    <n v="1"/>
    <n v="0"/>
    <n v="1"/>
    <n v="0"/>
    <x v="26"/>
    <x v="52"/>
    <n v="332.31"/>
    <n v="89.91"/>
    <x v="673"/>
    <n v="22.3"/>
    <n v="71.7"/>
  </r>
  <r>
    <n v="581682167"/>
    <n v="391476"/>
    <n v="8999183"/>
    <n v="6618"/>
    <x v="2"/>
    <n v="55261"/>
    <x v="13"/>
    <x v="301"/>
    <x v="301"/>
    <x v="680"/>
    <x v="685"/>
    <x v="684"/>
    <x v="117"/>
    <s v="NC"/>
    <s v="Wilmington"/>
    <s v="CO"/>
    <s v="Aurora"/>
    <x v="2"/>
    <n v="760341"/>
    <s v="101-300"/>
    <n v="235"/>
    <x v="298"/>
    <x v="303"/>
    <n v="237.3"/>
    <n v="278.3"/>
    <x v="2"/>
    <s v="7.19"/>
    <s v="14:00-17:59"/>
    <x v="4"/>
    <x v="4"/>
    <n v="137"/>
    <n v="141"/>
    <n v="0"/>
    <n v="34.700000000000003"/>
    <n v="0"/>
    <n v="0.70399999999999996"/>
    <n v="0.32100000000000001"/>
    <n v="8431.24"/>
    <x v="1"/>
    <n v="1"/>
    <n v="0"/>
    <n v="1"/>
    <n v="0"/>
    <n v="1"/>
    <n v="0"/>
    <n v="1"/>
    <x v="65"/>
    <x v="42"/>
    <n v="238.25"/>
    <n v="29.27"/>
    <x v="674"/>
    <n v="51.7"/>
    <n v="41.7"/>
  </r>
  <r>
    <n v="760725160"/>
    <n v="864544"/>
    <n v="5374922"/>
    <n v="8385"/>
    <x v="1"/>
    <n v="56852"/>
    <x v="1"/>
    <x v="145"/>
    <x v="145"/>
    <x v="681"/>
    <x v="686"/>
    <x v="685"/>
    <x v="149"/>
    <s v="GA"/>
    <s v="Augusta"/>
    <s v="MO"/>
    <s v="Columbia"/>
    <x v="0"/>
    <n v="708729"/>
    <s v="301-500"/>
    <n v="373"/>
    <x v="404"/>
    <x v="101"/>
    <n v="374.5"/>
    <n v="415.8"/>
    <x v="0"/>
    <s v="8.66"/>
    <s v="00:00-05:59"/>
    <x v="3"/>
    <x v="0"/>
    <n v="0"/>
    <n v="0"/>
    <n v="0"/>
    <n v="44.1"/>
    <n v="0"/>
    <n v="0.73099999999999998"/>
    <n v="0.91700000000000004"/>
    <n v="10316.1"/>
    <x v="1"/>
    <n v="1"/>
    <n v="1"/>
    <n v="0"/>
    <n v="1"/>
    <n v="0"/>
    <n v="1"/>
    <n v="0"/>
    <x v="30"/>
    <x v="9"/>
    <n v="357.49"/>
    <n v="82.52"/>
    <x v="675"/>
    <n v="24.5"/>
    <n v="48.9"/>
  </r>
  <r>
    <n v="105638424"/>
    <n v="665492"/>
    <n v="5960271"/>
    <n v="7015"/>
    <x v="1"/>
    <n v="51494"/>
    <x v="11"/>
    <x v="5"/>
    <x v="5"/>
    <x v="682"/>
    <x v="687"/>
    <x v="686"/>
    <x v="5"/>
    <s v="PA"/>
    <s v="Philadelphia"/>
    <s v="PA"/>
    <s v="Philadelphia"/>
    <x v="3"/>
    <n v="739365"/>
    <s v="101-300"/>
    <n v="299"/>
    <x v="306"/>
    <x v="135"/>
    <n v="305.8"/>
    <n v="328.4"/>
    <x v="0"/>
    <s v="7.34"/>
    <s v="10:00-13:59"/>
    <x v="3"/>
    <x v="0"/>
    <n v="-38"/>
    <n v="0"/>
    <n v="0"/>
    <n v="66"/>
    <n v="0"/>
    <n v="0.72399999999999998"/>
    <n v="0.79700000000000004"/>
    <n v="16431.98"/>
    <x v="1"/>
    <n v="1"/>
    <n v="1"/>
    <n v="0"/>
    <n v="1"/>
    <n v="0"/>
    <n v="1"/>
    <n v="0"/>
    <x v="32"/>
    <x v="56"/>
    <n v="301.79000000000002"/>
    <n v="58.55"/>
    <x v="676"/>
    <n v="5.6"/>
    <n v="10"/>
  </r>
  <r>
    <n v="185068029"/>
    <n v="974628"/>
    <n v="3641282"/>
    <n v="6892"/>
    <x v="0"/>
    <n v="55740"/>
    <x v="10"/>
    <x v="4"/>
    <x v="4"/>
    <x v="683"/>
    <x v="688"/>
    <x v="687"/>
    <x v="4"/>
    <s v="MI"/>
    <s v="Detroit"/>
    <s v="MI"/>
    <s v="Lansing"/>
    <x v="0"/>
    <n v="711807"/>
    <s v="0-100"/>
    <n v="65"/>
    <x v="355"/>
    <x v="197"/>
    <n v="59.5"/>
    <n v="111.3"/>
    <x v="0"/>
    <s v="3.88"/>
    <s v="10:00-13:59"/>
    <x v="3"/>
    <x v="4"/>
    <n v="143"/>
    <n v="207"/>
    <n v="0"/>
    <n v="65.8"/>
    <n v="0"/>
    <n v="0.52200000000000002"/>
    <n v="0.22"/>
    <n v="5081.59"/>
    <x v="0"/>
    <n v="1"/>
    <n v="0"/>
    <n v="1"/>
    <n v="0"/>
    <n v="1"/>
    <n v="0"/>
    <n v="1"/>
    <x v="0"/>
    <x v="49"/>
    <n v="77.05"/>
    <n v="22.36"/>
    <x v="677"/>
    <n v="1.4"/>
    <n v="16.600000000000001"/>
  </r>
  <r>
    <n v="120405269"/>
    <n v="581741"/>
    <n v="3790237"/>
    <n v="1995"/>
    <x v="5"/>
    <n v="59211"/>
    <x v="2"/>
    <x v="78"/>
    <x v="78"/>
    <x v="684"/>
    <x v="689"/>
    <x v="688"/>
    <x v="77"/>
    <s v="PA"/>
    <s v="Harrisburg"/>
    <s v="NJ"/>
    <s v="Elizabeth"/>
    <x v="3"/>
    <n v="778005"/>
    <s v="301-500"/>
    <n v="396"/>
    <x v="164"/>
    <x v="282"/>
    <n v="390.4"/>
    <n v="420"/>
    <x v="2"/>
    <s v="6.33"/>
    <s v="06:00-09:59"/>
    <x v="3"/>
    <x v="0"/>
    <n v="-33"/>
    <n v="0"/>
    <n v="0"/>
    <n v="43.6"/>
    <n v="0"/>
    <n v="0.92100000000000004"/>
    <n v="0.67"/>
    <n v="4930.75"/>
    <x v="0"/>
    <n v="1"/>
    <n v="1"/>
    <n v="0"/>
    <n v="1"/>
    <n v="0"/>
    <n v="1"/>
    <n v="0"/>
    <x v="69"/>
    <x v="61"/>
    <n v="268.02"/>
    <n v="53.63"/>
    <x v="678"/>
    <n v="17.5"/>
    <n v="32.200000000000003"/>
  </r>
  <r>
    <n v="374796224"/>
    <n v="145561"/>
    <n v="2564689"/>
    <n v="1161"/>
    <x v="3"/>
    <n v="58055"/>
    <x v="4"/>
    <x v="86"/>
    <x v="86"/>
    <x v="685"/>
    <x v="690"/>
    <x v="689"/>
    <x v="85"/>
    <s v="OH"/>
    <s v="Cincinnati"/>
    <s v="OH"/>
    <s v="Cincinnati"/>
    <x v="0"/>
    <n v="797593"/>
    <s v="0-100"/>
    <n v="109"/>
    <x v="405"/>
    <x v="164"/>
    <n v="104.1"/>
    <n v="130.5"/>
    <x v="0"/>
    <s v="2.7"/>
    <s v="18:00-23:59"/>
    <x v="2"/>
    <x v="0"/>
    <n v="-15"/>
    <n v="0"/>
    <n v="0"/>
    <n v="44.8"/>
    <n v="0"/>
    <n v="0.51700000000000002"/>
    <n v="0.753"/>
    <n v="21624.03"/>
    <x v="1"/>
    <n v="1"/>
    <n v="1"/>
    <n v="0"/>
    <n v="1"/>
    <n v="0"/>
    <n v="1"/>
    <n v="0"/>
    <x v="6"/>
    <x v="101"/>
    <n v="91.99"/>
    <n v="26.32"/>
    <x v="679"/>
    <n v="5.6"/>
    <n v="7.9"/>
  </r>
  <r>
    <n v="331557515"/>
    <n v="584714"/>
    <n v="5004485"/>
    <n v="7938"/>
    <x v="1"/>
    <n v="50901"/>
    <x v="7"/>
    <x v="52"/>
    <x v="52"/>
    <x v="686"/>
    <x v="691"/>
    <x v="690"/>
    <x v="52"/>
    <s v="WA"/>
    <s v="Everett"/>
    <s v="NC"/>
    <s v="Raleigh"/>
    <x v="1"/>
    <n v="785491"/>
    <s v="101-300"/>
    <n v="211"/>
    <x v="98"/>
    <x v="355"/>
    <n v="197.4"/>
    <n v="241.4"/>
    <x v="0"/>
    <s v="4.02"/>
    <s v="14:00-17:59"/>
    <x v="1"/>
    <x v="0"/>
    <n v="1"/>
    <n v="0"/>
    <n v="0"/>
    <n v="29.9"/>
    <n v="0"/>
    <n v="0.60799999999999998"/>
    <n v="0.63300000000000001"/>
    <n v="11403.33"/>
    <x v="1"/>
    <n v="1"/>
    <n v="1"/>
    <n v="0"/>
    <n v="1"/>
    <n v="0"/>
    <n v="1"/>
    <n v="0"/>
    <x v="62"/>
    <x v="22"/>
    <n v="162.62"/>
    <n v="37.14"/>
    <x v="680"/>
    <n v="0.2"/>
    <n v="52.5"/>
  </r>
  <r>
    <n v="996534803"/>
    <n v="854639"/>
    <n v="7417985"/>
    <n v="3811"/>
    <x v="6"/>
    <n v="50672"/>
    <x v="4"/>
    <x v="304"/>
    <x v="304"/>
    <x v="687"/>
    <x v="692"/>
    <x v="691"/>
    <x v="311"/>
    <s v="FL"/>
    <s v="Tampa"/>
    <s v="OH"/>
    <s v="Cincinnati"/>
    <x v="0"/>
    <n v="756614"/>
    <s v="301-500"/>
    <n v="331"/>
    <x v="125"/>
    <x v="74"/>
    <n v="330.7"/>
    <n v="371.1"/>
    <x v="0"/>
    <s v="7.24"/>
    <s v="00:00-05:59"/>
    <x v="2"/>
    <x v="0"/>
    <n v="-10"/>
    <n v="0"/>
    <n v="0"/>
    <n v="40"/>
    <n v="0"/>
    <n v="0.82499999999999996"/>
    <n v="0.752"/>
    <n v="3254.43"/>
    <x v="0"/>
    <n v="1"/>
    <n v="1"/>
    <n v="0"/>
    <n v="1"/>
    <n v="0"/>
    <n v="1"/>
    <n v="0"/>
    <x v="41"/>
    <x v="85"/>
    <n v="309.17"/>
    <n v="43.02"/>
    <x v="681"/>
    <n v="11.8"/>
    <n v="24.8"/>
  </r>
  <r>
    <n v="260545470"/>
    <n v="460663"/>
    <n v="8434500"/>
    <n v="4843"/>
    <x v="0"/>
    <n v="58630"/>
    <x v="12"/>
    <x v="305"/>
    <x v="305"/>
    <x v="688"/>
    <x v="693"/>
    <x v="692"/>
    <x v="300"/>
    <s v="MI"/>
    <s v="Detroit"/>
    <s v="MO"/>
    <s v="St. Louis"/>
    <x v="0"/>
    <n v="750940"/>
    <s v="101-300"/>
    <n v="215"/>
    <x v="333"/>
    <x v="209"/>
    <n v="208.7"/>
    <n v="242.9"/>
    <x v="0"/>
    <s v="4.91"/>
    <s v="14:00-17:59"/>
    <x v="6"/>
    <x v="0"/>
    <n v="-23"/>
    <n v="0"/>
    <n v="0"/>
    <n v="66"/>
    <n v="0"/>
    <n v="0.75800000000000001"/>
    <n v="0.56899999999999995"/>
    <n v="5070.7700000000004"/>
    <x v="0"/>
    <n v="1"/>
    <n v="1"/>
    <n v="0"/>
    <n v="1"/>
    <n v="0"/>
    <n v="1"/>
    <n v="0"/>
    <x v="62"/>
    <x v="77"/>
    <n v="221.23"/>
    <n v="50.56"/>
    <x v="682"/>
    <n v="13.9"/>
    <n v="25.5"/>
  </r>
  <r>
    <n v="689274064"/>
    <n v="855731"/>
    <n v="2724590"/>
    <n v="1202"/>
    <x v="8"/>
    <n v="50444"/>
    <x v="1"/>
    <x v="50"/>
    <x v="50"/>
    <x v="689"/>
    <x v="694"/>
    <x v="693"/>
    <x v="50"/>
    <s v="PA"/>
    <s v="Harrisburg"/>
    <s v="OH"/>
    <s v="Cleveland"/>
    <x v="0"/>
    <n v="798676"/>
    <s v="301-500"/>
    <n v="477"/>
    <x v="403"/>
    <x v="354"/>
    <n v="478.5"/>
    <n v="513.6"/>
    <x v="0"/>
    <s v="9.69"/>
    <s v="10:00-13:59"/>
    <x v="0"/>
    <x v="0"/>
    <n v="3"/>
    <n v="0"/>
    <n v="0"/>
    <n v="38.299999999999997"/>
    <n v="0"/>
    <n v="0.59499999999999997"/>
    <n v="0.34399999999999997"/>
    <n v="16907.16"/>
    <x v="1"/>
    <n v="1"/>
    <n v="1"/>
    <n v="0"/>
    <n v="1"/>
    <n v="0"/>
    <n v="1"/>
    <n v="0"/>
    <x v="42"/>
    <x v="82"/>
    <n v="360.5"/>
    <n v="94.81"/>
    <x v="683"/>
    <n v="32.200000000000003"/>
    <n v="61.6"/>
  </r>
  <r>
    <n v="880862406"/>
    <n v="877572"/>
    <n v="5159166"/>
    <n v="6191"/>
    <x v="3"/>
    <n v="59157"/>
    <x v="7"/>
    <x v="172"/>
    <x v="171"/>
    <x v="690"/>
    <x v="695"/>
    <x v="694"/>
    <x v="78"/>
    <s v="IL"/>
    <s v="Springfield"/>
    <s v="FL"/>
    <s v="Tampa"/>
    <x v="1"/>
    <n v="754594"/>
    <s v="101-300"/>
    <n v="272"/>
    <x v="37"/>
    <x v="2"/>
    <n v="257.60000000000002"/>
    <n v="295.10000000000002"/>
    <x v="2"/>
    <s v="5.72"/>
    <s v="18:00-23:59"/>
    <x v="6"/>
    <x v="0"/>
    <n v="1"/>
    <n v="0"/>
    <n v="0"/>
    <n v="46.3"/>
    <n v="0"/>
    <n v="0.72699999999999998"/>
    <n v="0.53"/>
    <n v="2514.73"/>
    <x v="0"/>
    <n v="1"/>
    <n v="1"/>
    <n v="0"/>
    <n v="1"/>
    <n v="0"/>
    <n v="1"/>
    <n v="0"/>
    <x v="58"/>
    <x v="37"/>
    <n v="212.06"/>
    <n v="35.47"/>
    <x v="684"/>
    <n v="8.4"/>
    <n v="0"/>
  </r>
  <r>
    <n v="753780028"/>
    <n v="779514"/>
    <n v="5130808"/>
    <n v="3731"/>
    <x v="4"/>
    <n v="58655"/>
    <x v="7"/>
    <x v="57"/>
    <x v="57"/>
    <x v="691"/>
    <x v="696"/>
    <x v="695"/>
    <x v="57"/>
    <s v="CA"/>
    <s v="Oakland"/>
    <s v="WA"/>
    <s v="Everett"/>
    <x v="2"/>
    <n v="795484"/>
    <s v="0-100"/>
    <n v="90"/>
    <x v="153"/>
    <x v="144"/>
    <n v="89.7"/>
    <n v="124"/>
    <x v="0"/>
    <s v="2.84"/>
    <s v="06:00-09:59"/>
    <x v="5"/>
    <x v="0"/>
    <n v="-17"/>
    <n v="0"/>
    <n v="0"/>
    <n v="25.7"/>
    <n v="0"/>
    <n v="0.69399999999999995"/>
    <n v="0.80900000000000005"/>
    <n v="3393.07"/>
    <x v="0"/>
    <n v="1"/>
    <n v="1"/>
    <n v="0"/>
    <n v="1"/>
    <n v="0"/>
    <n v="1"/>
    <n v="0"/>
    <x v="8"/>
    <x v="93"/>
    <n v="89.94"/>
    <n v="16.07"/>
    <x v="685"/>
    <n v="38.9"/>
    <n v="66.099999999999994"/>
  </r>
  <r>
    <n v="666690337"/>
    <n v="287330"/>
    <n v="4348276"/>
    <n v="9338"/>
    <x v="3"/>
    <n v="52198"/>
    <x v="9"/>
    <x v="137"/>
    <x v="137"/>
    <x v="692"/>
    <x v="697"/>
    <x v="696"/>
    <x v="140"/>
    <s v="NC"/>
    <s v="Charlotte"/>
    <s v="MO"/>
    <s v="Kansas City"/>
    <x v="0"/>
    <n v="786556"/>
    <s v="101-300"/>
    <n v="257"/>
    <x v="249"/>
    <x v="330"/>
    <n v="255.5"/>
    <n v="298.10000000000002"/>
    <x v="2"/>
    <s v="6.92"/>
    <s v="10:00-13:59"/>
    <x v="6"/>
    <x v="0"/>
    <n v="17"/>
    <n v="0"/>
    <n v="0"/>
    <n v="37.9"/>
    <n v="0"/>
    <n v="0.628"/>
    <n v="0.35599999999999998"/>
    <n v="120044.52"/>
    <x v="2"/>
    <n v="1"/>
    <n v="0"/>
    <n v="1"/>
    <n v="0"/>
    <n v="1"/>
    <n v="0"/>
    <n v="1"/>
    <x v="61"/>
    <x v="30"/>
    <n v="261.45999999999998"/>
    <n v="39.43"/>
    <x v="686"/>
    <n v="17.5"/>
    <n v="69.8"/>
  </r>
  <r>
    <n v="554466340"/>
    <n v="910620"/>
    <n v="5977931"/>
    <n v="1064"/>
    <x v="3"/>
    <n v="52287"/>
    <x v="4"/>
    <x v="287"/>
    <x v="287"/>
    <x v="693"/>
    <x v="698"/>
    <x v="697"/>
    <x v="292"/>
    <s v="WA"/>
    <s v="Seattle"/>
    <s v="GA"/>
    <s v="Atlanta"/>
    <x v="1"/>
    <n v="775499"/>
    <s v="101-300"/>
    <n v="159"/>
    <x v="256"/>
    <x v="264"/>
    <n v="155.69999999999999"/>
    <n v="226.4"/>
    <x v="0"/>
    <s v="6.64"/>
    <s v="10:00-13:59"/>
    <x v="1"/>
    <x v="3"/>
    <n v="114"/>
    <n v="0"/>
    <n v="0"/>
    <n v="30.6"/>
    <n v="0"/>
    <n v="0.435"/>
    <n v="0.64200000000000002"/>
    <n v="5287.72"/>
    <x v="0"/>
    <n v="1"/>
    <n v="0"/>
    <n v="1"/>
    <n v="0"/>
    <n v="1"/>
    <n v="0"/>
    <n v="1"/>
    <x v="19"/>
    <x v="27"/>
    <n v="179.63"/>
    <n v="48.81"/>
    <x v="687"/>
    <n v="7"/>
    <n v="62"/>
  </r>
  <r>
    <n v="219385981"/>
    <n v="623481"/>
    <n v="2737893"/>
    <n v="4627"/>
    <x v="3"/>
    <n v="54008"/>
    <x v="7"/>
    <x v="258"/>
    <x v="257"/>
    <x v="694"/>
    <x v="699"/>
    <x v="698"/>
    <x v="258"/>
    <s v="PA"/>
    <s v="Harrisburg"/>
    <s v="NY"/>
    <s v="Buffalo"/>
    <x v="3"/>
    <n v="775399"/>
    <s v="101-300"/>
    <n v="290"/>
    <x v="55"/>
    <x v="157"/>
    <n v="296"/>
    <n v="304.39999999999998"/>
    <x v="0"/>
    <s v="7.86"/>
    <s v="10:00-13:59"/>
    <x v="0"/>
    <x v="0"/>
    <n v="-9"/>
    <n v="0"/>
    <n v="0"/>
    <n v="65"/>
    <n v="0"/>
    <n v="0.60599999999999998"/>
    <n v="0.38600000000000001"/>
    <n v="40796.730000000003"/>
    <x v="2"/>
    <n v="1"/>
    <n v="1"/>
    <n v="0"/>
    <n v="1"/>
    <n v="0"/>
    <n v="1"/>
    <n v="0"/>
    <x v="8"/>
    <x v="88"/>
    <n v="277.67"/>
    <n v="62.81"/>
    <x v="688"/>
    <n v="22.3"/>
    <n v="65.2"/>
  </r>
  <r>
    <n v="933409017"/>
    <n v="988662"/>
    <n v="2264748"/>
    <n v="2021"/>
    <x v="0"/>
    <n v="59104"/>
    <x v="1"/>
    <x v="150"/>
    <x v="150"/>
    <x v="499"/>
    <x v="700"/>
    <x v="699"/>
    <x v="155"/>
    <s v="WA"/>
    <s v="Tacoma"/>
    <s v="IL"/>
    <s v="Peoria"/>
    <x v="0"/>
    <n v="744993"/>
    <s v="101-300"/>
    <n v="297"/>
    <x v="406"/>
    <x v="356"/>
    <n v="292.2"/>
    <n v="328.7"/>
    <x v="2"/>
    <s v="4.75"/>
    <s v="10:00-13:59"/>
    <x v="2"/>
    <x v="0"/>
    <n v="-44"/>
    <n v="0"/>
    <n v="0"/>
    <n v="54.6"/>
    <n v="0"/>
    <n v="0.70499999999999996"/>
    <n v="0.65900000000000003"/>
    <n v="3964.19"/>
    <x v="0"/>
    <n v="1"/>
    <n v="1"/>
    <n v="0"/>
    <n v="1"/>
    <n v="0"/>
    <n v="1"/>
    <n v="0"/>
    <x v="56"/>
    <x v="91"/>
    <n v="265.64"/>
    <n v="46.53"/>
    <x v="689"/>
    <n v="3.2"/>
    <n v="49.9"/>
  </r>
  <r>
    <n v="409346714"/>
    <n v="555884"/>
    <n v="7907400"/>
    <n v="7287"/>
    <x v="5"/>
    <n v="50496"/>
    <x v="12"/>
    <x v="203"/>
    <x v="202"/>
    <x v="695"/>
    <x v="701"/>
    <x v="700"/>
    <x v="13"/>
    <s v="NJ"/>
    <s v="Jersey City"/>
    <s v="MI"/>
    <s v="Detroit"/>
    <x v="0"/>
    <n v="773308"/>
    <s v="301-500"/>
    <n v="334"/>
    <x v="19"/>
    <x v="283"/>
    <n v="335.8"/>
    <n v="387.8"/>
    <x v="0"/>
    <s v="5.98"/>
    <s v="06:00-09:59"/>
    <x v="4"/>
    <x v="0"/>
    <n v="-55"/>
    <n v="0"/>
    <n v="0"/>
    <n v="54.1"/>
    <n v="0"/>
    <n v="0.54200000000000004"/>
    <n v="0.57199999999999995"/>
    <n v="19254.310000000001"/>
    <x v="1"/>
    <n v="1"/>
    <n v="1"/>
    <n v="0"/>
    <n v="1"/>
    <n v="0"/>
    <n v="1"/>
    <n v="0"/>
    <x v="39"/>
    <x v="18"/>
    <n v="322.56"/>
    <n v="60.5"/>
    <x v="690"/>
    <n v="19.5"/>
    <n v="75.5"/>
  </r>
  <r>
    <n v="355164255"/>
    <n v="872246"/>
    <n v="4860684"/>
    <n v="6578"/>
    <x v="5"/>
    <n v="51463"/>
    <x v="3"/>
    <x v="233"/>
    <x v="232"/>
    <x v="696"/>
    <x v="702"/>
    <x v="701"/>
    <x v="66"/>
    <s v="MI"/>
    <s v="Grand Rapids"/>
    <s v="FL"/>
    <s v="Tampa"/>
    <x v="1"/>
    <n v="780769"/>
    <s v="501-1000"/>
    <n v="554"/>
    <x v="111"/>
    <x v="222"/>
    <n v="550.20000000000005"/>
    <n v="575.1"/>
    <x v="2"/>
    <s v="9.02"/>
    <s v="14:00-17:59"/>
    <x v="6"/>
    <x v="0"/>
    <n v="-17"/>
    <n v="0"/>
    <n v="0"/>
    <n v="55.2"/>
    <n v="0"/>
    <n v="0.625"/>
    <n v="0.64200000000000002"/>
    <n v="9663.0499999999993"/>
    <x v="1"/>
    <n v="1"/>
    <n v="1"/>
    <n v="0"/>
    <n v="1"/>
    <n v="0"/>
    <n v="1"/>
    <n v="0"/>
    <x v="45"/>
    <x v="39"/>
    <n v="371.95"/>
    <n v="77.2"/>
    <x v="691"/>
    <n v="41.8"/>
    <n v="10.9"/>
  </r>
  <r>
    <n v="423358638"/>
    <n v="217301"/>
    <n v="5453786"/>
    <n v="5548"/>
    <x v="6"/>
    <n v="56828"/>
    <x v="7"/>
    <x v="235"/>
    <x v="234"/>
    <x v="697"/>
    <x v="703"/>
    <x v="702"/>
    <x v="293"/>
    <s v="TN"/>
    <s v="Clarksville"/>
    <s v="OH"/>
    <s v="Toledo"/>
    <x v="0"/>
    <n v="752235"/>
    <s v="101-300"/>
    <n v="314"/>
    <x v="210"/>
    <x v="357"/>
    <n v="324"/>
    <n v="368.2"/>
    <x v="3"/>
    <s v="7.6"/>
    <s v="10:00-13:59"/>
    <x v="3"/>
    <x v="0"/>
    <n v="4"/>
    <n v="0"/>
    <n v="0"/>
    <n v="54.1"/>
    <n v="0"/>
    <n v="0.51800000000000002"/>
    <n v="0.73"/>
    <n v="13244.63"/>
    <x v="1"/>
    <n v="1"/>
    <n v="1"/>
    <n v="0"/>
    <n v="1"/>
    <n v="0"/>
    <n v="1"/>
    <n v="0"/>
    <x v="20"/>
    <x v="60"/>
    <n v="333.41"/>
    <n v="69.63"/>
    <x v="692"/>
    <n v="13"/>
    <n v="40.1"/>
  </r>
  <r>
    <n v="230833665"/>
    <n v="476417"/>
    <n v="5191056"/>
    <n v="4073"/>
    <x v="8"/>
    <n v="54253"/>
    <x v="6"/>
    <x v="247"/>
    <x v="246"/>
    <x v="698"/>
    <x v="704"/>
    <x v="703"/>
    <x v="312"/>
    <s v="AZ"/>
    <s v="Flagstaff"/>
    <s v="NJ"/>
    <s v="Jersey City"/>
    <x v="3"/>
    <n v="775534"/>
    <s v="101-300"/>
    <n v="291"/>
    <x v="44"/>
    <x v="18"/>
    <n v="290.2"/>
    <n v="329.1"/>
    <x v="4"/>
    <s v="6.35"/>
    <s v="18:00-23:59"/>
    <x v="3"/>
    <x v="0"/>
    <n v="-11"/>
    <n v="0"/>
    <n v="0"/>
    <n v="32.5"/>
    <n v="0"/>
    <n v="0.62"/>
    <n v="0.48899999999999999"/>
    <n v="1739.94"/>
    <x v="0"/>
    <n v="1"/>
    <n v="1"/>
    <n v="0"/>
    <n v="1"/>
    <n v="0"/>
    <n v="1"/>
    <n v="0"/>
    <x v="95"/>
    <x v="52"/>
    <n v="266.05"/>
    <n v="39.28"/>
    <x v="693"/>
    <n v="11.7"/>
    <n v="7.3"/>
  </r>
  <r>
    <n v="151270577"/>
    <n v="189814"/>
    <n v="4188992"/>
    <n v="2648"/>
    <x v="3"/>
    <n v="50493"/>
    <x v="5"/>
    <x v="68"/>
    <x v="68"/>
    <x v="699"/>
    <x v="705"/>
    <x v="704"/>
    <x v="67"/>
    <s v="CO"/>
    <s v="Aurora"/>
    <s v="FL"/>
    <s v="Miami"/>
    <x v="1"/>
    <n v="730539"/>
    <s v="101-300"/>
    <n v="297"/>
    <x v="334"/>
    <x v="358"/>
    <n v="301.10000000000002"/>
    <n v="379.6"/>
    <x v="4"/>
    <s v="7.04"/>
    <s v="06:00-09:59"/>
    <x v="5"/>
    <x v="0"/>
    <n v="3"/>
    <n v="0"/>
    <n v="0"/>
    <n v="33.799999999999997"/>
    <n v="0"/>
    <n v="0.64900000000000002"/>
    <n v="0.441"/>
    <n v="876.25"/>
    <x v="0"/>
    <n v="1"/>
    <n v="1"/>
    <n v="0"/>
    <n v="1"/>
    <n v="0"/>
    <n v="1"/>
    <n v="0"/>
    <x v="49"/>
    <x v="9"/>
    <n v="294.58999999999997"/>
    <n v="53.38"/>
    <x v="694"/>
    <n v="23.5"/>
    <n v="54.7"/>
  </r>
  <r>
    <n v="356022467"/>
    <n v="344098"/>
    <n v="6261415"/>
    <n v="3027"/>
    <x v="0"/>
    <n v="55065"/>
    <x v="7"/>
    <x v="33"/>
    <x v="33"/>
    <x v="700"/>
    <x v="706"/>
    <x v="705"/>
    <x v="56"/>
    <s v="GA"/>
    <s v="Macon"/>
    <s v="IL"/>
    <s v="Aurora"/>
    <x v="0"/>
    <n v="717326"/>
    <s v="501-1000"/>
    <n v="985"/>
    <x v="407"/>
    <x v="106"/>
    <n v="988.7"/>
    <n v="1086.4000000000001"/>
    <x v="0"/>
    <s v="20.86"/>
    <s v="14:00-17:59"/>
    <x v="3"/>
    <x v="2"/>
    <n v="160"/>
    <n v="0"/>
    <n v="2"/>
    <n v="7.6"/>
    <n v="0"/>
    <n v="0.60899999999999999"/>
    <n v="0.88500000000000001"/>
    <n v="5352.1"/>
    <x v="0"/>
    <n v="1"/>
    <n v="0"/>
    <n v="1"/>
    <n v="0"/>
    <n v="1"/>
    <n v="0"/>
    <n v="1"/>
    <x v="70"/>
    <x v="26"/>
    <n v="799.83"/>
    <n v="187.66"/>
    <x v="695"/>
    <n v="11.4"/>
    <n v="44.6"/>
  </r>
  <r>
    <n v="550784243"/>
    <n v="814825"/>
    <n v="7817881"/>
    <n v="9958"/>
    <x v="1"/>
    <n v="55430"/>
    <x v="6"/>
    <x v="306"/>
    <x v="306"/>
    <x v="701"/>
    <x v="707"/>
    <x v="706"/>
    <x v="306"/>
    <s v="PA"/>
    <s v="Allentown"/>
    <s v="IL"/>
    <s v="Aurora"/>
    <x v="0"/>
    <n v="797689"/>
    <s v="501-1000"/>
    <n v="788"/>
    <x v="408"/>
    <x v="137"/>
    <n v="794.9"/>
    <n v="846.8"/>
    <x v="0"/>
    <s v="23.4"/>
    <s v="18:00-23:59"/>
    <x v="2"/>
    <x v="4"/>
    <n v="166"/>
    <n v="257"/>
    <n v="0"/>
    <n v="39.700000000000003"/>
    <n v="0"/>
    <n v="0.55200000000000005"/>
    <n v="0.48099999999999998"/>
    <n v="4850.82"/>
    <x v="0"/>
    <n v="1"/>
    <n v="0"/>
    <n v="1"/>
    <n v="0"/>
    <n v="1"/>
    <n v="0"/>
    <n v="1"/>
    <x v="63"/>
    <x v="45"/>
    <n v="544.59"/>
    <n v="173.83"/>
    <x v="696"/>
    <n v="11.6"/>
    <n v="28.4"/>
  </r>
  <r>
    <n v="786069196"/>
    <n v="301629"/>
    <n v="8633773"/>
    <n v="7331"/>
    <x v="1"/>
    <n v="51426"/>
    <x v="14"/>
    <x v="225"/>
    <x v="224"/>
    <x v="702"/>
    <x v="708"/>
    <x v="707"/>
    <x v="165"/>
    <s v="GA"/>
    <s v="Augusta"/>
    <s v="NC"/>
    <s v="Raleigh"/>
    <x v="1"/>
    <n v="763999"/>
    <s v="101-300"/>
    <n v="243"/>
    <x v="352"/>
    <x v="115"/>
    <n v="243.9"/>
    <n v="267.2"/>
    <x v="3"/>
    <s v="4.02"/>
    <s v="14:00-17:59"/>
    <x v="4"/>
    <x v="0"/>
    <n v="-18"/>
    <n v="0"/>
    <n v="0"/>
    <n v="32.299999999999997"/>
    <n v="0"/>
    <n v="0.51100000000000001"/>
    <n v="0.71099999999999997"/>
    <n v="3247.06"/>
    <x v="0"/>
    <n v="1"/>
    <n v="1"/>
    <n v="0"/>
    <n v="1"/>
    <n v="0"/>
    <n v="1"/>
    <n v="0"/>
    <x v="70"/>
    <x v="26"/>
    <n v="176.35"/>
    <n v="47.1"/>
    <x v="697"/>
    <n v="63.5"/>
    <n v="1.6"/>
  </r>
  <r>
    <n v="952442674"/>
    <n v="897549"/>
    <n v="9722815"/>
    <n v="6592"/>
    <x v="6"/>
    <n v="59884"/>
    <x v="12"/>
    <x v="153"/>
    <x v="153"/>
    <x v="703"/>
    <x v="709"/>
    <x v="708"/>
    <x v="205"/>
    <s v="TX"/>
    <s v="Houston"/>
    <s v="NY"/>
    <s v="Buffalo"/>
    <x v="3"/>
    <n v="756369"/>
    <s v="301-500"/>
    <n v="415"/>
    <x v="12"/>
    <x v="359"/>
    <n v="407.1"/>
    <n v="446.6"/>
    <x v="0"/>
    <s v="7.4"/>
    <s v="18:00-23:59"/>
    <x v="0"/>
    <x v="4"/>
    <n v="34"/>
    <n v="286"/>
    <n v="0"/>
    <n v="59.3"/>
    <n v="0"/>
    <n v="0.55100000000000005"/>
    <n v="0.48199999999999998"/>
    <n v="8553.26"/>
    <x v="1"/>
    <n v="1"/>
    <n v="0"/>
    <n v="1"/>
    <n v="0"/>
    <n v="1"/>
    <n v="0"/>
    <n v="1"/>
    <x v="14"/>
    <x v="67"/>
    <n v="278.45999999999998"/>
    <n v="95.02"/>
    <x v="698"/>
    <n v="13.4"/>
    <n v="51.7"/>
  </r>
  <r>
    <n v="768737754"/>
    <n v="308496"/>
    <n v="5076817"/>
    <n v="3747"/>
    <x v="5"/>
    <n v="51793"/>
    <x v="6"/>
    <x v="93"/>
    <x v="93"/>
    <x v="704"/>
    <x v="710"/>
    <x v="709"/>
    <x v="313"/>
    <s v="TN"/>
    <s v="Knoxville"/>
    <s v="FL"/>
    <s v="Fort Lauderdale"/>
    <x v="1"/>
    <n v="735561"/>
    <s v="101-300"/>
    <n v="116"/>
    <x v="409"/>
    <x v="223"/>
    <n v="118.7"/>
    <n v="147.30000000000001"/>
    <x v="1"/>
    <s v="3.56"/>
    <s v="14:00-17:59"/>
    <x v="4"/>
    <x v="0"/>
    <n v="21"/>
    <n v="0"/>
    <n v="0"/>
    <n v="92.3"/>
    <n v="0"/>
    <n v="0.80300000000000005"/>
    <n v="0.71099999999999997"/>
    <n v="4993.37"/>
    <x v="0"/>
    <n v="1"/>
    <n v="0"/>
    <n v="1"/>
    <n v="0"/>
    <n v="1"/>
    <n v="0"/>
    <n v="1"/>
    <x v="21"/>
    <x v="4"/>
    <n v="135.46"/>
    <n v="31.18"/>
    <x v="699"/>
    <n v="15.5"/>
    <n v="49.9"/>
  </r>
  <r>
    <n v="590822013"/>
    <n v="197251"/>
    <n v="4078418"/>
    <n v="2585"/>
    <x v="4"/>
    <n v="52723"/>
    <x v="7"/>
    <x v="210"/>
    <x v="209"/>
    <x v="705"/>
    <x v="711"/>
    <x v="710"/>
    <x v="218"/>
    <s v="CA"/>
    <s v="San Diego"/>
    <s v="CA"/>
    <s v="Los Angeles"/>
    <x v="2"/>
    <n v="739562"/>
    <s v="0-100"/>
    <n v="87"/>
    <x v="77"/>
    <x v="227"/>
    <n v="88.7"/>
    <n v="145.4"/>
    <x v="0"/>
    <s v="3.12"/>
    <s v="10:00-13:59"/>
    <x v="5"/>
    <x v="0"/>
    <n v="8"/>
    <n v="0"/>
    <n v="0"/>
    <n v="62.1"/>
    <n v="0"/>
    <n v="0.77800000000000002"/>
    <n v="0.56100000000000005"/>
    <n v="2668.71"/>
    <x v="0"/>
    <n v="1"/>
    <n v="1"/>
    <n v="0"/>
    <n v="1"/>
    <n v="0"/>
    <n v="1"/>
    <n v="0"/>
    <x v="13"/>
    <x v="22"/>
    <n v="124.45"/>
    <n v="27.07"/>
    <x v="700"/>
    <n v="11.9"/>
    <n v="20.8"/>
  </r>
  <r>
    <n v="167438668"/>
    <n v="913694"/>
    <n v="2229110"/>
    <n v="8408"/>
    <x v="4"/>
    <n v="50658"/>
    <x v="7"/>
    <x v="29"/>
    <x v="29"/>
    <x v="706"/>
    <x v="712"/>
    <x v="711"/>
    <x v="29"/>
    <s v="OH"/>
    <s v="Toledo"/>
    <s v="OH"/>
    <s v="Cincinnati"/>
    <x v="0"/>
    <n v="797593"/>
    <s v="0-100"/>
    <n v="65"/>
    <x v="410"/>
    <x v="304"/>
    <n v="46.8"/>
    <n v="89.7"/>
    <x v="0"/>
    <s v="2.27"/>
    <s v="10:00-13:59"/>
    <x v="2"/>
    <x v="0"/>
    <n v="2"/>
    <n v="0"/>
    <n v="0"/>
    <n v="75.5"/>
    <n v="0"/>
    <n v="0.82199999999999995"/>
    <n v="0.55200000000000005"/>
    <n v="4242.1400000000003"/>
    <x v="0"/>
    <n v="1"/>
    <n v="1"/>
    <n v="0"/>
    <n v="1"/>
    <n v="0"/>
    <n v="1"/>
    <n v="0"/>
    <x v="30"/>
    <x v="66"/>
    <n v="77.069999999999993"/>
    <n v="11.97"/>
    <x v="701"/>
    <n v="9.1"/>
    <n v="49.1"/>
  </r>
  <r>
    <n v="219032752"/>
    <n v="198246"/>
    <n v="9626108"/>
    <n v="5555"/>
    <x v="0"/>
    <n v="54761"/>
    <x v="6"/>
    <x v="258"/>
    <x v="257"/>
    <x v="707"/>
    <x v="713"/>
    <x v="712"/>
    <x v="258"/>
    <s v="GA"/>
    <s v="Columbus"/>
    <s v="GA"/>
    <s v="Savannah"/>
    <x v="1"/>
    <n v="783084"/>
    <s v="101-300"/>
    <n v="244"/>
    <x v="355"/>
    <x v="78"/>
    <n v="234"/>
    <n v="275.2"/>
    <x v="1"/>
    <s v="6.74"/>
    <s v="06:00-09:59"/>
    <x v="0"/>
    <x v="0"/>
    <n v="10"/>
    <n v="0"/>
    <n v="0"/>
    <n v="62.8"/>
    <n v="0"/>
    <n v="0.54200000000000004"/>
    <n v="0.748"/>
    <n v="2446.81"/>
    <x v="0"/>
    <n v="1"/>
    <n v="1"/>
    <n v="0"/>
    <n v="1"/>
    <n v="0"/>
    <n v="1"/>
    <n v="0"/>
    <x v="9"/>
    <x v="52"/>
    <n v="230.9"/>
    <n v="50.08"/>
    <x v="702"/>
    <n v="11.5"/>
    <n v="0"/>
  </r>
  <r>
    <n v="998386592"/>
    <n v="498382"/>
    <n v="5673212"/>
    <n v="4943"/>
    <x v="7"/>
    <n v="57630"/>
    <x v="5"/>
    <x v="307"/>
    <x v="307"/>
    <x v="708"/>
    <x v="714"/>
    <x v="713"/>
    <x v="181"/>
    <s v="PA"/>
    <s v="Pittsburgh"/>
    <s v="WA"/>
    <s v="Vancouver"/>
    <x v="2"/>
    <n v="739373"/>
    <s v="101-300"/>
    <n v="213"/>
    <x v="411"/>
    <x v="285"/>
    <n v="217.2"/>
    <n v="301.7"/>
    <x v="0"/>
    <s v="4.52"/>
    <s v="10:00-13:59"/>
    <x v="2"/>
    <x v="0"/>
    <n v="-28"/>
    <n v="0"/>
    <n v="0"/>
    <n v="46.2"/>
    <n v="0"/>
    <n v="0.78500000000000003"/>
    <n v="0.53300000000000003"/>
    <n v="12916.59"/>
    <x v="1"/>
    <n v="1"/>
    <n v="1"/>
    <n v="0"/>
    <n v="1"/>
    <n v="0"/>
    <n v="1"/>
    <n v="0"/>
    <x v="68"/>
    <x v="4"/>
    <n v="230.87"/>
    <n v="37.15"/>
    <x v="703"/>
    <n v="12.5"/>
    <n v="9.9"/>
  </r>
  <r>
    <n v="636687537"/>
    <n v="377932"/>
    <n v="9508103"/>
    <n v="6699"/>
    <x v="2"/>
    <n v="58741"/>
    <x v="10"/>
    <x v="308"/>
    <x v="308"/>
    <x v="709"/>
    <x v="715"/>
    <x v="714"/>
    <x v="314"/>
    <s v="NY"/>
    <s v="Buffalo"/>
    <s v="MI"/>
    <s v="Flint"/>
    <x v="0"/>
    <n v="701498"/>
    <s v="0-100"/>
    <n v="64"/>
    <x v="164"/>
    <x v="135"/>
    <n v="72.5"/>
    <n v="99.3"/>
    <x v="3"/>
    <s v="1.5"/>
    <s v="06:00-09:59"/>
    <x v="1"/>
    <x v="0"/>
    <n v="0"/>
    <n v="0"/>
    <n v="0"/>
    <n v="47.8"/>
    <n v="0"/>
    <n v="0.69799999999999995"/>
    <n v="0.58599999999999997"/>
    <n v="14567.55"/>
    <x v="1"/>
    <n v="1"/>
    <n v="1"/>
    <n v="0"/>
    <n v="1"/>
    <n v="0"/>
    <n v="1"/>
    <n v="0"/>
    <x v="46"/>
    <x v="3"/>
    <n v="64.19"/>
    <n v="13.9"/>
    <x v="704"/>
    <n v="13.9"/>
    <n v="43.2"/>
  </r>
  <r>
    <n v="740743666"/>
    <n v="847581"/>
    <n v="3919694"/>
    <n v="9050"/>
    <x v="7"/>
    <n v="58834"/>
    <x v="13"/>
    <x v="309"/>
    <x v="309"/>
    <x v="710"/>
    <x v="716"/>
    <x v="715"/>
    <x v="307"/>
    <s v="CO"/>
    <s v="Aurora"/>
    <s v="AZ"/>
    <s v="Flagstaff"/>
    <x v="2"/>
    <n v="795889"/>
    <s v="301-500"/>
    <n v="329"/>
    <x v="245"/>
    <x v="41"/>
    <n v="328.5"/>
    <n v="370"/>
    <x v="0"/>
    <s v="5.4"/>
    <s v="14:00-17:59"/>
    <x v="3"/>
    <x v="0"/>
    <n v="-28"/>
    <n v="0"/>
    <n v="0"/>
    <n v="63.6"/>
    <n v="0"/>
    <n v="0.84499999999999997"/>
    <n v="0.629"/>
    <n v="4762.4799999999996"/>
    <x v="0"/>
    <n v="1"/>
    <n v="1"/>
    <n v="0"/>
    <n v="1"/>
    <n v="0"/>
    <n v="1"/>
    <n v="0"/>
    <x v="85"/>
    <x v="38"/>
    <n v="237.42"/>
    <n v="70.650000000000006"/>
    <x v="705"/>
    <n v="12.5"/>
    <n v="31"/>
  </r>
  <r>
    <n v="675583372"/>
    <n v="974628"/>
    <n v="3641282"/>
    <n v="6892"/>
    <x v="0"/>
    <n v="54350"/>
    <x v="9"/>
    <x v="310"/>
    <x v="310"/>
    <x v="711"/>
    <x v="717"/>
    <x v="716"/>
    <x v="315"/>
    <s v="OH"/>
    <s v="Columbus"/>
    <s v="OH"/>
    <s v="Cleveland"/>
    <x v="0"/>
    <n v="797593"/>
    <s v="101-300"/>
    <n v="164"/>
    <x v="35"/>
    <x v="199"/>
    <n v="168.9"/>
    <n v="208.5"/>
    <x v="0"/>
    <s v="3.59"/>
    <s v="10:00-13:59"/>
    <x v="3"/>
    <x v="0"/>
    <n v="-15"/>
    <n v="0"/>
    <n v="0"/>
    <n v="52.5"/>
    <n v="0"/>
    <n v="0.44700000000000001"/>
    <n v="0.88100000000000001"/>
    <n v="103542.72"/>
    <x v="2"/>
    <n v="1"/>
    <n v="1"/>
    <n v="0"/>
    <n v="1"/>
    <n v="0"/>
    <n v="1"/>
    <n v="0"/>
    <x v="56"/>
    <x v="4"/>
    <n v="186.59"/>
    <n v="42.13"/>
    <x v="706"/>
    <n v="1.4"/>
    <n v="11.3"/>
  </r>
  <r>
    <n v="117647321"/>
    <n v="903035"/>
    <n v="7110622"/>
    <n v="3200"/>
    <x v="2"/>
    <n v="50207"/>
    <x v="10"/>
    <x v="291"/>
    <x v="291"/>
    <x v="712"/>
    <x v="718"/>
    <x v="717"/>
    <x v="214"/>
    <s v="NC"/>
    <s v="Charlotte"/>
    <s v="WA"/>
    <s v="Spokane"/>
    <x v="2"/>
    <n v="773553"/>
    <s v="101-300"/>
    <n v="139"/>
    <x v="412"/>
    <x v="101"/>
    <n v="139.69999999999999"/>
    <n v="184.3"/>
    <x v="2"/>
    <s v="2.05"/>
    <s v="10:00-13:59"/>
    <x v="0"/>
    <x v="0"/>
    <n v="-56"/>
    <n v="0"/>
    <n v="0"/>
    <n v="42.8"/>
    <n v="0"/>
    <n v="0.81200000000000006"/>
    <n v="0.51300000000000001"/>
    <n v="5110.58"/>
    <x v="0"/>
    <n v="1"/>
    <n v="1"/>
    <n v="0"/>
    <n v="1"/>
    <n v="0"/>
    <n v="1"/>
    <n v="0"/>
    <x v="26"/>
    <x v="36"/>
    <n v="114.28"/>
    <n v="27.65"/>
    <x v="707"/>
    <n v="26.8"/>
    <n v="6"/>
  </r>
  <r>
    <n v="778556450"/>
    <n v="787277"/>
    <n v="6022741"/>
    <n v="3693"/>
    <x v="4"/>
    <n v="54190"/>
    <x v="6"/>
    <x v="167"/>
    <x v="166"/>
    <x v="713"/>
    <x v="719"/>
    <x v="718"/>
    <x v="173"/>
    <s v="OH"/>
    <s v="Columbus"/>
    <s v="TN"/>
    <s v="Knoxville"/>
    <x v="1"/>
    <n v="736170"/>
    <s v="101-300"/>
    <n v="147"/>
    <x v="412"/>
    <x v="7"/>
    <n v="147.19999999999999"/>
    <n v="197.8"/>
    <x v="0"/>
    <s v="2.62"/>
    <s v="06:00-09:59"/>
    <x v="0"/>
    <x v="0"/>
    <n v="-21"/>
    <n v="0"/>
    <n v="0"/>
    <n v="73.7"/>
    <n v="0"/>
    <n v="0.84"/>
    <n v="0.72799999999999998"/>
    <n v="44837.93"/>
    <x v="2"/>
    <n v="1"/>
    <n v="1"/>
    <n v="0"/>
    <n v="1"/>
    <n v="0"/>
    <n v="1"/>
    <n v="0"/>
    <x v="47"/>
    <x v="46"/>
    <n v="164.12"/>
    <n v="32.200000000000003"/>
    <x v="708"/>
    <n v="3.4"/>
    <n v="8.9"/>
  </r>
  <r>
    <n v="653380476"/>
    <n v="496922"/>
    <n v="9075854"/>
    <n v="8869"/>
    <x v="1"/>
    <n v="51883"/>
    <x v="8"/>
    <x v="311"/>
    <x v="311"/>
    <x v="714"/>
    <x v="720"/>
    <x v="719"/>
    <x v="304"/>
    <s v="FL"/>
    <s v="Jacksonville"/>
    <s v="FL"/>
    <s v="Fort Lauderdale"/>
    <x v="1"/>
    <n v="758654"/>
    <s v="0-100"/>
    <n v="107"/>
    <x v="217"/>
    <x v="269"/>
    <n v="106.1"/>
    <n v="173.9"/>
    <x v="3"/>
    <s v="2.41"/>
    <s v="18:00-23:59"/>
    <x v="2"/>
    <x v="0"/>
    <n v="-52"/>
    <n v="0"/>
    <n v="0"/>
    <n v="56"/>
    <n v="0"/>
    <n v="0.84799999999999998"/>
    <n v="0.7"/>
    <n v="8458.39"/>
    <x v="1"/>
    <n v="1"/>
    <n v="1"/>
    <n v="0"/>
    <n v="1"/>
    <n v="0"/>
    <n v="1"/>
    <n v="0"/>
    <x v="43"/>
    <x v="46"/>
    <n v="140.61000000000001"/>
    <n v="25.45"/>
    <x v="709"/>
    <n v="9.3000000000000007"/>
    <n v="25.1"/>
  </r>
  <r>
    <n v="717452511"/>
    <n v="680099"/>
    <n v="7003042"/>
    <n v="6535"/>
    <x v="3"/>
    <n v="52886"/>
    <x v="5"/>
    <x v="21"/>
    <x v="21"/>
    <x v="715"/>
    <x v="721"/>
    <x v="720"/>
    <x v="21"/>
    <s v="GA"/>
    <s v="Augusta"/>
    <s v="PA"/>
    <s v="Erie"/>
    <x v="3"/>
    <n v="770517"/>
    <s v="101-300"/>
    <n v="137"/>
    <x v="163"/>
    <x v="148"/>
    <n v="137.5"/>
    <n v="171"/>
    <x v="2"/>
    <s v="2.06"/>
    <s v="00:00-05:59"/>
    <x v="2"/>
    <x v="0"/>
    <n v="-46"/>
    <n v="0"/>
    <n v="0"/>
    <n v="34.299999999999997"/>
    <n v="0"/>
    <n v="0.64900000000000002"/>
    <n v="0.65900000000000003"/>
    <n v="4414.42"/>
    <x v="0"/>
    <n v="1"/>
    <n v="1"/>
    <n v="0"/>
    <n v="1"/>
    <n v="0"/>
    <n v="1"/>
    <n v="0"/>
    <x v="27"/>
    <x v="40"/>
    <n v="131.72999999999999"/>
    <n v="26.94"/>
    <x v="710"/>
    <n v="28.3"/>
    <n v="34.799999999999997"/>
  </r>
  <r>
    <n v="359779090"/>
    <n v="813536"/>
    <n v="3500715"/>
    <n v="5737"/>
    <x v="0"/>
    <n v="50477"/>
    <x v="11"/>
    <x v="9"/>
    <x v="9"/>
    <x v="716"/>
    <x v="722"/>
    <x v="721"/>
    <x v="9"/>
    <s v="NY"/>
    <s v="Syracuse"/>
    <s v="TX"/>
    <s v="Houston"/>
    <x v="1"/>
    <n v="704946"/>
    <s v="101-300"/>
    <n v="162"/>
    <x v="237"/>
    <x v="139"/>
    <n v="164.3"/>
    <n v="173"/>
    <x v="2"/>
    <s v="3.67"/>
    <s v="00:00-05:59"/>
    <x v="4"/>
    <x v="0"/>
    <n v="-19"/>
    <n v="0"/>
    <n v="0"/>
    <n v="44.8"/>
    <n v="0"/>
    <n v="0.57699999999999996"/>
    <n v="0.752"/>
    <n v="5570.62"/>
    <x v="0"/>
    <n v="1"/>
    <n v="1"/>
    <n v="0"/>
    <n v="1"/>
    <n v="0"/>
    <n v="1"/>
    <n v="0"/>
    <x v="43"/>
    <x v="6"/>
    <n v="157.86000000000001"/>
    <n v="27.94"/>
    <x v="711"/>
    <n v="6.9"/>
    <n v="46.6"/>
  </r>
  <r>
    <n v="871531100"/>
    <n v="781446"/>
    <n v="6098175"/>
    <n v="2693"/>
    <x v="8"/>
    <n v="58953"/>
    <x v="7"/>
    <x v="312"/>
    <x v="312"/>
    <x v="717"/>
    <x v="723"/>
    <x v="722"/>
    <x v="302"/>
    <s v="MO"/>
    <s v="Independence"/>
    <s v="CO"/>
    <s v="Pueblo"/>
    <x v="2"/>
    <n v="712358"/>
    <s v="101-300"/>
    <n v="231"/>
    <x v="384"/>
    <x v="62"/>
    <n v="228.6"/>
    <n v="274.60000000000002"/>
    <x v="1"/>
    <s v="3.81"/>
    <s v="06:00-09:59"/>
    <x v="6"/>
    <x v="0"/>
    <n v="-34"/>
    <n v="0"/>
    <n v="0"/>
    <n v="48.9"/>
    <n v="0"/>
    <n v="0.74099999999999999"/>
    <n v="0.71"/>
    <n v="2224.71"/>
    <x v="0"/>
    <n v="1"/>
    <n v="1"/>
    <n v="0"/>
    <n v="1"/>
    <n v="0"/>
    <n v="1"/>
    <n v="0"/>
    <x v="68"/>
    <x v="65"/>
    <n v="186.57"/>
    <n v="50.26"/>
    <x v="712"/>
    <n v="13.3"/>
    <n v="16"/>
  </r>
  <r>
    <n v="254164462"/>
    <n v="662275"/>
    <n v="7818496"/>
    <n v="8629"/>
    <x v="4"/>
    <n v="58381"/>
    <x v="4"/>
    <x v="115"/>
    <x v="114"/>
    <x v="718"/>
    <x v="724"/>
    <x v="723"/>
    <x v="35"/>
    <s v="GA"/>
    <s v="Augusta"/>
    <s v="MI"/>
    <s v="Grand Rapids"/>
    <x v="0"/>
    <n v="729109"/>
    <s v="101-300"/>
    <n v="236"/>
    <x v="165"/>
    <x v="76"/>
    <n v="243.5"/>
    <n v="285.89999999999998"/>
    <x v="3"/>
    <s v="5.8"/>
    <s v="18:00-23:59"/>
    <x v="6"/>
    <x v="0"/>
    <n v="-11"/>
    <n v="0"/>
    <n v="0"/>
    <n v="40.700000000000003"/>
    <n v="0"/>
    <n v="0.73099999999999998"/>
    <n v="0.67400000000000004"/>
    <n v="6760.32"/>
    <x v="1"/>
    <n v="1"/>
    <n v="1"/>
    <n v="0"/>
    <n v="1"/>
    <n v="0"/>
    <n v="1"/>
    <n v="0"/>
    <x v="77"/>
    <x v="33"/>
    <n v="244.61"/>
    <n v="54.34"/>
    <x v="713"/>
    <n v="31.4"/>
    <n v="62.7"/>
  </r>
  <r>
    <n v="412750915"/>
    <n v="503457"/>
    <n v="8210624"/>
    <n v="8392"/>
    <x v="9"/>
    <n v="56854"/>
    <x v="8"/>
    <x v="212"/>
    <x v="211"/>
    <x v="719"/>
    <x v="725"/>
    <x v="724"/>
    <x v="254"/>
    <s v="MI"/>
    <s v="Detroit"/>
    <s v="IL"/>
    <s v="Springfield"/>
    <x v="0"/>
    <n v="748997"/>
    <s v="101-300"/>
    <n v="138"/>
    <x v="413"/>
    <x v="344"/>
    <n v="132"/>
    <n v="185.7"/>
    <x v="0"/>
    <s v="3.99"/>
    <s v="18:00-23:59"/>
    <x v="2"/>
    <x v="0"/>
    <n v="19"/>
    <n v="0"/>
    <n v="0"/>
    <n v="41.1"/>
    <n v="0"/>
    <n v="0.66100000000000003"/>
    <n v="0.48599999999999999"/>
    <n v="77299.06"/>
    <x v="2"/>
    <n v="1"/>
    <n v="0"/>
    <n v="1"/>
    <n v="0"/>
    <n v="1"/>
    <n v="0"/>
    <n v="1"/>
    <x v="96"/>
    <x v="24"/>
    <n v="152.72999999999999"/>
    <n v="40.299999999999997"/>
    <x v="714"/>
    <n v="6.5"/>
    <n v="43.6"/>
  </r>
  <r>
    <n v="560891752"/>
    <n v="872246"/>
    <n v="4860684"/>
    <n v="6578"/>
    <x v="5"/>
    <n v="50755"/>
    <x v="5"/>
    <x v="107"/>
    <x v="106"/>
    <x v="720"/>
    <x v="726"/>
    <x v="725"/>
    <x v="106"/>
    <s v="CO"/>
    <s v="Denver"/>
    <s v="CO"/>
    <s v="Pueblo"/>
    <x v="2"/>
    <n v="705397"/>
    <s v="0-100"/>
    <n v="91"/>
    <x v="193"/>
    <x v="52"/>
    <n v="101.2"/>
    <n v="153.5"/>
    <x v="2"/>
    <s v="1.84"/>
    <s v="14:00-17:59"/>
    <x v="5"/>
    <x v="0"/>
    <n v="-32"/>
    <n v="0"/>
    <n v="0"/>
    <n v="40.5"/>
    <n v="0"/>
    <n v="0.65"/>
    <n v="0.76400000000000001"/>
    <n v="3012.99"/>
    <x v="0"/>
    <n v="1"/>
    <n v="1"/>
    <n v="0"/>
    <n v="1"/>
    <n v="0"/>
    <n v="1"/>
    <n v="0"/>
    <x v="3"/>
    <x v="5"/>
    <n v="140.04"/>
    <n v="23.41"/>
    <x v="715"/>
    <n v="41.8"/>
    <n v="13.1"/>
  </r>
  <r>
    <n v="101679695"/>
    <n v="688508"/>
    <n v="8930103"/>
    <n v="3047"/>
    <x v="9"/>
    <n v="59638"/>
    <x v="7"/>
    <x v="313"/>
    <x v="313"/>
    <x v="721"/>
    <x v="727"/>
    <x v="726"/>
    <x v="173"/>
    <s v="FL"/>
    <s v="Orlando"/>
    <s v="CO"/>
    <s v="Pueblo"/>
    <x v="2"/>
    <n v="707094"/>
    <s v="301-500"/>
    <n v="470"/>
    <x v="6"/>
    <x v="155"/>
    <n v="468.7"/>
    <n v="519"/>
    <x v="1"/>
    <s v="9.8"/>
    <s v="18:00-23:59"/>
    <x v="2"/>
    <x v="0"/>
    <n v="-24"/>
    <n v="0"/>
    <n v="0"/>
    <n v="15.9"/>
    <n v="0"/>
    <n v="0.59099999999999997"/>
    <n v="0.59299999999999997"/>
    <n v="5401.61"/>
    <x v="0"/>
    <n v="1"/>
    <n v="1"/>
    <n v="0"/>
    <n v="1"/>
    <n v="0"/>
    <n v="1"/>
    <n v="0"/>
    <x v="3"/>
    <x v="17"/>
    <n v="467.21"/>
    <n v="57.08"/>
    <x v="716"/>
    <n v="4"/>
    <n v="53.9"/>
  </r>
  <r>
    <n v="760146764"/>
    <n v="770487"/>
    <n v="9683481"/>
    <n v="8270"/>
    <x v="8"/>
    <n v="54931"/>
    <x v="8"/>
    <x v="314"/>
    <x v="314"/>
    <x v="722"/>
    <x v="728"/>
    <x v="727"/>
    <x v="316"/>
    <s v="TN"/>
    <s v="Nashville"/>
    <s v="TX"/>
    <s v="Houston"/>
    <x v="1"/>
    <n v="737982"/>
    <s v="301-500"/>
    <n v="344"/>
    <x v="164"/>
    <x v="122"/>
    <n v="343.7"/>
    <n v="381.8"/>
    <x v="4"/>
    <s v="6.9"/>
    <s v="06:00-09:59"/>
    <x v="2"/>
    <x v="0"/>
    <n v="-3"/>
    <n v="0"/>
    <n v="0"/>
    <n v="12.7"/>
    <n v="0"/>
    <n v="0.30199999999999999"/>
    <n v="0.749"/>
    <n v="4325.91"/>
    <x v="0"/>
    <n v="1"/>
    <n v="1"/>
    <n v="0"/>
    <n v="1"/>
    <n v="0"/>
    <n v="1"/>
    <n v="0"/>
    <x v="53"/>
    <x v="34"/>
    <n v="251.44"/>
    <n v="69.709999999999994"/>
    <x v="717"/>
    <n v="20"/>
    <n v="0"/>
  </r>
  <r>
    <n v="478833337"/>
    <n v="559381"/>
    <n v="4526280"/>
    <n v="9754"/>
    <x v="5"/>
    <n v="59855"/>
    <x v="5"/>
    <x v="144"/>
    <x v="144"/>
    <x v="723"/>
    <x v="729"/>
    <x v="728"/>
    <x v="148"/>
    <s v="AZ"/>
    <s v="Tempe"/>
    <s v="IL"/>
    <s v="Aurora"/>
    <x v="0"/>
    <n v="739948"/>
    <s v="0-100"/>
    <n v="45"/>
    <x v="314"/>
    <x v="357"/>
    <n v="41.2"/>
    <n v="93.7"/>
    <x v="2"/>
    <s v="0.95"/>
    <s v="18:00-23:59"/>
    <x v="5"/>
    <x v="0"/>
    <n v="-33"/>
    <n v="0"/>
    <n v="1.3"/>
    <n v="36.200000000000003"/>
    <n v="0"/>
    <n v="0.67400000000000004"/>
    <n v="0.372"/>
    <n v="2834.46"/>
    <x v="0"/>
    <n v="1"/>
    <n v="1"/>
    <n v="0"/>
    <n v="1"/>
    <n v="0"/>
    <n v="1"/>
    <n v="0"/>
    <x v="15"/>
    <x v="46"/>
    <n v="66.739999999999995"/>
    <n v="14.97"/>
    <x v="718"/>
    <n v="25"/>
    <n v="3.3"/>
  </r>
  <r>
    <n v="358303887"/>
    <n v="260263"/>
    <n v="5674183"/>
    <n v="5736"/>
    <x v="7"/>
    <n v="55724"/>
    <x v="10"/>
    <x v="159"/>
    <x v="159"/>
    <x v="724"/>
    <x v="730"/>
    <x v="729"/>
    <x v="163"/>
    <s v="TN"/>
    <s v="Chattanooga"/>
    <s v="CA"/>
    <s v="San Diego"/>
    <x v="2"/>
    <n v="796425"/>
    <s v="101-300"/>
    <n v="306"/>
    <x v="414"/>
    <x v="271"/>
    <n v="308.5"/>
    <n v="406.2"/>
    <x v="2"/>
    <s v="7.44"/>
    <s v="06:00-09:59"/>
    <x v="3"/>
    <x v="0"/>
    <n v="-34"/>
    <n v="0"/>
    <n v="0"/>
    <n v="40.799999999999997"/>
    <n v="0"/>
    <n v="0.82899999999999996"/>
    <n v="0.58399999999999996"/>
    <n v="14055.66"/>
    <x v="1"/>
    <n v="1"/>
    <n v="1"/>
    <n v="0"/>
    <n v="1"/>
    <n v="0"/>
    <n v="1"/>
    <n v="0"/>
    <x v="18"/>
    <x v="59"/>
    <n v="355.52"/>
    <n v="81.61"/>
    <x v="719"/>
    <n v="30.8"/>
    <n v="28.3"/>
  </r>
  <r>
    <n v="712745501"/>
    <n v="982554"/>
    <n v="4740036"/>
    <n v="3976"/>
    <x v="1"/>
    <n v="54150"/>
    <x v="2"/>
    <x v="142"/>
    <x v="142"/>
    <x v="725"/>
    <x v="731"/>
    <x v="730"/>
    <x v="146"/>
    <s v="MO"/>
    <s v="Springfield"/>
    <s v="NY"/>
    <s v="New York"/>
    <x v="3"/>
    <n v="739953"/>
    <s v="0-100"/>
    <n v="94"/>
    <x v="175"/>
    <x v="360"/>
    <n v="91.7"/>
    <n v="150.19999999999999"/>
    <x v="0"/>
    <s v="1.76"/>
    <s v="06:00-09:59"/>
    <x v="0"/>
    <x v="0"/>
    <n v="-28"/>
    <n v="0"/>
    <n v="0"/>
    <n v="35.9"/>
    <n v="0"/>
    <n v="0.56499999999999995"/>
    <n v="0.41899999999999998"/>
    <n v="4643.93"/>
    <x v="0"/>
    <n v="1"/>
    <n v="1"/>
    <n v="0"/>
    <n v="1"/>
    <n v="0"/>
    <n v="1"/>
    <n v="0"/>
    <x v="30"/>
    <x v="85"/>
    <n v="103.43"/>
    <n v="17.66"/>
    <x v="720"/>
    <n v="44.5"/>
    <n v="14"/>
  </r>
  <r>
    <n v="547286055"/>
    <n v="944151"/>
    <n v="6855396"/>
    <n v="8574"/>
    <x v="9"/>
    <n v="54060"/>
    <x v="7"/>
    <x v="117"/>
    <x v="116"/>
    <x v="726"/>
    <x v="732"/>
    <x v="731"/>
    <x v="117"/>
    <s v="MI"/>
    <s v="Ann Arbor"/>
    <s v="FL"/>
    <s v="Orlando"/>
    <x v="1"/>
    <n v="780769"/>
    <s v="101-300"/>
    <n v="255"/>
    <x v="118"/>
    <x v="361"/>
    <n v="252.1"/>
    <n v="280.2"/>
    <x v="3"/>
    <s v="5.47"/>
    <s v="06:00-09:59"/>
    <x v="5"/>
    <x v="0"/>
    <n v="1"/>
    <n v="0"/>
    <n v="0"/>
    <n v="29.6"/>
    <n v="0"/>
    <n v="0.68799999999999994"/>
    <n v="0.46700000000000003"/>
    <n v="5561.56"/>
    <x v="0"/>
    <n v="1"/>
    <n v="1"/>
    <n v="0"/>
    <n v="1"/>
    <n v="0"/>
    <n v="1"/>
    <n v="0"/>
    <x v="112"/>
    <x v="82"/>
    <n v="205.54"/>
    <n v="49.7"/>
    <x v="721"/>
    <n v="12.8"/>
    <n v="35.6"/>
  </r>
  <r>
    <n v="301126777"/>
    <n v="705397"/>
    <n v="5449368"/>
    <n v="5859"/>
    <x v="1"/>
    <n v="54765"/>
    <x v="1"/>
    <x v="106"/>
    <x v="282"/>
    <x v="727"/>
    <x v="733"/>
    <x v="732"/>
    <x v="131"/>
    <s v="AZ"/>
    <s v="Phoenix"/>
    <s v="AZ"/>
    <s v="Tempe"/>
    <x v="2"/>
    <n v="742558"/>
    <s v="101-300"/>
    <n v="122"/>
    <x v="168"/>
    <x v="261"/>
    <n v="125.7"/>
    <n v="165.9"/>
    <x v="2"/>
    <s v="1.8"/>
    <s v="10:00-13:59"/>
    <x v="3"/>
    <x v="0"/>
    <n v="-57"/>
    <n v="0"/>
    <n v="0.4"/>
    <n v="43.4"/>
    <n v="0"/>
    <n v="0.79400000000000004"/>
    <n v="0.57199999999999995"/>
    <n v="7632.42"/>
    <x v="0"/>
    <n v="1"/>
    <n v="1"/>
    <n v="0"/>
    <n v="1"/>
    <n v="0"/>
    <n v="1"/>
    <n v="0"/>
    <x v="20"/>
    <x v="49"/>
    <n v="134.01"/>
    <n v="25.73"/>
    <x v="722"/>
    <n v="11.4"/>
    <n v="45"/>
  </r>
  <r>
    <n v="813363254"/>
    <n v="391369"/>
    <n v="4214348"/>
    <n v="7235"/>
    <x v="6"/>
    <n v="53612"/>
    <x v="1"/>
    <x v="44"/>
    <x v="44"/>
    <x v="673"/>
    <x v="734"/>
    <x v="733"/>
    <x v="43"/>
    <s v="AZ"/>
    <s v="Flagstaff"/>
    <s v="AZ"/>
    <s v="Tempe"/>
    <x v="2"/>
    <n v="742558"/>
    <s v="101-300"/>
    <n v="194"/>
    <x v="72"/>
    <x v="80"/>
    <n v="201"/>
    <n v="228.2"/>
    <x v="4"/>
    <s v="2.29"/>
    <s v="14:00-17:59"/>
    <x v="1"/>
    <x v="0"/>
    <n v="-37"/>
    <n v="0"/>
    <n v="0"/>
    <n v="66.599999999999994"/>
    <n v="0"/>
    <n v="0.82499999999999996"/>
    <n v="0.92300000000000004"/>
    <n v="7112.5"/>
    <x v="1"/>
    <n v="1"/>
    <n v="1"/>
    <n v="0"/>
    <n v="1"/>
    <n v="0"/>
    <n v="1"/>
    <n v="0"/>
    <x v="59"/>
    <x v="4"/>
    <n v="180.02"/>
    <n v="34.299999999999997"/>
    <x v="723"/>
    <n v="45.2"/>
    <n v="17.2"/>
  </r>
  <r>
    <n v="817490291"/>
    <n v="748564"/>
    <n v="1036161"/>
    <n v="1878"/>
    <x v="5"/>
    <n v="56553"/>
    <x v="9"/>
    <x v="234"/>
    <x v="233"/>
    <x v="728"/>
    <x v="735"/>
    <x v="734"/>
    <x v="51"/>
    <s v="NC"/>
    <s v="Charlotte"/>
    <s v="CO"/>
    <s v="Pueblo"/>
    <x v="2"/>
    <n v="760341"/>
    <s v="101-300"/>
    <n v="225"/>
    <x v="294"/>
    <x v="257"/>
    <n v="218.7"/>
    <n v="264.2"/>
    <x v="0"/>
    <s v="5.72"/>
    <s v="10:00-13:59"/>
    <x v="3"/>
    <x v="0"/>
    <n v="16"/>
    <n v="0"/>
    <n v="0"/>
    <n v="65.400000000000006"/>
    <n v="0"/>
    <n v="0.76600000000000001"/>
    <n v="0.55800000000000005"/>
    <n v="1221.93"/>
    <x v="0"/>
    <n v="1"/>
    <n v="0"/>
    <n v="1"/>
    <n v="0"/>
    <n v="1"/>
    <n v="0"/>
    <n v="1"/>
    <x v="1"/>
    <x v="63"/>
    <n v="214.58"/>
    <n v="44.33"/>
    <x v="724"/>
    <n v="10.7"/>
    <n v="41.5"/>
  </r>
  <r>
    <n v="191927283"/>
    <n v="974628"/>
    <n v="3641282"/>
    <n v="6892"/>
    <x v="0"/>
    <n v="57378"/>
    <x v="1"/>
    <x v="185"/>
    <x v="184"/>
    <x v="729"/>
    <x v="736"/>
    <x v="735"/>
    <x v="68"/>
    <s v="CO"/>
    <s v="Colorado Springs"/>
    <s v="IL"/>
    <s v="Peoria"/>
    <x v="0"/>
    <n v="786969"/>
    <s v="501-1000"/>
    <n v="586"/>
    <x v="415"/>
    <x v="244"/>
    <n v="591"/>
    <n v="654.4"/>
    <x v="0"/>
    <s v="8.37"/>
    <s v="18:00-23:59"/>
    <x v="3"/>
    <x v="0"/>
    <n v="-86"/>
    <n v="0"/>
    <n v="1.7"/>
    <n v="66"/>
    <n v="0"/>
    <n v="0.745"/>
    <n v="0.84699999999999998"/>
    <n v="3908.16"/>
    <x v="0"/>
    <n v="1"/>
    <n v="1"/>
    <n v="0"/>
    <n v="1"/>
    <n v="0"/>
    <n v="1"/>
    <n v="0"/>
    <x v="23"/>
    <x v="42"/>
    <n v="545.79999999999995"/>
    <n v="119.17"/>
    <x v="725"/>
    <n v="1.4"/>
    <n v="4.3"/>
  </r>
  <r>
    <n v="662087258"/>
    <n v="857168"/>
    <n v="2813543"/>
    <n v="1659"/>
    <x v="6"/>
    <n v="51689"/>
    <x v="2"/>
    <x v="315"/>
    <x v="315"/>
    <x v="730"/>
    <x v="737"/>
    <x v="736"/>
    <x v="121"/>
    <s v="CA"/>
    <s v="Oakland"/>
    <s v="PA"/>
    <s v="Philadelphia"/>
    <x v="3"/>
    <n v="751815"/>
    <s v="101-300"/>
    <n v="201"/>
    <x v="326"/>
    <x v="362"/>
    <n v="208.5"/>
    <n v="267.10000000000002"/>
    <x v="3"/>
    <s v="4.62"/>
    <s v="10:00-13:59"/>
    <x v="1"/>
    <x v="0"/>
    <n v="-21"/>
    <n v="0"/>
    <n v="0"/>
    <n v="41.8"/>
    <n v="0"/>
    <n v="0.503"/>
    <n v="0.77600000000000002"/>
    <n v="13943.94"/>
    <x v="1"/>
    <n v="1"/>
    <n v="1"/>
    <n v="0"/>
    <n v="1"/>
    <n v="0"/>
    <n v="1"/>
    <n v="0"/>
    <x v="108"/>
    <x v="12"/>
    <n v="224"/>
    <n v="53.98"/>
    <x v="726"/>
    <n v="23.7"/>
    <n v="38.6"/>
  </r>
  <r>
    <n v="487195336"/>
    <n v="322955"/>
    <n v="1131249"/>
    <n v="6915"/>
    <x v="0"/>
    <n v="51316"/>
    <x v="4"/>
    <x v="28"/>
    <x v="28"/>
    <x v="731"/>
    <x v="738"/>
    <x v="737"/>
    <x v="268"/>
    <s v="PA"/>
    <s v="Harrisburg"/>
    <s v="MO"/>
    <s v="Independence"/>
    <x v="0"/>
    <n v="731856"/>
    <s v="101-300"/>
    <n v="234"/>
    <x v="416"/>
    <x v="102"/>
    <n v="223.4"/>
    <n v="303.2"/>
    <x v="0"/>
    <s v="5.54"/>
    <s v="06:00-09:59"/>
    <x v="4"/>
    <x v="0"/>
    <n v="16"/>
    <n v="0"/>
    <n v="1"/>
    <n v="44"/>
    <n v="0"/>
    <n v="0.622"/>
    <n v="0.36299999999999999"/>
    <n v="2323.27"/>
    <x v="0"/>
    <n v="1"/>
    <n v="0"/>
    <n v="1"/>
    <n v="0"/>
    <n v="1"/>
    <n v="0"/>
    <n v="1"/>
    <x v="109"/>
    <x v="29"/>
    <n v="255.07"/>
    <n v="38.869999999999997"/>
    <x v="727"/>
    <n v="31.4"/>
    <n v="47.1"/>
  </r>
  <r>
    <n v="172670118"/>
    <n v="198246"/>
    <n v="9626108"/>
    <n v="5555"/>
    <x v="0"/>
    <n v="57130"/>
    <x v="6"/>
    <x v="234"/>
    <x v="233"/>
    <x v="732"/>
    <x v="739"/>
    <x v="738"/>
    <x v="51"/>
    <s v="MI"/>
    <s v="Flint"/>
    <s v="GA"/>
    <s v="Atlanta"/>
    <x v="1"/>
    <n v="771847"/>
    <s v="101-300"/>
    <n v="175"/>
    <x v="269"/>
    <x v="252"/>
    <n v="169.9"/>
    <n v="200.9"/>
    <x v="1"/>
    <s v="6.3"/>
    <s v="10:00-13:59"/>
    <x v="3"/>
    <x v="3"/>
    <n v="181"/>
    <n v="0"/>
    <n v="0"/>
    <n v="89.2"/>
    <n v="0"/>
    <n v="0.433"/>
    <n v="0.82599999999999996"/>
    <n v="5876.1"/>
    <x v="0"/>
    <n v="1"/>
    <n v="0"/>
    <n v="1"/>
    <n v="0"/>
    <n v="1"/>
    <n v="0"/>
    <n v="1"/>
    <x v="99"/>
    <x v="52"/>
    <n v="184.33"/>
    <n v="27.16"/>
    <x v="728"/>
    <n v="11.5"/>
    <n v="0"/>
  </r>
  <r>
    <n v="664852025"/>
    <n v="216739"/>
    <n v="8574680"/>
    <n v="1860"/>
    <x v="4"/>
    <n v="53186"/>
    <x v="2"/>
    <x v="218"/>
    <x v="217"/>
    <x v="733"/>
    <x v="740"/>
    <x v="739"/>
    <x v="107"/>
    <s v="CO"/>
    <s v="Aurora"/>
    <s v="AZ"/>
    <s v="Phoenix"/>
    <x v="2"/>
    <n v="795889"/>
    <s v="501-1000"/>
    <n v="925"/>
    <x v="367"/>
    <x v="90"/>
    <n v="932.3"/>
    <n v="981.3"/>
    <x v="1"/>
    <s v="17.96"/>
    <s v="14:00-17:59"/>
    <x v="6"/>
    <x v="0"/>
    <n v="0"/>
    <n v="0"/>
    <n v="0"/>
    <n v="16.2"/>
    <n v="0"/>
    <n v="0.73599999999999999"/>
    <n v="0.38600000000000001"/>
    <n v="4680.59"/>
    <x v="0"/>
    <n v="1"/>
    <n v="1"/>
    <n v="0"/>
    <n v="1"/>
    <n v="0"/>
    <n v="1"/>
    <n v="0"/>
    <x v="67"/>
    <x v="50"/>
    <n v="713.38"/>
    <n v="162.72999999999999"/>
    <x v="729"/>
    <n v="14.3"/>
    <n v="28.5"/>
  </r>
  <r>
    <n v="684203557"/>
    <n v="629903"/>
    <n v="9143903"/>
    <n v="9666"/>
    <x v="9"/>
    <n v="55789"/>
    <x v="13"/>
    <x v="316"/>
    <x v="316"/>
    <x v="734"/>
    <x v="741"/>
    <x v="740"/>
    <x v="142"/>
    <s v="NJ"/>
    <s v="Newark"/>
    <s v="TX"/>
    <s v="El Paso"/>
    <x v="1"/>
    <n v="734413"/>
    <s v="301-500"/>
    <n v="483"/>
    <x v="274"/>
    <x v="200"/>
    <n v="485.2"/>
    <n v="546.5"/>
    <x v="3"/>
    <s v="10.4 hrs"/>
    <s v="14:00-17:59"/>
    <x v="4"/>
    <x v="0"/>
    <n v="8"/>
    <n v="0"/>
    <n v="0"/>
    <n v="39.700000000000003"/>
    <n v="0"/>
    <n v="0.71399999999999997"/>
    <n v="0.70199999999999996"/>
    <n v="16997.080000000002"/>
    <x v="1"/>
    <n v="1"/>
    <n v="1"/>
    <n v="0"/>
    <n v="1"/>
    <n v="0"/>
    <n v="1"/>
    <n v="0"/>
    <x v="67"/>
    <x v="14"/>
    <n v="346.07"/>
    <n v="77.38"/>
    <x v="730"/>
    <n v="10.3"/>
    <n v="13.7"/>
  </r>
  <r>
    <n v="644738967"/>
    <n v="816751"/>
    <n v="3011363"/>
    <n v="9996"/>
    <x v="7"/>
    <n v="51145"/>
    <x v="3"/>
    <x v="144"/>
    <x v="144"/>
    <x v="735"/>
    <x v="742"/>
    <x v="741"/>
    <x v="148"/>
    <s v="TN"/>
    <s v="Nashville"/>
    <s v="NC"/>
    <s v="Raleigh"/>
    <x v="1"/>
    <n v="751684"/>
    <s v="101-300"/>
    <n v="174"/>
    <x v="413"/>
    <x v="38"/>
    <n v="184.3"/>
    <n v="213.1"/>
    <x v="0"/>
    <s v="3.47"/>
    <s v="10:00-13:59"/>
    <x v="5"/>
    <x v="0"/>
    <n v="-39"/>
    <n v="0"/>
    <n v="0"/>
    <n v="52"/>
    <n v="0"/>
    <n v="0.91300000000000003"/>
    <n v="0.54600000000000004"/>
    <n v="1742.91"/>
    <x v="0"/>
    <n v="1"/>
    <n v="1"/>
    <n v="0"/>
    <n v="1"/>
    <n v="0"/>
    <n v="1"/>
    <n v="0"/>
    <x v="21"/>
    <x v="24"/>
    <n v="154.41999999999999"/>
    <n v="35.840000000000003"/>
    <x v="731"/>
    <n v="13.3"/>
    <n v="33.200000000000003"/>
  </r>
  <r>
    <n v="944403809"/>
    <n v="791798"/>
    <n v="6539837"/>
    <n v="5433"/>
    <x v="9"/>
    <n v="54394"/>
    <x v="12"/>
    <x v="261"/>
    <x v="260"/>
    <x v="736"/>
    <x v="743"/>
    <x v="742"/>
    <x v="264"/>
    <s v="MO"/>
    <s v="Springfield"/>
    <s v="NY"/>
    <s v="Syracuse"/>
    <x v="3"/>
    <n v="739953"/>
    <s v="301-500"/>
    <n v="482"/>
    <x v="417"/>
    <x v="363"/>
    <n v="480.9"/>
    <n v="495.8"/>
    <x v="3"/>
    <s v="11.18"/>
    <s v="10:00-13:59"/>
    <x v="4"/>
    <x v="0"/>
    <n v="-37"/>
    <n v="0"/>
    <n v="0"/>
    <n v="29.3"/>
    <n v="0"/>
    <n v="0.872"/>
    <n v="0.58499999999999996"/>
    <n v="2276.44"/>
    <x v="0"/>
    <n v="1"/>
    <n v="1"/>
    <n v="0"/>
    <n v="1"/>
    <n v="0"/>
    <n v="1"/>
    <n v="0"/>
    <x v="56"/>
    <x v="58"/>
    <n v="442.98"/>
    <n v="61.49"/>
    <x v="732"/>
    <n v="11.5"/>
    <n v="32.9"/>
  </r>
  <r>
    <n v="645055605"/>
    <n v="245051"/>
    <n v="1739653"/>
    <n v="4763"/>
    <x v="7"/>
    <n v="57942"/>
    <x v="4"/>
    <x v="81"/>
    <x v="81"/>
    <x v="737"/>
    <x v="744"/>
    <x v="743"/>
    <x v="80"/>
    <s v="MI"/>
    <s v="Ann Arbor"/>
    <s v="IL"/>
    <s v="Springfield"/>
    <x v="0"/>
    <n v="748997"/>
    <s v="101-300"/>
    <n v="127"/>
    <x v="31"/>
    <x v="278"/>
    <n v="123.8"/>
    <n v="142.80000000000001"/>
    <x v="0"/>
    <s v="2.63"/>
    <s v="06:00-09:59"/>
    <x v="6"/>
    <x v="0"/>
    <n v="20"/>
    <n v="63"/>
    <n v="0.5"/>
    <n v="55.7"/>
    <n v="0"/>
    <n v="0.56000000000000005"/>
    <n v="0.57799999999999996"/>
    <n v="15680.3"/>
    <x v="1"/>
    <n v="1"/>
    <n v="0"/>
    <n v="1"/>
    <n v="0"/>
    <n v="1"/>
    <n v="0"/>
    <n v="1"/>
    <x v="18"/>
    <x v="65"/>
    <n v="92.11"/>
    <n v="19.55"/>
    <x v="733"/>
    <n v="12.9"/>
    <n v="68.3"/>
  </r>
  <r>
    <n v="695016134"/>
    <n v="260263"/>
    <n v="5674183"/>
    <n v="5736"/>
    <x v="7"/>
    <n v="57548"/>
    <x v="7"/>
    <x v="124"/>
    <x v="123"/>
    <x v="738"/>
    <x v="745"/>
    <x v="744"/>
    <x v="317"/>
    <s v="NJ"/>
    <s v="Paterson"/>
    <s v="PA"/>
    <s v="Allentown"/>
    <x v="3"/>
    <n v="778087"/>
    <s v="301-500"/>
    <n v="482"/>
    <x v="418"/>
    <x v="364"/>
    <n v="490.2"/>
    <n v="576.20000000000005"/>
    <x v="2"/>
    <s v="9.78"/>
    <s v="14:00-17:59"/>
    <x v="2"/>
    <x v="0"/>
    <n v="-24"/>
    <n v="0"/>
    <n v="0"/>
    <n v="87.8"/>
    <n v="0"/>
    <n v="0.318"/>
    <n v="0.83299999999999996"/>
    <n v="7408.9"/>
    <x v="0"/>
    <n v="1"/>
    <n v="1"/>
    <n v="0"/>
    <n v="1"/>
    <n v="0"/>
    <n v="1"/>
    <n v="0"/>
    <x v="59"/>
    <x v="33"/>
    <n v="469.07"/>
    <n v="80.08"/>
    <x v="734"/>
    <n v="30.8"/>
    <n v="28.4"/>
  </r>
  <r>
    <n v="121833792"/>
    <n v="330283"/>
    <n v="6304573"/>
    <n v="8035"/>
    <x v="3"/>
    <n v="50560"/>
    <x v="9"/>
    <x v="9"/>
    <x v="9"/>
    <x v="739"/>
    <x v="746"/>
    <x v="745"/>
    <x v="49"/>
    <s v="MI"/>
    <s v="Detroit"/>
    <s v="MI"/>
    <s v="Flint"/>
    <x v="0"/>
    <n v="711807"/>
    <s v="301-500"/>
    <n v="325"/>
    <x v="181"/>
    <x v="145"/>
    <n v="320"/>
    <n v="365.5"/>
    <x v="0"/>
    <s v="7.16"/>
    <s v="18:00-23:59"/>
    <x v="4"/>
    <x v="0"/>
    <n v="-59"/>
    <n v="0"/>
    <n v="0"/>
    <n v="70"/>
    <n v="0"/>
    <n v="0.438"/>
    <n v="0.55700000000000005"/>
    <n v="113243.91"/>
    <x v="2"/>
    <n v="1"/>
    <n v="1"/>
    <n v="0"/>
    <n v="1"/>
    <n v="0"/>
    <n v="1"/>
    <n v="0"/>
    <x v="28"/>
    <x v="19"/>
    <n v="273.01"/>
    <n v="80.069999999999993"/>
    <x v="735"/>
    <n v="36.299999999999997"/>
    <n v="27.9"/>
  </r>
  <r>
    <n v="519246503"/>
    <n v="575435"/>
    <n v="9436429"/>
    <n v="7736"/>
    <x v="9"/>
    <n v="51912"/>
    <x v="7"/>
    <x v="22"/>
    <x v="22"/>
    <x v="740"/>
    <x v="747"/>
    <x v="746"/>
    <x v="318"/>
    <s v="GA"/>
    <s v="Savannah"/>
    <s v="NC"/>
    <s v="Greensboro"/>
    <x v="1"/>
    <n v="763999"/>
    <s v="101-300"/>
    <n v="122"/>
    <x v="386"/>
    <x v="193"/>
    <n v="120.5"/>
    <n v="162.1"/>
    <x v="1"/>
    <s v="9.66 hrs"/>
    <s v="00:00-05:59"/>
    <x v="3"/>
    <x v="3"/>
    <n v="408"/>
    <n v="53"/>
    <n v="0"/>
    <n v="64.3"/>
    <n v="0"/>
    <n v="0.72199999999999998"/>
    <n v="0.67100000000000004"/>
    <n v="90377.23"/>
    <x v="2"/>
    <n v="1"/>
    <n v="0"/>
    <n v="1"/>
    <n v="0"/>
    <n v="1"/>
    <n v="0"/>
    <n v="1"/>
    <x v="68"/>
    <x v="49"/>
    <n v="145.32"/>
    <n v="32.83"/>
    <x v="736"/>
    <n v="17.2"/>
    <n v="21.5"/>
  </r>
  <r>
    <n v="604803700"/>
    <n v="731262"/>
    <n v="4594297"/>
    <n v="3558"/>
    <x v="5"/>
    <n v="51864"/>
    <x v="11"/>
    <x v="317"/>
    <x v="317"/>
    <x v="741"/>
    <x v="748"/>
    <x v="747"/>
    <x v="19"/>
    <s v="NC"/>
    <s v="Greensboro"/>
    <s v="NC"/>
    <s v="Durham"/>
    <x v="1"/>
    <n v="752322"/>
    <s v="301-500"/>
    <n v="437"/>
    <x v="351"/>
    <x v="365"/>
    <n v="440.4"/>
    <n v="537.20000000000005"/>
    <x v="2"/>
    <s v="8.27"/>
    <s v="18:00-23:59"/>
    <x v="4"/>
    <x v="0"/>
    <n v="-18"/>
    <n v="0"/>
    <n v="0"/>
    <n v="62.7"/>
    <n v="0"/>
    <n v="0.51900000000000002"/>
    <n v="0.72"/>
    <n v="14992.49"/>
    <x v="1"/>
    <n v="1"/>
    <n v="1"/>
    <n v="0"/>
    <n v="1"/>
    <n v="0"/>
    <n v="1"/>
    <n v="0"/>
    <x v="11"/>
    <x v="25"/>
    <n v="482.71"/>
    <n v="107.72"/>
    <x v="737"/>
    <n v="10"/>
    <n v="75.599999999999994"/>
  </r>
  <r>
    <n v="146744734"/>
    <n v="867460"/>
    <n v="5273534"/>
    <n v="6539"/>
    <x v="1"/>
    <n v="50296"/>
    <x v="6"/>
    <x v="295"/>
    <x v="295"/>
    <x v="742"/>
    <x v="749"/>
    <x v="748"/>
    <x v="319"/>
    <s v="FL"/>
    <s v="Miami"/>
    <s v="OH"/>
    <s v="Dayton"/>
    <x v="0"/>
    <n v="756614"/>
    <s v="101-300"/>
    <n v="206"/>
    <x v="235"/>
    <x v="244"/>
    <n v="210"/>
    <n v="251.3"/>
    <x v="0"/>
    <s v="4.95"/>
    <s v="10:00-13:59"/>
    <x v="5"/>
    <x v="0"/>
    <n v="-31"/>
    <n v="0"/>
    <n v="0"/>
    <n v="17.100000000000001"/>
    <n v="0"/>
    <n v="0.70199999999999996"/>
    <n v="0.44"/>
    <n v="17057.25"/>
    <x v="1"/>
    <n v="1"/>
    <n v="1"/>
    <n v="0"/>
    <n v="1"/>
    <n v="0"/>
    <n v="1"/>
    <n v="0"/>
    <x v="52"/>
    <x v="67"/>
    <n v="215.01"/>
    <n v="40.619999999999997"/>
    <x v="738"/>
    <n v="31.7"/>
    <n v="21.6"/>
  </r>
  <r>
    <n v="782546314"/>
    <n v="211579"/>
    <n v="6866294"/>
    <n v="2734"/>
    <x v="9"/>
    <n v="52409"/>
    <x v="9"/>
    <x v="235"/>
    <x v="234"/>
    <x v="743"/>
    <x v="750"/>
    <x v="749"/>
    <x v="293"/>
    <s v="AZ"/>
    <s v="Tucson"/>
    <s v="AZ"/>
    <s v="Tempe"/>
    <x v="2"/>
    <n v="742558"/>
    <s v="101-300"/>
    <n v="300"/>
    <x v="152"/>
    <x v="366"/>
    <n v="295.2"/>
    <n v="355.4"/>
    <x v="0"/>
    <s v="4.31"/>
    <s v="06:00-09:59"/>
    <x v="3"/>
    <x v="0"/>
    <n v="-45"/>
    <n v="0"/>
    <n v="0"/>
    <n v="53"/>
    <n v="0"/>
    <n v="0.41099999999999998"/>
    <n v="0.49399999999999999"/>
    <n v="7106.81"/>
    <x v="1"/>
    <n v="1"/>
    <n v="1"/>
    <n v="0"/>
    <n v="1"/>
    <n v="0"/>
    <n v="1"/>
    <n v="0"/>
    <x v="63"/>
    <x v="22"/>
    <n v="230.85"/>
    <n v="55.45"/>
    <x v="739"/>
    <n v="9.3000000000000007"/>
    <n v="5.3"/>
  </r>
  <r>
    <n v="515410649"/>
    <n v="325772"/>
    <n v="9997381"/>
    <n v="8099"/>
    <x v="8"/>
    <n v="57630"/>
    <x v="13"/>
    <x v="36"/>
    <x v="36"/>
    <x v="744"/>
    <x v="751"/>
    <x v="750"/>
    <x v="35"/>
    <s v="WA"/>
    <s v="Everett"/>
    <s v="NJ"/>
    <s v="Paterson"/>
    <x v="3"/>
    <n v="774899"/>
    <s v="101-300"/>
    <n v="183"/>
    <x v="419"/>
    <x v="226"/>
    <n v="184.6"/>
    <n v="258.39999999999998"/>
    <x v="2"/>
    <s v="3.8"/>
    <s v="18:00-23:59"/>
    <x v="1"/>
    <x v="0"/>
    <n v="-19"/>
    <n v="0"/>
    <n v="0"/>
    <n v="54.5"/>
    <n v="0"/>
    <n v="0.68799999999999994"/>
    <n v="0.58399999999999996"/>
    <n v="5520.8"/>
    <x v="0"/>
    <n v="1"/>
    <n v="1"/>
    <n v="0"/>
    <n v="1"/>
    <n v="0"/>
    <n v="1"/>
    <n v="0"/>
    <x v="54"/>
    <x v="3"/>
    <n v="162.12"/>
    <n v="28.01"/>
    <x v="740"/>
    <n v="4.7"/>
    <n v="22.1"/>
  </r>
  <r>
    <n v="500830389"/>
    <n v="520651"/>
    <n v="5098412"/>
    <n v="7892"/>
    <x v="1"/>
    <n v="51461"/>
    <x v="13"/>
    <x v="112"/>
    <x v="111"/>
    <x v="745"/>
    <x v="752"/>
    <x v="751"/>
    <x v="111"/>
    <s v="PA"/>
    <s v="Pittsburgh"/>
    <s v="NY"/>
    <s v="Albany"/>
    <x v="3"/>
    <n v="775399"/>
    <s v="301-500"/>
    <n v="356"/>
    <x v="189"/>
    <x v="125"/>
    <n v="354.3"/>
    <n v="387.1"/>
    <x v="0"/>
    <s v="5.8"/>
    <s v="10:00-13:59"/>
    <x v="2"/>
    <x v="0"/>
    <n v="-9"/>
    <n v="0"/>
    <n v="0"/>
    <n v="57.3"/>
    <n v="0"/>
    <n v="0.74099999999999999"/>
    <n v="0.57199999999999995"/>
    <n v="5452.05"/>
    <x v="0"/>
    <n v="1"/>
    <n v="1"/>
    <n v="0"/>
    <n v="1"/>
    <n v="0"/>
    <n v="1"/>
    <n v="0"/>
    <x v="2"/>
    <x v="57"/>
    <n v="255.86"/>
    <n v="47.88"/>
    <x v="741"/>
    <n v="45.8"/>
    <n v="65.5"/>
  </r>
  <r>
    <n v="372354893"/>
    <n v="905635"/>
    <n v="2677407"/>
    <n v="3790"/>
    <x v="4"/>
    <n v="54292"/>
    <x v="6"/>
    <x v="178"/>
    <x v="177"/>
    <x v="746"/>
    <x v="753"/>
    <x v="752"/>
    <x v="183"/>
    <s v="GA"/>
    <s v="Augusta"/>
    <s v="AZ"/>
    <s v="Tempe"/>
    <x v="2"/>
    <n v="719605"/>
    <s v="101-300"/>
    <n v="212"/>
    <x v="420"/>
    <x v="367"/>
    <n v="201.9"/>
    <n v="255.2"/>
    <x v="0"/>
    <s v="4.22"/>
    <s v="06:00-09:59"/>
    <x v="1"/>
    <x v="0"/>
    <n v="-7"/>
    <n v="0"/>
    <n v="0"/>
    <n v="49.9"/>
    <n v="0"/>
    <n v="0.81599999999999995"/>
    <n v="0.71199999999999997"/>
    <n v="16191.14"/>
    <x v="1"/>
    <n v="1"/>
    <n v="1"/>
    <n v="0"/>
    <n v="1"/>
    <n v="0"/>
    <n v="1"/>
    <n v="0"/>
    <x v="54"/>
    <x v="34"/>
    <n v="182.86"/>
    <n v="52.94"/>
    <x v="742"/>
    <n v="27.7"/>
    <n v="18.100000000000001"/>
  </r>
  <r>
    <n v="902425085"/>
    <n v="479580"/>
    <n v="8106422"/>
    <n v="2495"/>
    <x v="5"/>
    <n v="52268"/>
    <x v="2"/>
    <x v="37"/>
    <x v="37"/>
    <x v="747"/>
    <x v="754"/>
    <x v="753"/>
    <x v="36"/>
    <s v="MI"/>
    <s v="Detroit"/>
    <s v="CO"/>
    <s v="Denver"/>
    <x v="2"/>
    <n v="711743"/>
    <s v="0-100"/>
    <n v="61"/>
    <x v="22"/>
    <x v="122"/>
    <n v="58.2"/>
    <n v="107.6"/>
    <x v="0"/>
    <s v="1.65"/>
    <s v="06:00-09:59"/>
    <x v="6"/>
    <x v="0"/>
    <n v="-27"/>
    <n v="0"/>
    <n v="0"/>
    <n v="55"/>
    <n v="0"/>
    <n v="0.48499999999999999"/>
    <n v="0.504"/>
    <n v="6120.64"/>
    <x v="1"/>
    <n v="1"/>
    <n v="1"/>
    <n v="0"/>
    <n v="1"/>
    <n v="0"/>
    <n v="1"/>
    <n v="0"/>
    <x v="109"/>
    <x v="88"/>
    <n v="74.510000000000005"/>
    <n v="17.55"/>
    <x v="743"/>
    <n v="9.6999999999999993"/>
    <n v="55.8"/>
  </r>
  <r>
    <n v="117439966"/>
    <n v="377932"/>
    <n v="9508103"/>
    <n v="6699"/>
    <x v="2"/>
    <n v="50994"/>
    <x v="12"/>
    <x v="318"/>
    <x v="318"/>
    <x v="748"/>
    <x v="755"/>
    <x v="754"/>
    <x v="320"/>
    <s v="WA"/>
    <s v="Spokane"/>
    <s v="OH"/>
    <s v="Cleveland"/>
    <x v="0"/>
    <n v="785905"/>
    <s v="301-500"/>
    <n v="369"/>
    <x v="391"/>
    <x v="92"/>
    <n v="359.2"/>
    <n v="395"/>
    <x v="3"/>
    <s v="6.32"/>
    <s v="06:00-09:59"/>
    <x v="0"/>
    <x v="0"/>
    <n v="-40"/>
    <n v="0"/>
    <n v="0"/>
    <n v="21.9"/>
    <n v="0"/>
    <n v="0.60399999999999998"/>
    <n v="0.79300000000000004"/>
    <n v="90062.87"/>
    <x v="2"/>
    <n v="1"/>
    <n v="1"/>
    <n v="0"/>
    <n v="1"/>
    <n v="0"/>
    <n v="1"/>
    <n v="0"/>
    <x v="27"/>
    <x v="23"/>
    <n v="288.72000000000003"/>
    <n v="86.3"/>
    <x v="744"/>
    <n v="13.9"/>
    <n v="29.5"/>
  </r>
  <r>
    <n v="483426624"/>
    <n v="249811"/>
    <n v="2795765"/>
    <n v="8392"/>
    <x v="2"/>
    <n v="56554"/>
    <x v="11"/>
    <x v="1"/>
    <x v="1"/>
    <x v="749"/>
    <x v="756"/>
    <x v="755"/>
    <x v="1"/>
    <s v="PA"/>
    <s v="Pittsburgh"/>
    <s v="NJ"/>
    <s v="Trenton"/>
    <x v="3"/>
    <n v="778005"/>
    <s v="0-100"/>
    <n v="82"/>
    <x v="236"/>
    <x v="368"/>
    <n v="78"/>
    <n v="88.1"/>
    <x v="0"/>
    <s v="0.97"/>
    <s v="14:00-17:59"/>
    <x v="1"/>
    <x v="0"/>
    <n v="-32"/>
    <n v="0"/>
    <n v="0.3"/>
    <n v="42.4"/>
    <n v="0"/>
    <n v="0.71599999999999997"/>
    <n v="0.76800000000000002"/>
    <n v="93191.52"/>
    <x v="2"/>
    <n v="1"/>
    <n v="1"/>
    <n v="0"/>
    <n v="1"/>
    <n v="0"/>
    <n v="1"/>
    <n v="0"/>
    <x v="0"/>
    <x v="77"/>
    <n v="58.4"/>
    <n v="15.07"/>
    <x v="745"/>
    <n v="11.1"/>
    <n v="18.7"/>
  </r>
  <r>
    <n v="946666926"/>
    <n v="322955"/>
    <n v="1131249"/>
    <n v="6915"/>
    <x v="0"/>
    <n v="50007"/>
    <x v="7"/>
    <x v="143"/>
    <x v="143"/>
    <x v="750"/>
    <x v="757"/>
    <x v="756"/>
    <x v="147"/>
    <s v="WA"/>
    <s v="Everett"/>
    <s v="WA"/>
    <s v="Everett"/>
    <x v="2"/>
    <n v="745653"/>
    <s v="0-100"/>
    <n v="88"/>
    <x v="209"/>
    <x v="369"/>
    <n v="80.8"/>
    <n v="145.1"/>
    <x v="0"/>
    <s v="2.0"/>
    <s v="10:00-13:59"/>
    <x v="6"/>
    <x v="0"/>
    <n v="-59"/>
    <n v="0"/>
    <n v="0"/>
    <n v="43.4"/>
    <n v="0"/>
    <n v="0.86799999999999999"/>
    <n v="0.627"/>
    <n v="3614.39"/>
    <x v="0"/>
    <n v="1"/>
    <n v="1"/>
    <n v="0"/>
    <n v="1"/>
    <n v="0"/>
    <n v="1"/>
    <n v="0"/>
    <x v="42"/>
    <x v="58"/>
    <n v="122.72"/>
    <n v="21.08"/>
    <x v="746"/>
    <n v="31.4"/>
    <n v="52.8"/>
  </r>
  <r>
    <n v="172541521"/>
    <n v="872246"/>
    <n v="4860684"/>
    <n v="6578"/>
    <x v="5"/>
    <n v="52515"/>
    <x v="14"/>
    <x v="179"/>
    <x v="178"/>
    <x v="751"/>
    <x v="758"/>
    <x v="757"/>
    <x v="48"/>
    <s v="OH"/>
    <s v="Cleveland"/>
    <s v="TN"/>
    <s v="Nashville"/>
    <x v="1"/>
    <n v="736170"/>
    <s v="101-300"/>
    <n v="288"/>
    <x v="103"/>
    <x v="354"/>
    <n v="292.60000000000002"/>
    <n v="301.3"/>
    <x v="2"/>
    <s v="4.51 hrs"/>
    <s v="18:00-23:59"/>
    <x v="3"/>
    <x v="0"/>
    <n v="-44"/>
    <n v="0"/>
    <n v="0"/>
    <n v="16"/>
    <n v="0"/>
    <n v="0.73099999999999998"/>
    <n v="0.52800000000000002"/>
    <n v="20873.21"/>
    <x v="1"/>
    <n v="1"/>
    <n v="1"/>
    <n v="0"/>
    <n v="1"/>
    <n v="0"/>
    <n v="1"/>
    <n v="0"/>
    <x v="69"/>
    <x v="50"/>
    <n v="263.20999999999998"/>
    <n v="40.04"/>
    <x v="747"/>
    <n v="41.8"/>
    <n v="13.7"/>
  </r>
  <r>
    <n v="470228863"/>
    <n v="719176"/>
    <n v="2130789"/>
    <n v="6311"/>
    <x v="8"/>
    <n v="51417"/>
    <x v="5"/>
    <x v="319"/>
    <x v="319"/>
    <x v="752"/>
    <x v="759"/>
    <x v="758"/>
    <x v="303"/>
    <s v="GA"/>
    <s v="Columbus"/>
    <s v="TN"/>
    <s v="Nashville"/>
    <x v="1"/>
    <n v="780997"/>
    <s v="101-300"/>
    <n v="314"/>
    <x v="421"/>
    <x v="203"/>
    <n v="315.8"/>
    <n v="373.3"/>
    <x v="0"/>
    <s v="6.19"/>
    <s v="06:00-09:59"/>
    <x v="5"/>
    <x v="0"/>
    <n v="-42"/>
    <n v="0"/>
    <n v="0"/>
    <n v="50.5"/>
    <n v="0"/>
    <n v="0.68500000000000005"/>
    <n v="0.54700000000000004"/>
    <n v="9236.66"/>
    <x v="1"/>
    <n v="1"/>
    <n v="1"/>
    <n v="0"/>
    <n v="1"/>
    <n v="0"/>
    <n v="1"/>
    <n v="0"/>
    <x v="81"/>
    <x v="56"/>
    <n v="286.08999999999997"/>
    <n v="78.47"/>
    <x v="748"/>
    <n v="17"/>
    <n v="40.6"/>
  </r>
  <r>
    <n v="358906986"/>
    <n v="197251"/>
    <n v="4078418"/>
    <n v="2585"/>
    <x v="4"/>
    <n v="52316"/>
    <x v="1"/>
    <x v="74"/>
    <x v="74"/>
    <x v="753"/>
    <x v="760"/>
    <x v="759"/>
    <x v="73"/>
    <s v="NC"/>
    <s v="Durham"/>
    <s v="NC"/>
    <s v="Raleigh"/>
    <x v="1"/>
    <n v="752322"/>
    <s v="101-300"/>
    <n v="162"/>
    <x v="422"/>
    <x v="256"/>
    <n v="171.2"/>
    <n v="235.5"/>
    <x v="0"/>
    <s v="4.43"/>
    <s v="06:00-09:59"/>
    <x v="5"/>
    <x v="0"/>
    <n v="1"/>
    <n v="0"/>
    <n v="0"/>
    <n v="63"/>
    <n v="0"/>
    <n v="0.66600000000000004"/>
    <n v="0.81799999999999995"/>
    <n v="62079.93"/>
    <x v="2"/>
    <n v="1"/>
    <n v="1"/>
    <n v="0"/>
    <n v="1"/>
    <n v="0"/>
    <n v="1"/>
    <n v="0"/>
    <x v="21"/>
    <x v="66"/>
    <n v="213.59"/>
    <n v="34.03"/>
    <x v="749"/>
    <n v="11.9"/>
    <n v="25.2"/>
  </r>
  <r>
    <n v="886989426"/>
    <n v="246316"/>
    <n v="1352896"/>
    <n v="5426"/>
    <x v="7"/>
    <n v="57358"/>
    <x v="3"/>
    <x v="218"/>
    <x v="217"/>
    <x v="754"/>
    <x v="761"/>
    <x v="760"/>
    <x v="262"/>
    <s v="NC"/>
    <s v="Wilmington"/>
    <s v="NJ"/>
    <s v="Trenton"/>
    <x v="3"/>
    <n v="799317"/>
    <s v="0-100"/>
    <n v="84"/>
    <x v="404"/>
    <x v="117"/>
    <n v="78.5"/>
    <n v="103.5"/>
    <x v="0"/>
    <s v="1.81"/>
    <s v="00:00-05:59"/>
    <x v="6"/>
    <x v="0"/>
    <n v="1"/>
    <n v="0"/>
    <n v="0"/>
    <n v="85.1"/>
    <n v="0"/>
    <n v="0.54900000000000004"/>
    <n v="0.78900000000000003"/>
    <n v="4999.45"/>
    <x v="0"/>
    <n v="1"/>
    <n v="1"/>
    <n v="0"/>
    <n v="1"/>
    <n v="0"/>
    <n v="1"/>
    <n v="0"/>
    <x v="46"/>
    <x v="13"/>
    <n v="67.91"/>
    <n v="12.17"/>
    <x v="750"/>
    <n v="28.1"/>
    <n v="1.6"/>
  </r>
  <r>
    <n v="805560474"/>
    <n v="555884"/>
    <n v="7907400"/>
    <n v="7287"/>
    <x v="5"/>
    <n v="53932"/>
    <x v="8"/>
    <x v="282"/>
    <x v="281"/>
    <x v="755"/>
    <x v="762"/>
    <x v="761"/>
    <x v="257"/>
    <s v="FL"/>
    <s v="Tampa"/>
    <s v="PA"/>
    <s v="Pittsburgh"/>
    <x v="3"/>
    <n v="798350"/>
    <s v="501-1000"/>
    <n v="704"/>
    <x v="207"/>
    <x v="277"/>
    <n v="704.7"/>
    <n v="741.3"/>
    <x v="0"/>
    <s v="16.03"/>
    <s v="10:00-13:59"/>
    <x v="2"/>
    <x v="0"/>
    <n v="29"/>
    <n v="0"/>
    <n v="0"/>
    <n v="61.7"/>
    <n v="0"/>
    <n v="0.69699999999999995"/>
    <n v="0.71899999999999997"/>
    <n v="15659.04"/>
    <x v="1"/>
    <n v="1"/>
    <n v="0"/>
    <n v="1"/>
    <n v="0"/>
    <n v="1"/>
    <n v="0"/>
    <n v="1"/>
    <x v="61"/>
    <x v="60"/>
    <n v="483.14"/>
    <n v="98.88"/>
    <x v="751"/>
    <n v="19.5"/>
    <n v="77.7"/>
  </r>
  <r>
    <n v="774585778"/>
    <n v="814825"/>
    <n v="7817881"/>
    <n v="9958"/>
    <x v="1"/>
    <n v="56204"/>
    <x v="2"/>
    <x v="159"/>
    <x v="159"/>
    <x v="756"/>
    <x v="763"/>
    <x v="762"/>
    <x v="321"/>
    <s v="PA"/>
    <s v="Erie"/>
    <s v="NC"/>
    <s v="Charlotte"/>
    <x v="1"/>
    <n v="770769"/>
    <s v="301-500"/>
    <n v="445"/>
    <x v="205"/>
    <x v="201"/>
    <n v="438.4"/>
    <n v="450.7"/>
    <x v="0"/>
    <s v="11.68"/>
    <s v="18:00-23:59"/>
    <x v="3"/>
    <x v="0"/>
    <n v="-13"/>
    <n v="0"/>
    <n v="0"/>
    <n v="82"/>
    <n v="0"/>
    <n v="0.50800000000000001"/>
    <n v="0.58699999999999997"/>
    <n v="5970.7"/>
    <x v="0"/>
    <n v="1"/>
    <n v="1"/>
    <n v="0"/>
    <n v="1"/>
    <n v="0"/>
    <n v="1"/>
    <n v="0"/>
    <x v="1"/>
    <x v="10"/>
    <n v="306.52999999999997"/>
    <n v="79.989999999999995"/>
    <x v="752"/>
    <n v="11.6"/>
    <n v="23.5"/>
  </r>
  <r>
    <n v="211308231"/>
    <n v="331148"/>
    <n v="8231838"/>
    <n v="8734"/>
    <x v="1"/>
    <n v="51287"/>
    <x v="1"/>
    <x v="254"/>
    <x v="253"/>
    <x v="757"/>
    <x v="764"/>
    <x v="763"/>
    <x v="253"/>
    <s v="NJ"/>
    <s v="Jersey City"/>
    <s v="MO"/>
    <s v="Columbia"/>
    <x v="0"/>
    <n v="712499"/>
    <s v="101-300"/>
    <n v="207"/>
    <x v="30"/>
    <x v="252"/>
    <n v="203.2"/>
    <n v="233.2"/>
    <x v="0"/>
    <s v="3.79"/>
    <s v="14:00-17:59"/>
    <x v="0"/>
    <x v="0"/>
    <n v="-29"/>
    <n v="0"/>
    <n v="0"/>
    <n v="47.4"/>
    <n v="0"/>
    <n v="0.94099999999999995"/>
    <n v="0.66"/>
    <n v="1160.17"/>
    <x v="0"/>
    <n v="1"/>
    <n v="1"/>
    <n v="0"/>
    <n v="1"/>
    <n v="0"/>
    <n v="1"/>
    <n v="0"/>
    <x v="8"/>
    <x v="31"/>
    <n v="213.28"/>
    <n v="27.04"/>
    <x v="753"/>
    <n v="5.8"/>
    <n v="18.3"/>
  </r>
  <r>
    <n v="928393291"/>
    <n v="439902"/>
    <n v="2935113"/>
    <n v="9815"/>
    <x v="6"/>
    <n v="51118"/>
    <x v="12"/>
    <x v="228"/>
    <x v="227"/>
    <x v="758"/>
    <x v="765"/>
    <x v="764"/>
    <x v="166"/>
    <s v="GA"/>
    <s v="Atlanta"/>
    <s v="NJ"/>
    <s v="Elizabeth"/>
    <x v="3"/>
    <n v="706957"/>
    <s v="101-300"/>
    <n v="318"/>
    <x v="233"/>
    <x v="102"/>
    <n v="315.60000000000002"/>
    <n v="389.9"/>
    <x v="0"/>
    <s v="4.91"/>
    <s v="06:00-09:59"/>
    <x v="0"/>
    <x v="0"/>
    <n v="-18"/>
    <n v="0"/>
    <n v="0"/>
    <n v="37.4"/>
    <n v="0"/>
    <n v="0.85299999999999998"/>
    <n v="0.497"/>
    <n v="2070.42"/>
    <x v="0"/>
    <n v="1"/>
    <n v="1"/>
    <n v="0"/>
    <n v="1"/>
    <n v="0"/>
    <n v="1"/>
    <n v="0"/>
    <x v="52"/>
    <x v="91"/>
    <n v="290.45999999999998"/>
    <n v="43.27"/>
    <x v="754"/>
    <n v="45.7"/>
    <n v="40.200000000000003"/>
  </r>
  <r>
    <n v="724813934"/>
    <n v="391369"/>
    <n v="4214348"/>
    <n v="7235"/>
    <x v="6"/>
    <n v="58744"/>
    <x v="13"/>
    <x v="96"/>
    <x v="96"/>
    <x v="759"/>
    <x v="766"/>
    <x v="765"/>
    <x v="95"/>
    <s v="PA"/>
    <s v="Harrisburg"/>
    <s v="NC"/>
    <s v="Charlotte"/>
    <x v="1"/>
    <n v="770769"/>
    <s v="101-300"/>
    <n v="261"/>
    <x v="402"/>
    <x v="101"/>
    <n v="272.8"/>
    <n v="312.89999999999998"/>
    <x v="4"/>
    <s v="3.98"/>
    <s v="18:00-23:59"/>
    <x v="4"/>
    <x v="0"/>
    <n v="-22"/>
    <n v="0"/>
    <n v="1.1000000000000001"/>
    <n v="47"/>
    <n v="0"/>
    <n v="0.52500000000000002"/>
    <n v="0.85299999999999998"/>
    <n v="41514.28"/>
    <x v="2"/>
    <n v="1"/>
    <n v="1"/>
    <n v="0"/>
    <n v="1"/>
    <n v="0"/>
    <n v="1"/>
    <n v="0"/>
    <x v="64"/>
    <x v="1"/>
    <n v="280.74"/>
    <n v="48.47"/>
    <x v="755"/>
    <n v="45.2"/>
    <n v="5"/>
  </r>
  <r>
    <n v="889401015"/>
    <n v="705397"/>
    <n v="5449368"/>
    <n v="5859"/>
    <x v="1"/>
    <n v="57637"/>
    <x v="10"/>
    <x v="266"/>
    <x v="265"/>
    <x v="760"/>
    <x v="767"/>
    <x v="766"/>
    <x v="274"/>
    <s v="PA"/>
    <s v="Allentown"/>
    <s v="PA"/>
    <s v="Pittsburgh"/>
    <x v="3"/>
    <n v="739365"/>
    <s v="101-300"/>
    <n v="309"/>
    <x v="400"/>
    <x v="327"/>
    <n v="311.2"/>
    <n v="347.8"/>
    <x v="2"/>
    <s v="5.65"/>
    <s v="14:00-17:59"/>
    <x v="6"/>
    <x v="0"/>
    <n v="-32"/>
    <n v="0"/>
    <n v="0"/>
    <n v="56.3"/>
    <n v="0"/>
    <n v="0.47199999999999998"/>
    <n v="0.81299999999999994"/>
    <n v="22466.03"/>
    <x v="1"/>
    <n v="1"/>
    <n v="1"/>
    <n v="0"/>
    <n v="1"/>
    <n v="0"/>
    <n v="1"/>
    <n v="0"/>
    <x v="27"/>
    <x v="88"/>
    <n v="236.71"/>
    <n v="38.270000000000003"/>
    <x v="756"/>
    <n v="11.4"/>
    <n v="35.6"/>
  </r>
  <r>
    <n v="912477810"/>
    <n v="145561"/>
    <n v="2564689"/>
    <n v="1161"/>
    <x v="3"/>
    <n v="50660"/>
    <x v="12"/>
    <x v="116"/>
    <x v="115"/>
    <x v="761"/>
    <x v="768"/>
    <x v="767"/>
    <x v="116"/>
    <s v="NC"/>
    <s v="Charlotte"/>
    <s v="OH"/>
    <s v="Columbus"/>
    <x v="0"/>
    <n v="786898"/>
    <s v="0-100"/>
    <n v="95"/>
    <x v="423"/>
    <x v="14"/>
    <n v="94.2"/>
    <n v="134.69999999999999"/>
    <x v="0"/>
    <s v="2.09"/>
    <s v="00:00-05:59"/>
    <x v="6"/>
    <x v="0"/>
    <n v="-11"/>
    <n v="0"/>
    <n v="0"/>
    <n v="57.3"/>
    <n v="0"/>
    <n v="0.86099999999999999"/>
    <n v="0.71299999999999997"/>
    <n v="19908.2"/>
    <x v="1"/>
    <n v="1"/>
    <n v="1"/>
    <n v="0"/>
    <n v="1"/>
    <n v="0"/>
    <n v="1"/>
    <n v="0"/>
    <x v="68"/>
    <x v="26"/>
    <n v="117.71"/>
    <n v="19.82"/>
    <x v="757"/>
    <n v="5.6"/>
    <n v="0"/>
  </r>
  <r>
    <n v="457039137"/>
    <n v="974628"/>
    <n v="3641282"/>
    <n v="6892"/>
    <x v="0"/>
    <n v="58907"/>
    <x v="4"/>
    <x v="212"/>
    <x v="211"/>
    <x v="762"/>
    <x v="769"/>
    <x v="768"/>
    <x v="254"/>
    <s v="MI"/>
    <s v="Detroit"/>
    <s v="NC"/>
    <s v="Wilmington"/>
    <x v="1"/>
    <n v="702136"/>
    <s v="101-300"/>
    <n v="299"/>
    <x v="424"/>
    <x v="289"/>
    <n v="305.5"/>
    <n v="349.4"/>
    <x v="0"/>
    <s v="10.45"/>
    <s v="14:00-17:59"/>
    <x v="2"/>
    <x v="4"/>
    <n v="174"/>
    <n v="233"/>
    <n v="0"/>
    <n v="52.9"/>
    <n v="0"/>
    <n v="0.53800000000000003"/>
    <n v="0.2"/>
    <n v="1492.24"/>
    <x v="0"/>
    <n v="1"/>
    <n v="0"/>
    <n v="1"/>
    <n v="0"/>
    <n v="1"/>
    <n v="0"/>
    <n v="1"/>
    <x v="24"/>
    <x v="67"/>
    <n v="249.12"/>
    <n v="48.47"/>
    <x v="758"/>
    <n v="1.4"/>
    <n v="6.3"/>
  </r>
  <r>
    <n v="243247463"/>
    <n v="581741"/>
    <n v="3790237"/>
    <n v="1995"/>
    <x v="5"/>
    <n v="56922"/>
    <x v="13"/>
    <x v="259"/>
    <x v="258"/>
    <x v="763"/>
    <x v="770"/>
    <x v="769"/>
    <x v="259"/>
    <s v="WA"/>
    <s v="Vancouver"/>
    <s v="CA"/>
    <s v="Fresno"/>
    <x v="2"/>
    <n v="786520"/>
    <s v="301-500"/>
    <n v="477"/>
    <x v="398"/>
    <x v="370"/>
    <n v="481"/>
    <n v="530.4"/>
    <x v="2"/>
    <s v="8.29"/>
    <s v="06:00-09:59"/>
    <x v="6"/>
    <x v="0"/>
    <n v="-20"/>
    <n v="0"/>
    <n v="0"/>
    <n v="51.6"/>
    <n v="0"/>
    <n v="0.65200000000000002"/>
    <n v="0.748"/>
    <n v="13486.73"/>
    <x v="1"/>
    <n v="1"/>
    <n v="1"/>
    <n v="0"/>
    <n v="1"/>
    <n v="0"/>
    <n v="1"/>
    <n v="0"/>
    <x v="46"/>
    <x v="6"/>
    <n v="445.71"/>
    <n v="77.959999999999994"/>
    <x v="759"/>
    <n v="17.5"/>
    <n v="34.9"/>
  </r>
  <r>
    <n v="147605080"/>
    <n v="905635"/>
    <n v="2677407"/>
    <n v="3790"/>
    <x v="4"/>
    <n v="58104"/>
    <x v="7"/>
    <x v="144"/>
    <x v="144"/>
    <x v="764"/>
    <x v="771"/>
    <x v="770"/>
    <x v="148"/>
    <s v="TN"/>
    <s v="Memphis"/>
    <s v="AZ"/>
    <s v="Tucson"/>
    <x v="2"/>
    <n v="760943"/>
    <s v="101-300"/>
    <n v="203"/>
    <x v="425"/>
    <x v="105"/>
    <n v="202.7"/>
    <n v="238.2"/>
    <x v="0"/>
    <s v="4.59"/>
    <s v="06:00-09:59"/>
    <x v="5"/>
    <x v="0"/>
    <n v="-24"/>
    <n v="0"/>
    <n v="0"/>
    <n v="65.400000000000006"/>
    <n v="0"/>
    <n v="0.60599999999999998"/>
    <n v="0.45300000000000001"/>
    <n v="27154.53"/>
    <x v="2"/>
    <n v="1"/>
    <n v="1"/>
    <n v="0"/>
    <n v="1"/>
    <n v="0"/>
    <n v="1"/>
    <n v="0"/>
    <x v="13"/>
    <x v="65"/>
    <n v="217.32"/>
    <n v="37.76"/>
    <x v="760"/>
    <n v="27.7"/>
    <n v="23"/>
  </r>
  <r>
    <n v="478278218"/>
    <n v="816751"/>
    <n v="3011363"/>
    <n v="9996"/>
    <x v="7"/>
    <n v="56337"/>
    <x v="3"/>
    <x v="276"/>
    <x v="275"/>
    <x v="765"/>
    <x v="772"/>
    <x v="771"/>
    <x v="322"/>
    <s v="MO"/>
    <s v="St. Louis"/>
    <s v="NC"/>
    <s v="Charlotte"/>
    <x v="1"/>
    <n v="790402"/>
    <s v="101-300"/>
    <n v="159"/>
    <x v="189"/>
    <x v="90"/>
    <n v="163.1"/>
    <n v="197.2"/>
    <x v="0"/>
    <s v="4.76"/>
    <s v="06:00-09:59"/>
    <x v="4"/>
    <x v="0"/>
    <n v="-4"/>
    <n v="0"/>
    <n v="0"/>
    <n v="40.299999999999997"/>
    <n v="0"/>
    <n v="0.59099999999999997"/>
    <n v="0.69099999999999995"/>
    <n v="4089.35"/>
    <x v="0"/>
    <n v="1"/>
    <n v="1"/>
    <n v="0"/>
    <n v="1"/>
    <n v="0"/>
    <n v="1"/>
    <n v="0"/>
    <x v="27"/>
    <x v="67"/>
    <n v="177.46"/>
    <n v="24.11"/>
    <x v="761"/>
    <n v="13.3"/>
    <n v="28"/>
  </r>
  <r>
    <n v="686277792"/>
    <n v="804314"/>
    <n v="1006810"/>
    <n v="7893"/>
    <x v="4"/>
    <n v="52529"/>
    <x v="2"/>
    <x v="320"/>
    <x v="320"/>
    <x v="766"/>
    <x v="773"/>
    <x v="772"/>
    <x v="323"/>
    <s v="WA"/>
    <s v="Spokane"/>
    <s v="TN"/>
    <s v="Nashville"/>
    <x v="1"/>
    <n v="715799"/>
    <s v="301-500"/>
    <n v="375"/>
    <x v="92"/>
    <x v="111"/>
    <n v="373.2"/>
    <n v="406"/>
    <x v="0"/>
    <s v="5.48"/>
    <s v="10:00-13:59"/>
    <x v="4"/>
    <x v="0"/>
    <n v="-30"/>
    <n v="0"/>
    <n v="0"/>
    <n v="57.7"/>
    <n v="0"/>
    <n v="0.81100000000000005"/>
    <n v="0.59299999999999997"/>
    <n v="54457.08"/>
    <x v="2"/>
    <n v="1"/>
    <n v="1"/>
    <n v="0"/>
    <n v="1"/>
    <n v="0"/>
    <n v="1"/>
    <n v="0"/>
    <x v="12"/>
    <x v="67"/>
    <n v="352.98"/>
    <n v="62.15"/>
    <x v="762"/>
    <n v="11.6"/>
    <n v="17.899999999999999"/>
  </r>
  <r>
    <n v="463512350"/>
    <n v="876646"/>
    <n v="2191066"/>
    <n v="1769"/>
    <x v="1"/>
    <n v="53970"/>
    <x v="6"/>
    <x v="171"/>
    <x v="170"/>
    <x v="767"/>
    <x v="774"/>
    <x v="773"/>
    <x v="178"/>
    <s v="NY"/>
    <s v="Albany"/>
    <s v="NY"/>
    <s v="New York"/>
    <x v="3"/>
    <n v="742838"/>
    <s v="301-500"/>
    <n v="294"/>
    <x v="210"/>
    <x v="159"/>
    <n v="311.89999999999998"/>
    <n v="368.2"/>
    <x v="4"/>
    <s v="7.72"/>
    <s v="10:00-13:59"/>
    <x v="5"/>
    <x v="0"/>
    <n v="-27"/>
    <n v="0"/>
    <n v="0"/>
    <n v="65.099999999999994"/>
    <n v="0"/>
    <n v="0.6"/>
    <n v="0.91900000000000004"/>
    <n v="2139.33"/>
    <x v="0"/>
    <n v="1"/>
    <n v="1"/>
    <n v="0"/>
    <n v="1"/>
    <n v="0"/>
    <n v="1"/>
    <n v="0"/>
    <x v="112"/>
    <x v="22"/>
    <n v="233.83"/>
    <n v="52.79"/>
    <x v="763"/>
    <n v="17.2"/>
    <n v="8.3000000000000007"/>
  </r>
  <r>
    <n v="973498494"/>
    <n v="391704"/>
    <n v="7897151"/>
    <n v="4556"/>
    <x v="1"/>
    <n v="53407"/>
    <x v="6"/>
    <x v="125"/>
    <x v="124"/>
    <x v="768"/>
    <x v="775"/>
    <x v="774"/>
    <x v="125"/>
    <s v="CO"/>
    <s v="Pueblo"/>
    <s v="CO"/>
    <s v="Fort Collins"/>
    <x v="2"/>
    <n v="705397"/>
    <s v="101-300"/>
    <n v="217"/>
    <x v="426"/>
    <x v="371"/>
    <n v="224.3"/>
    <n v="258"/>
    <x v="4"/>
    <s v="3.93"/>
    <s v="06:00-09:59"/>
    <x v="6"/>
    <x v="0"/>
    <n v="-8"/>
    <n v="0"/>
    <n v="0"/>
    <n v="50.1"/>
    <n v="0"/>
    <n v="0.68400000000000005"/>
    <n v="0.57299999999999995"/>
    <n v="73265.490000000005"/>
    <x v="2"/>
    <n v="1"/>
    <n v="1"/>
    <n v="0"/>
    <n v="1"/>
    <n v="0"/>
    <n v="1"/>
    <n v="0"/>
    <x v="24"/>
    <x v="30"/>
    <n v="207"/>
    <n v="50.43"/>
    <x v="764"/>
    <n v="11.3"/>
    <n v="51.7"/>
  </r>
  <r>
    <n v="790196540"/>
    <n v="207473"/>
    <n v="4694634"/>
    <n v="9322"/>
    <x v="1"/>
    <n v="59650"/>
    <x v="2"/>
    <x v="321"/>
    <x v="321"/>
    <x v="769"/>
    <x v="776"/>
    <x v="775"/>
    <x v="324"/>
    <s v="GA"/>
    <s v="Columbus"/>
    <s v="OH"/>
    <s v="Toledo"/>
    <x v="0"/>
    <n v="768714"/>
    <s v="301-500"/>
    <n v="406"/>
    <x v="223"/>
    <x v="233"/>
    <n v="403.6"/>
    <n v="452.6"/>
    <x v="0"/>
    <s v="9.09"/>
    <s v="06:00-09:59"/>
    <x v="6"/>
    <x v="0"/>
    <n v="4"/>
    <n v="0"/>
    <n v="0"/>
    <n v="46.8"/>
    <n v="0"/>
    <n v="0.57499999999999996"/>
    <n v="0.32200000000000001"/>
    <n v="18728.830000000002"/>
    <x v="1"/>
    <n v="1"/>
    <n v="1"/>
    <n v="0"/>
    <n v="1"/>
    <n v="0"/>
    <n v="1"/>
    <n v="0"/>
    <x v="2"/>
    <x v="27"/>
    <n v="394.05"/>
    <n v="82.99"/>
    <x v="765"/>
    <n v="26.9"/>
    <n v="29.3"/>
  </r>
  <r>
    <n v="288000513"/>
    <n v="329974"/>
    <n v="5641923"/>
    <n v="4304"/>
    <x v="1"/>
    <n v="59046"/>
    <x v="5"/>
    <x v="146"/>
    <x v="146"/>
    <x v="770"/>
    <x v="777"/>
    <x v="776"/>
    <x v="151"/>
    <s v="MI"/>
    <s v="Flint"/>
    <s v="WA"/>
    <s v="Seattle"/>
    <x v="2"/>
    <n v="722324"/>
    <s v="0-100"/>
    <n v="67"/>
    <x v="292"/>
    <x v="356"/>
    <n v="71.599999999999994"/>
    <n v="110.8"/>
    <x v="0"/>
    <s v="1.53"/>
    <s v="14:00-17:59"/>
    <x v="5"/>
    <x v="0"/>
    <n v="2"/>
    <n v="0"/>
    <n v="0"/>
    <n v="25.1"/>
    <n v="0"/>
    <n v="0.9"/>
    <n v="0.77600000000000002"/>
    <n v="2900.37"/>
    <x v="0"/>
    <n v="1"/>
    <n v="1"/>
    <n v="0"/>
    <n v="1"/>
    <n v="0"/>
    <n v="1"/>
    <n v="0"/>
    <x v="52"/>
    <x v="63"/>
    <n v="81.97"/>
    <n v="22.68"/>
    <x v="766"/>
    <n v="28.3"/>
    <n v="42"/>
  </r>
  <r>
    <n v="991617660"/>
    <n v="809570"/>
    <n v="1120642"/>
    <n v="2685"/>
    <x v="4"/>
    <n v="57416"/>
    <x v="10"/>
    <x v="22"/>
    <x v="22"/>
    <x v="771"/>
    <x v="778"/>
    <x v="777"/>
    <x v="22"/>
    <s v="TX"/>
    <s v="San Antonio"/>
    <s v="IL"/>
    <s v="Chicago"/>
    <x v="0"/>
    <n v="720079"/>
    <s v="301-500"/>
    <n v="514"/>
    <x v="111"/>
    <x v="363"/>
    <n v="517.29999999999995"/>
    <n v="551.5"/>
    <x v="4"/>
    <s v="14.78"/>
    <s v="18:00-23:59"/>
    <x v="3"/>
    <x v="2"/>
    <n v="179"/>
    <n v="0"/>
    <n v="4"/>
    <n v="43.4"/>
    <n v="0"/>
    <n v="0.56999999999999995"/>
    <n v="0.79100000000000004"/>
    <n v="4738.7299999999996"/>
    <x v="0"/>
    <n v="1"/>
    <n v="0"/>
    <n v="1"/>
    <n v="0"/>
    <n v="1"/>
    <n v="0"/>
    <n v="1"/>
    <x v="90"/>
    <x v="55"/>
    <n v="462.91"/>
    <n v="99.43"/>
    <x v="767"/>
    <n v="13.6"/>
    <n v="10.4"/>
  </r>
  <r>
    <n v="936597989"/>
    <n v="439902"/>
    <n v="2935113"/>
    <n v="9815"/>
    <x v="6"/>
    <n v="54760"/>
    <x v="13"/>
    <x v="231"/>
    <x v="230"/>
    <x v="772"/>
    <x v="779"/>
    <x v="778"/>
    <x v="243"/>
    <s v="CO"/>
    <s v="Denver"/>
    <s v="TN"/>
    <s v="Clarksville"/>
    <x v="1"/>
    <n v="719400"/>
    <s v="101-300"/>
    <n v="300"/>
    <x v="406"/>
    <x v="252"/>
    <n v="301.7"/>
    <n v="340.5"/>
    <x v="0"/>
    <s v="4.69"/>
    <s v="14:00-17:59"/>
    <x v="1"/>
    <x v="0"/>
    <n v="-46"/>
    <n v="112"/>
    <n v="0"/>
    <n v="44.6"/>
    <n v="0"/>
    <n v="0.84099999999999997"/>
    <n v="0.76500000000000001"/>
    <n v="3119.89"/>
    <x v="0"/>
    <n v="1"/>
    <n v="1"/>
    <n v="0"/>
    <n v="1"/>
    <n v="0"/>
    <n v="1"/>
    <n v="0"/>
    <x v="3"/>
    <x v="5"/>
    <n v="225.22"/>
    <n v="39"/>
    <x v="768"/>
    <n v="45.7"/>
    <n v="45.2"/>
  </r>
  <r>
    <n v="835172306"/>
    <n v="520651"/>
    <n v="5098412"/>
    <n v="7892"/>
    <x v="1"/>
    <n v="51897"/>
    <x v="7"/>
    <x v="261"/>
    <x v="260"/>
    <x v="773"/>
    <x v="780"/>
    <x v="779"/>
    <x v="264"/>
    <s v="IL"/>
    <s v="Peoria"/>
    <s v="IL"/>
    <s v="Peoria"/>
    <x v="0"/>
    <n v="725966"/>
    <s v="301-500"/>
    <n v="327"/>
    <x v="237"/>
    <x v="372"/>
    <n v="330.1"/>
    <n v="343.9"/>
    <x v="0"/>
    <s v="7.48"/>
    <s v="06:00-09:59"/>
    <x v="4"/>
    <x v="0"/>
    <n v="-24"/>
    <n v="0"/>
    <n v="1.1000000000000001"/>
    <n v="35"/>
    <n v="0"/>
    <n v="0.63600000000000001"/>
    <n v="0.80300000000000005"/>
    <n v="1915.51"/>
    <x v="0"/>
    <n v="1"/>
    <n v="1"/>
    <n v="0"/>
    <n v="1"/>
    <n v="0"/>
    <n v="1"/>
    <n v="0"/>
    <x v="70"/>
    <x v="46"/>
    <n v="231.45"/>
    <n v="55.32"/>
    <x v="769"/>
    <n v="45.8"/>
    <n v="57.5"/>
  </r>
  <r>
    <n v="598885034"/>
    <n v="321231"/>
    <n v="3646552"/>
    <n v="5636"/>
    <x v="1"/>
    <n v="56364"/>
    <x v="2"/>
    <x v="251"/>
    <x v="250"/>
    <x v="774"/>
    <x v="781"/>
    <x v="780"/>
    <x v="248"/>
    <s v="TX"/>
    <s v="Austin"/>
    <s v="MI"/>
    <s v="Lansing"/>
    <x v="0"/>
    <n v="752402"/>
    <s v="501-1000"/>
    <n v="690"/>
    <x v="316"/>
    <x v="263"/>
    <n v="685.1"/>
    <n v="705.1"/>
    <x v="0"/>
    <s v="12.66"/>
    <s v="06:00-09:59"/>
    <x v="3"/>
    <x v="0"/>
    <n v="-16"/>
    <n v="0"/>
    <n v="0"/>
    <n v="23.6"/>
    <n v="0"/>
    <n v="0.56299999999999994"/>
    <n v="0.68600000000000005"/>
    <n v="13139.29"/>
    <x v="1"/>
    <n v="1"/>
    <n v="1"/>
    <n v="0"/>
    <n v="1"/>
    <n v="0"/>
    <n v="1"/>
    <n v="0"/>
    <x v="3"/>
    <x v="75"/>
    <n v="573.33000000000004"/>
    <n v="133.33000000000001"/>
    <x v="770"/>
    <n v="37.799999999999997"/>
    <n v="9.3000000000000007"/>
  </r>
  <r>
    <n v="846668526"/>
    <n v="623481"/>
    <n v="2737893"/>
    <n v="4627"/>
    <x v="3"/>
    <n v="58464"/>
    <x v="0"/>
    <x v="224"/>
    <x v="223"/>
    <x v="775"/>
    <x v="782"/>
    <x v="781"/>
    <x v="230"/>
    <s v="PA"/>
    <s v="Erie"/>
    <s v="GA"/>
    <s v="Augusta"/>
    <x v="1"/>
    <n v="747214"/>
    <s v="501-1000"/>
    <n v="721"/>
    <x v="378"/>
    <x v="343"/>
    <n v="718.4"/>
    <n v="774.3"/>
    <x v="0"/>
    <s v="10.68"/>
    <s v="06:00-09:59"/>
    <x v="0"/>
    <x v="0"/>
    <n v="-43"/>
    <n v="0"/>
    <n v="0"/>
    <n v="38"/>
    <n v="0"/>
    <n v="0.85499999999999998"/>
    <n v="0.376"/>
    <n v="3597.88"/>
    <x v="0"/>
    <n v="1"/>
    <n v="1"/>
    <n v="0"/>
    <n v="1"/>
    <n v="0"/>
    <n v="1"/>
    <n v="0"/>
    <x v="3"/>
    <x v="77"/>
    <n v="581.6"/>
    <n v="155.63999999999999"/>
    <x v="771"/>
    <n v="22.3"/>
    <n v="72.900000000000006"/>
  </r>
  <r>
    <n v="613818935"/>
    <n v="207175"/>
    <n v="8077999"/>
    <n v="4152"/>
    <x v="6"/>
    <n v="54087"/>
    <x v="11"/>
    <x v="322"/>
    <x v="322"/>
    <x v="776"/>
    <x v="783"/>
    <x v="782"/>
    <x v="325"/>
    <s v="NY"/>
    <s v="Buffalo"/>
    <s v="NY"/>
    <s v="Albany"/>
    <x v="3"/>
    <n v="742838"/>
    <s v="501-1000"/>
    <n v="685"/>
    <x v="361"/>
    <x v="54"/>
    <n v="695"/>
    <n v="732.4"/>
    <x v="3"/>
    <s v="15.03"/>
    <s v="06:00-09:59"/>
    <x v="2"/>
    <x v="0"/>
    <n v="-25"/>
    <n v="0"/>
    <n v="0"/>
    <n v="51.5"/>
    <n v="0"/>
    <n v="0.76"/>
    <n v="0.83499999999999996"/>
    <n v="67234.78"/>
    <x v="2"/>
    <n v="1"/>
    <n v="1"/>
    <n v="0"/>
    <n v="1"/>
    <n v="0"/>
    <n v="1"/>
    <n v="0"/>
    <x v="39"/>
    <x v="14"/>
    <n v="502.04"/>
    <n v="89.17"/>
    <x v="772"/>
    <n v="16.8"/>
    <n v="6"/>
  </r>
  <r>
    <n v="778321204"/>
    <n v="498382"/>
    <n v="5673212"/>
    <n v="4943"/>
    <x v="7"/>
    <n v="59464"/>
    <x v="6"/>
    <x v="323"/>
    <x v="323"/>
    <x v="777"/>
    <x v="784"/>
    <x v="783"/>
    <x v="45"/>
    <s v="NC"/>
    <s v="Greensboro"/>
    <s v="IL"/>
    <s v="Springfield"/>
    <x v="0"/>
    <n v="727770"/>
    <s v="101-300"/>
    <n v="276"/>
    <x v="42"/>
    <x v="373"/>
    <n v="277.2"/>
    <n v="324.8"/>
    <x v="0"/>
    <s v="7.91"/>
    <s v="10:00-13:59"/>
    <x v="4"/>
    <x v="0"/>
    <n v="9"/>
    <n v="0"/>
    <n v="0"/>
    <n v="23.9"/>
    <n v="0"/>
    <n v="0.77900000000000003"/>
    <n v="0.78200000000000003"/>
    <n v="10389.19"/>
    <x v="1"/>
    <n v="1"/>
    <n v="1"/>
    <n v="0"/>
    <n v="1"/>
    <n v="0"/>
    <n v="1"/>
    <n v="0"/>
    <x v="9"/>
    <x v="16"/>
    <n v="228.94"/>
    <n v="41.19"/>
    <x v="773"/>
    <n v="12.5"/>
    <n v="9.5"/>
  </r>
  <r>
    <n v="295719504"/>
    <n v="301629"/>
    <n v="8633773"/>
    <n v="7331"/>
    <x v="1"/>
    <n v="54374"/>
    <x v="2"/>
    <x v="161"/>
    <x v="161"/>
    <x v="778"/>
    <x v="785"/>
    <x v="784"/>
    <x v="187"/>
    <s v="PA"/>
    <s v="Harrisburg"/>
    <s v="NJ"/>
    <s v="Newark"/>
    <x v="3"/>
    <n v="778005"/>
    <s v="101-300"/>
    <n v="217"/>
    <x v="401"/>
    <x v="374"/>
    <n v="212.8"/>
    <n v="218.2"/>
    <x v="3"/>
    <s v="3.18"/>
    <s v="10:00-13:59"/>
    <x v="2"/>
    <x v="0"/>
    <n v="-15"/>
    <n v="0"/>
    <n v="0"/>
    <n v="35.9"/>
    <n v="0"/>
    <n v="0.84099999999999997"/>
    <n v="0.53400000000000003"/>
    <n v="40140.01"/>
    <x v="2"/>
    <n v="1"/>
    <n v="1"/>
    <n v="0"/>
    <n v="1"/>
    <n v="0"/>
    <n v="1"/>
    <n v="0"/>
    <x v="59"/>
    <x v="20"/>
    <n v="175.8"/>
    <n v="44.4"/>
    <x v="774"/>
    <n v="63.5"/>
    <n v="11.6"/>
  </r>
  <r>
    <n v="971339002"/>
    <n v="358607"/>
    <n v="5727085"/>
    <n v="6864"/>
    <x v="1"/>
    <n v="57607"/>
    <x v="6"/>
    <x v="177"/>
    <x v="176"/>
    <x v="779"/>
    <x v="786"/>
    <x v="785"/>
    <x v="112"/>
    <s v="TX"/>
    <s v="Austin"/>
    <s v="FL"/>
    <s v="Miami"/>
    <x v="1"/>
    <n v="714141"/>
    <s v="101-300"/>
    <n v="228"/>
    <x v="54"/>
    <x v="183"/>
    <n v="227.2"/>
    <n v="247"/>
    <x v="0"/>
    <s v="4.05"/>
    <s v="14:00-17:59"/>
    <x v="4"/>
    <x v="0"/>
    <n v="-30"/>
    <n v="0"/>
    <n v="0"/>
    <n v="10.3"/>
    <n v="0"/>
    <n v="0.51400000000000001"/>
    <n v="0.83"/>
    <n v="21151.24"/>
    <x v="1"/>
    <n v="1"/>
    <n v="1"/>
    <n v="0"/>
    <n v="1"/>
    <n v="0"/>
    <n v="1"/>
    <n v="0"/>
    <x v="37"/>
    <x v="73"/>
    <n v="206.89"/>
    <n v="39.090000000000003"/>
    <x v="775"/>
    <n v="7.3"/>
    <n v="42"/>
  </r>
  <r>
    <n v="244796859"/>
    <n v="733052"/>
    <n v="2642635"/>
    <n v="8989"/>
    <x v="1"/>
    <n v="54019"/>
    <x v="10"/>
    <x v="80"/>
    <x v="80"/>
    <x v="780"/>
    <x v="787"/>
    <x v="786"/>
    <x v="79"/>
    <s v="TN"/>
    <s v="Chattanooga"/>
    <s v="TN"/>
    <s v="Knoxville"/>
    <x v="1"/>
    <n v="733303"/>
    <s v="301-500"/>
    <n v="486"/>
    <x v="5"/>
    <x v="2"/>
    <n v="482.8"/>
    <n v="502.6"/>
    <x v="2"/>
    <s v="10.17"/>
    <s v="14:00-17:59"/>
    <x v="5"/>
    <x v="0"/>
    <n v="-17"/>
    <n v="96"/>
    <n v="0"/>
    <n v="53.3"/>
    <n v="0"/>
    <n v="0.64200000000000002"/>
    <n v="0.436"/>
    <n v="3851.61"/>
    <x v="0"/>
    <n v="1"/>
    <n v="1"/>
    <n v="0"/>
    <n v="1"/>
    <n v="0"/>
    <n v="1"/>
    <n v="0"/>
    <x v="61"/>
    <x v="29"/>
    <n v="342.92"/>
    <n v="77.55"/>
    <x v="776"/>
    <n v="11.9"/>
    <n v="16.7"/>
  </r>
  <r>
    <n v="167753684"/>
    <n v="688508"/>
    <n v="8930103"/>
    <n v="3047"/>
    <x v="9"/>
    <n v="50815"/>
    <x v="11"/>
    <x v="180"/>
    <x v="179"/>
    <x v="781"/>
    <x v="788"/>
    <x v="787"/>
    <x v="184"/>
    <s v="PA"/>
    <s v="Pittsburgh"/>
    <s v="PA"/>
    <s v="Harrisburg"/>
    <x v="3"/>
    <n v="739365"/>
    <s v="501-1000"/>
    <n v="939"/>
    <x v="338"/>
    <x v="343"/>
    <n v="944.4"/>
    <n v="984.3"/>
    <x v="1"/>
    <s v="17.78"/>
    <s v="06:00-09:59"/>
    <x v="4"/>
    <x v="0"/>
    <n v="-16"/>
    <n v="0"/>
    <n v="0"/>
    <n v="77.599999999999994"/>
    <n v="0"/>
    <n v="0.61199999999999999"/>
    <n v="0.63600000000000001"/>
    <n v="4467.92"/>
    <x v="0"/>
    <n v="1"/>
    <n v="1"/>
    <n v="0"/>
    <n v="1"/>
    <n v="0"/>
    <n v="1"/>
    <n v="0"/>
    <x v="39"/>
    <x v="20"/>
    <n v="892.33"/>
    <n v="156.79"/>
    <x v="777"/>
    <n v="4"/>
    <n v="58.6"/>
  </r>
  <r>
    <n v="868847524"/>
    <n v="823378"/>
    <n v="8053918"/>
    <n v="5735"/>
    <x v="3"/>
    <n v="57255"/>
    <x v="11"/>
    <x v="78"/>
    <x v="78"/>
    <x v="782"/>
    <x v="789"/>
    <x v="788"/>
    <x v="77"/>
    <s v="WA"/>
    <s v="Everett"/>
    <s v="OH"/>
    <s v="Toledo"/>
    <x v="0"/>
    <n v="785905"/>
    <s v="101-300"/>
    <n v="133"/>
    <x v="75"/>
    <x v="375"/>
    <n v="129.6"/>
    <n v="181.4"/>
    <x v="0"/>
    <s v="2.44"/>
    <s v="06:00-09:59"/>
    <x v="3"/>
    <x v="0"/>
    <n v="-26"/>
    <n v="79"/>
    <n v="0"/>
    <n v="48.3"/>
    <n v="0"/>
    <n v="0.57499999999999996"/>
    <n v="0.52900000000000003"/>
    <n v="2571.61"/>
    <x v="0"/>
    <n v="1"/>
    <n v="1"/>
    <n v="0"/>
    <n v="1"/>
    <n v="0"/>
    <n v="1"/>
    <n v="0"/>
    <x v="12"/>
    <x v="82"/>
    <n v="112.91"/>
    <n v="21.91"/>
    <x v="778"/>
    <n v="9.6999999999999993"/>
    <n v="32.700000000000003"/>
  </r>
  <r>
    <n v="933428091"/>
    <n v="388389"/>
    <n v="4769795"/>
    <n v="6734"/>
    <x v="4"/>
    <n v="50922"/>
    <x v="6"/>
    <x v="185"/>
    <x v="184"/>
    <x v="783"/>
    <x v="790"/>
    <x v="789"/>
    <x v="68"/>
    <s v="GA"/>
    <s v="Augusta"/>
    <s v="CO"/>
    <s v="Colorado Springs"/>
    <x v="2"/>
    <n v="702500"/>
    <s v="501-1000"/>
    <n v="886"/>
    <x v="334"/>
    <x v="376"/>
    <n v="886.3"/>
    <n v="934.9"/>
    <x v="0"/>
    <s v="21.75"/>
    <s v="14:00-17:59"/>
    <x v="3"/>
    <x v="2"/>
    <n v="303"/>
    <n v="0"/>
    <n v="3.6"/>
    <n v="40.700000000000003"/>
    <n v="0"/>
    <n v="0.376"/>
    <n v="0.65500000000000003"/>
    <n v="21514.29"/>
    <x v="1"/>
    <n v="1"/>
    <n v="0"/>
    <n v="1"/>
    <n v="0"/>
    <n v="1"/>
    <n v="0"/>
    <n v="1"/>
    <x v="108"/>
    <x v="9"/>
    <n v="775.98"/>
    <n v="163.9"/>
    <x v="779"/>
    <n v="34.1"/>
    <n v="19.100000000000001"/>
  </r>
  <r>
    <n v="591429705"/>
    <n v="260263"/>
    <n v="5674183"/>
    <n v="5736"/>
    <x v="7"/>
    <n v="54867"/>
    <x v="9"/>
    <x v="63"/>
    <x v="63"/>
    <x v="784"/>
    <x v="791"/>
    <x v="790"/>
    <x v="62"/>
    <s v="TN"/>
    <s v="Nashville"/>
    <s v="CO"/>
    <s v="Fort Collins"/>
    <x v="2"/>
    <n v="795672"/>
    <s v="301-500"/>
    <n v="390"/>
    <x v="427"/>
    <x v="377"/>
    <n v="386"/>
    <n v="442.4"/>
    <x v="2"/>
    <s v="6.18"/>
    <s v="10:00-13:59"/>
    <x v="1"/>
    <x v="0"/>
    <n v="-58"/>
    <n v="0"/>
    <n v="0"/>
    <n v="23"/>
    <n v="0"/>
    <n v="0.78800000000000003"/>
    <n v="0.69"/>
    <n v="22655.88"/>
    <x v="1"/>
    <n v="1"/>
    <n v="1"/>
    <n v="0"/>
    <n v="1"/>
    <n v="0"/>
    <n v="1"/>
    <n v="0"/>
    <x v="5"/>
    <x v="96"/>
    <n v="312.91000000000003"/>
    <n v="87.13"/>
    <x v="780"/>
    <n v="30.8"/>
    <n v="31.2"/>
  </r>
  <r>
    <n v="139711044"/>
    <n v="982554"/>
    <n v="4740036"/>
    <n v="3976"/>
    <x v="1"/>
    <n v="51264"/>
    <x v="12"/>
    <x v="45"/>
    <x v="45"/>
    <x v="785"/>
    <x v="792"/>
    <x v="791"/>
    <x v="44"/>
    <s v="NJ"/>
    <s v="Paterson"/>
    <s v="MO"/>
    <s v="Independence"/>
    <x v="0"/>
    <n v="712499"/>
    <s v="501-1000"/>
    <n v="647"/>
    <x v="336"/>
    <x v="281"/>
    <n v="660.2"/>
    <n v="737.4"/>
    <x v="0"/>
    <s v="11.94"/>
    <s v="06:00-09:59"/>
    <x v="2"/>
    <x v="0"/>
    <n v="-8"/>
    <n v="0"/>
    <n v="0"/>
    <n v="8.3000000000000007"/>
    <n v="0"/>
    <n v="0.55700000000000005"/>
    <n v="0.71499999999999997"/>
    <n v="5090.5"/>
    <x v="0"/>
    <n v="1"/>
    <n v="1"/>
    <n v="0"/>
    <n v="1"/>
    <n v="0"/>
    <n v="1"/>
    <n v="0"/>
    <x v="37"/>
    <x v="63"/>
    <n v="563.04"/>
    <n v="147.81"/>
    <x v="781"/>
    <n v="44.5"/>
    <n v="13.1"/>
  </r>
  <r>
    <n v="415081566"/>
    <n v="705397"/>
    <n v="5449368"/>
    <n v="5859"/>
    <x v="1"/>
    <n v="53724"/>
    <x v="10"/>
    <x v="14"/>
    <x v="14"/>
    <x v="786"/>
    <x v="793"/>
    <x v="792"/>
    <x v="226"/>
    <s v="TX"/>
    <s v="San Antonio"/>
    <s v="TX"/>
    <s v="Austin"/>
    <x v="1"/>
    <n v="710286"/>
    <s v="501-1000"/>
    <n v="508"/>
    <x v="119"/>
    <x v="6"/>
    <n v="511.8"/>
    <n v="547.5"/>
    <x v="2"/>
    <s v="11.59"/>
    <s v="10:00-13:59"/>
    <x v="0"/>
    <x v="4"/>
    <n v="120"/>
    <n v="238"/>
    <n v="0"/>
    <n v="47.4"/>
    <n v="0"/>
    <n v="0.81499999999999995"/>
    <n v="0.90800000000000003"/>
    <n v="5343.33"/>
    <x v="0"/>
    <n v="1"/>
    <n v="0"/>
    <n v="1"/>
    <n v="0"/>
    <n v="1"/>
    <n v="0"/>
    <n v="1"/>
    <x v="59"/>
    <x v="76"/>
    <n v="433.05"/>
    <n v="56.75"/>
    <x v="782"/>
    <n v="11.4"/>
    <n v="34.1"/>
  </r>
  <r>
    <n v="316456682"/>
    <n v="331148"/>
    <n v="8231838"/>
    <n v="8734"/>
    <x v="1"/>
    <n v="52722"/>
    <x v="2"/>
    <x v="155"/>
    <x v="155"/>
    <x v="787"/>
    <x v="794"/>
    <x v="793"/>
    <x v="160"/>
    <s v="IL"/>
    <s v="Rockford"/>
    <s v="TX"/>
    <s v="Austin"/>
    <x v="1"/>
    <n v="718526"/>
    <s v="101-300"/>
    <n v="209"/>
    <x v="428"/>
    <x v="302"/>
    <n v="212.5"/>
    <n v="258.60000000000002"/>
    <x v="0"/>
    <s v="5.28"/>
    <s v="06:00-09:59"/>
    <x v="6"/>
    <x v="0"/>
    <n v="5"/>
    <n v="0"/>
    <n v="0"/>
    <n v="59.1"/>
    <n v="0"/>
    <n v="0.54100000000000004"/>
    <n v="0.46400000000000002"/>
    <n v="14673.08"/>
    <x v="1"/>
    <n v="1"/>
    <n v="1"/>
    <n v="0"/>
    <n v="1"/>
    <n v="0"/>
    <n v="1"/>
    <n v="0"/>
    <x v="81"/>
    <x v="63"/>
    <n v="203.89"/>
    <n v="48.05"/>
    <x v="783"/>
    <n v="5.8"/>
    <n v="18.2"/>
  </r>
  <r>
    <n v="147036629"/>
    <n v="106814"/>
    <n v="1908841"/>
    <n v="9838"/>
    <x v="9"/>
    <n v="55355"/>
    <x v="12"/>
    <x v="324"/>
    <x v="324"/>
    <x v="788"/>
    <x v="795"/>
    <x v="794"/>
    <x v="326"/>
    <s v="IL"/>
    <s v="Chicago"/>
    <s v="PA"/>
    <s v="Pittsburgh"/>
    <x v="3"/>
    <n v="738337"/>
    <s v="0-100"/>
    <n v="51"/>
    <x v="125"/>
    <x v="378"/>
    <n v="55.2"/>
    <n v="119.5"/>
    <x v="3"/>
    <s v="3.22"/>
    <s v="06:00-09:59"/>
    <x v="5"/>
    <x v="4"/>
    <n v="71"/>
    <n v="288"/>
    <n v="0"/>
    <n v="45"/>
    <n v="0"/>
    <n v="0.90100000000000002"/>
    <n v="0.434"/>
    <n v="11263.38"/>
    <x v="1"/>
    <n v="1"/>
    <n v="0"/>
    <n v="1"/>
    <n v="0"/>
    <n v="1"/>
    <n v="0"/>
    <n v="1"/>
    <x v="33"/>
    <x v="61"/>
    <n v="101.92"/>
    <n v="13.26"/>
    <x v="784"/>
    <n v="9.1999999999999993"/>
    <n v="60.9"/>
  </r>
  <r>
    <n v="949447049"/>
    <n v="654816"/>
    <n v="7117837"/>
    <n v="2707"/>
    <x v="1"/>
    <n v="52550"/>
    <x v="8"/>
    <x v="287"/>
    <x v="287"/>
    <x v="789"/>
    <x v="796"/>
    <x v="795"/>
    <x v="292"/>
    <s v="WA"/>
    <s v="Seattle"/>
    <s v="WA"/>
    <s v="Vancouver"/>
    <x v="2"/>
    <n v="745653"/>
    <s v="0-100"/>
    <n v="42"/>
    <x v="355"/>
    <x v="379"/>
    <n v="39.6"/>
    <n v="106.7"/>
    <x v="0"/>
    <s v="1.92"/>
    <s v="14:00-17:59"/>
    <x v="1"/>
    <x v="0"/>
    <n v="3"/>
    <n v="0"/>
    <n v="0"/>
    <n v="67"/>
    <n v="0"/>
    <n v="0.86399999999999999"/>
    <n v="0.71099999999999997"/>
    <n v="1434.55"/>
    <x v="0"/>
    <n v="1"/>
    <n v="1"/>
    <n v="0"/>
    <n v="1"/>
    <n v="0"/>
    <n v="1"/>
    <n v="0"/>
    <x v="32"/>
    <x v="26"/>
    <n v="92.52"/>
    <n v="23.05"/>
    <x v="785"/>
    <n v="8.9"/>
    <n v="0"/>
  </r>
  <r>
    <n v="314179101"/>
    <n v="634277"/>
    <n v="1059486"/>
    <n v="6232"/>
    <x v="4"/>
    <n v="55319"/>
    <x v="2"/>
    <x v="188"/>
    <x v="187"/>
    <x v="790"/>
    <x v="797"/>
    <x v="796"/>
    <x v="190"/>
    <s v="GA"/>
    <s v="Macon"/>
    <s v="GA"/>
    <s v="Columbus"/>
    <x v="1"/>
    <n v="783084"/>
    <s v="101-300"/>
    <n v="254"/>
    <x v="191"/>
    <x v="38"/>
    <n v="263.10000000000002"/>
    <n v="274.8"/>
    <x v="0"/>
    <s v="5.63"/>
    <s v="14:00-17:59"/>
    <x v="6"/>
    <x v="0"/>
    <n v="-35"/>
    <n v="0"/>
    <n v="0"/>
    <n v="35.6"/>
    <n v="0"/>
    <n v="0.68400000000000005"/>
    <n v="0.56899999999999995"/>
    <n v="1211.1199999999999"/>
    <x v="0"/>
    <n v="1"/>
    <n v="1"/>
    <n v="0"/>
    <n v="1"/>
    <n v="0"/>
    <n v="1"/>
    <n v="0"/>
    <x v="18"/>
    <x v="24"/>
    <n v="176.42"/>
    <n v="43.38"/>
    <x v="786"/>
    <n v="4.7"/>
    <n v="47.3"/>
  </r>
  <r>
    <n v="144996163"/>
    <n v="211579"/>
    <n v="6866294"/>
    <n v="2734"/>
    <x v="9"/>
    <n v="56686"/>
    <x v="2"/>
    <x v="59"/>
    <x v="59"/>
    <x v="171"/>
    <x v="798"/>
    <x v="797"/>
    <x v="26"/>
    <s v="MO"/>
    <s v="Kansas City"/>
    <s v="TN"/>
    <s v="Knoxville"/>
    <x v="1"/>
    <n v="705699"/>
    <s v="101-300"/>
    <n v="270"/>
    <x v="246"/>
    <x v="171"/>
    <n v="269.60000000000002"/>
    <n v="311"/>
    <x v="0"/>
    <s v="6.98"/>
    <s v="06:00-09:59"/>
    <x v="4"/>
    <x v="0"/>
    <n v="-11"/>
    <n v="0"/>
    <n v="0"/>
    <n v="67.5"/>
    <n v="0"/>
    <n v="0.83199999999999996"/>
    <n v="0.72399999999999998"/>
    <n v="13447.16"/>
    <x v="1"/>
    <n v="1"/>
    <n v="1"/>
    <n v="0"/>
    <n v="1"/>
    <n v="0"/>
    <n v="1"/>
    <n v="0"/>
    <x v="70"/>
    <x v="66"/>
    <n v="258.41000000000003"/>
    <n v="60.04"/>
    <x v="787"/>
    <n v="9.3000000000000007"/>
    <n v="3"/>
  </r>
  <r>
    <n v="438868427"/>
    <n v="676510"/>
    <n v="3090865"/>
    <n v="1956"/>
    <x v="2"/>
    <n v="51673"/>
    <x v="6"/>
    <x v="109"/>
    <x v="108"/>
    <x v="791"/>
    <x v="799"/>
    <x v="798"/>
    <x v="108"/>
    <s v="MI"/>
    <s v="Flint"/>
    <s v="TX"/>
    <s v="Austin"/>
    <x v="1"/>
    <n v="712046"/>
    <s v="301-500"/>
    <n v="346"/>
    <x v="429"/>
    <x v="1"/>
    <n v="356.6"/>
    <n v="407.1"/>
    <x v="0"/>
    <s v="8.23"/>
    <s v="00:00-05:59"/>
    <x v="4"/>
    <x v="0"/>
    <n v="-28"/>
    <n v="62"/>
    <n v="0"/>
    <n v="33.9"/>
    <n v="0"/>
    <n v="0.42699999999999999"/>
    <n v="0.39700000000000002"/>
    <n v="21660.62"/>
    <x v="1"/>
    <n v="1"/>
    <n v="1"/>
    <n v="0"/>
    <n v="1"/>
    <n v="0"/>
    <n v="1"/>
    <n v="0"/>
    <x v="22"/>
    <x v="17"/>
    <n v="301.14"/>
    <n v="71.09"/>
    <x v="788"/>
    <n v="11.3"/>
    <n v="0"/>
  </r>
  <r>
    <n v="432941445"/>
    <n v="724834"/>
    <n v="1701771"/>
    <n v="6249"/>
    <x v="6"/>
    <n v="54587"/>
    <x v="11"/>
    <x v="18"/>
    <x v="18"/>
    <x v="792"/>
    <x v="800"/>
    <x v="799"/>
    <x v="327"/>
    <s v="CA"/>
    <s v="Oakland"/>
    <s v="MI"/>
    <s v="Lansing"/>
    <x v="0"/>
    <n v="739361"/>
    <s v="501-1000"/>
    <n v="508"/>
    <x v="430"/>
    <x v="213"/>
    <n v="506.1"/>
    <n v="513.4"/>
    <x v="2"/>
    <s v="13.18"/>
    <s v="14:00-17:59"/>
    <x v="3"/>
    <x v="0"/>
    <n v="7"/>
    <n v="0"/>
    <n v="0"/>
    <n v="5"/>
    <n v="0"/>
    <n v="0.28399999999999997"/>
    <n v="0.80100000000000005"/>
    <n v="3106.69"/>
    <x v="0"/>
    <n v="1"/>
    <n v="1"/>
    <n v="0"/>
    <n v="1"/>
    <n v="0"/>
    <n v="1"/>
    <n v="0"/>
    <x v="29"/>
    <x v="50"/>
    <n v="444.39"/>
    <n v="109.99"/>
    <x v="789"/>
    <n v="4.4000000000000004"/>
    <n v="4.5"/>
  </r>
  <r>
    <n v="653388913"/>
    <n v="263032"/>
    <n v="4191175"/>
    <n v="6486"/>
    <x v="9"/>
    <n v="55353"/>
    <x v="8"/>
    <x v="275"/>
    <x v="274"/>
    <x v="793"/>
    <x v="801"/>
    <x v="800"/>
    <x v="254"/>
    <s v="CA"/>
    <s v="San Diego"/>
    <s v="MO"/>
    <s v="Kansas City"/>
    <x v="0"/>
    <n v="705882"/>
    <s v="101-300"/>
    <n v="287"/>
    <x v="431"/>
    <x v="159"/>
    <n v="291.3"/>
    <n v="318.7"/>
    <x v="4"/>
    <s v="6.06"/>
    <s v="06:00-09:59"/>
    <x v="0"/>
    <x v="0"/>
    <n v="-22"/>
    <n v="0"/>
    <n v="0"/>
    <n v="59.3"/>
    <n v="0"/>
    <n v="0.83099999999999996"/>
    <n v="0.60699999999999998"/>
    <n v="62273.34"/>
    <x v="2"/>
    <n v="1"/>
    <n v="1"/>
    <n v="0"/>
    <n v="1"/>
    <n v="0"/>
    <n v="1"/>
    <n v="0"/>
    <x v="59"/>
    <x v="48"/>
    <n v="255.81"/>
    <n v="69.11"/>
    <x v="790"/>
    <n v="13.2"/>
    <n v="16.8"/>
  </r>
  <r>
    <n v="527589822"/>
    <n v="145561"/>
    <n v="2564689"/>
    <n v="1161"/>
    <x v="3"/>
    <n v="56857"/>
    <x v="7"/>
    <x v="92"/>
    <x v="92"/>
    <x v="794"/>
    <x v="802"/>
    <x v="801"/>
    <x v="91"/>
    <s v="MI"/>
    <s v="Lansing"/>
    <s v="NY"/>
    <s v="Buffalo"/>
    <x v="3"/>
    <n v="788047"/>
    <s v="0-100"/>
    <n v="20"/>
    <x v="138"/>
    <x v="233"/>
    <n v="21"/>
    <n v="80.8"/>
    <x v="0"/>
    <s v="0.93"/>
    <s v="10:00-13:59"/>
    <x v="0"/>
    <x v="0"/>
    <n v="-34"/>
    <n v="0"/>
    <n v="0"/>
    <n v="43.4"/>
    <n v="0"/>
    <n v="0.747"/>
    <n v="0.69899999999999995"/>
    <n v="16262.71"/>
    <x v="1"/>
    <n v="1"/>
    <n v="1"/>
    <n v="0"/>
    <n v="1"/>
    <n v="0"/>
    <n v="1"/>
    <n v="0"/>
    <x v="65"/>
    <x v="22"/>
    <n v="50.34"/>
    <n v="10.78"/>
    <x v="791"/>
    <n v="5.6"/>
    <n v="0"/>
  </r>
  <r>
    <n v="975535611"/>
    <n v="217301"/>
    <n v="5453786"/>
    <n v="5548"/>
    <x v="6"/>
    <n v="51666"/>
    <x v="11"/>
    <x v="275"/>
    <x v="274"/>
    <x v="795"/>
    <x v="803"/>
    <x v="802"/>
    <x v="254"/>
    <s v="FL"/>
    <s v="Tampa"/>
    <s v="FL"/>
    <s v="Tampa"/>
    <x v="1"/>
    <n v="758654"/>
    <s v="101-300"/>
    <n v="306"/>
    <x v="165"/>
    <x v="142"/>
    <n v="307.60000000000002"/>
    <n v="337.4"/>
    <x v="3"/>
    <s v="6.78"/>
    <s v="00:00-05:59"/>
    <x v="0"/>
    <x v="0"/>
    <n v="13"/>
    <n v="0"/>
    <n v="0"/>
    <n v="20.2"/>
    <n v="0"/>
    <n v="0.86299999999999999"/>
    <n v="0.97099999999999997"/>
    <n v="11617.02"/>
    <x v="1"/>
    <n v="1"/>
    <n v="1"/>
    <n v="0"/>
    <n v="1"/>
    <n v="0"/>
    <n v="1"/>
    <n v="0"/>
    <x v="14"/>
    <x v="29"/>
    <n v="276.64999999999998"/>
    <n v="53.29"/>
    <x v="792"/>
    <n v="13"/>
    <n v="49"/>
  </r>
  <r>
    <n v="683074770"/>
    <n v="733052"/>
    <n v="2642635"/>
    <n v="8989"/>
    <x v="1"/>
    <n v="54511"/>
    <x v="9"/>
    <x v="288"/>
    <x v="288"/>
    <x v="796"/>
    <x v="804"/>
    <x v="803"/>
    <x v="105"/>
    <s v="FL"/>
    <s v="Miami"/>
    <s v="AZ"/>
    <s v="Tucson"/>
    <x v="2"/>
    <n v="756949"/>
    <s v="0-100"/>
    <n v="76"/>
    <x v="85"/>
    <x v="205"/>
    <n v="66"/>
    <n v="103.8"/>
    <x v="2"/>
    <s v="1.63"/>
    <s v="06:00-09:59"/>
    <x v="3"/>
    <x v="0"/>
    <n v="-24"/>
    <n v="0"/>
    <n v="0"/>
    <n v="56.7"/>
    <n v="0"/>
    <n v="0.504"/>
    <n v="0.48899999999999999"/>
    <n v="1833.18"/>
    <x v="0"/>
    <n v="1"/>
    <n v="1"/>
    <n v="0"/>
    <n v="1"/>
    <n v="0"/>
    <n v="1"/>
    <n v="0"/>
    <x v="13"/>
    <x v="26"/>
    <n v="93.18"/>
    <n v="16.66"/>
    <x v="793"/>
    <n v="11.9"/>
    <n v="23.9"/>
  </r>
  <r>
    <n v="608309128"/>
    <n v="542417"/>
    <n v="1527021"/>
    <n v="6051"/>
    <x v="0"/>
    <n v="56172"/>
    <x v="9"/>
    <x v="74"/>
    <x v="74"/>
    <x v="797"/>
    <x v="805"/>
    <x v="804"/>
    <x v="73"/>
    <s v="TX"/>
    <s v="Houston"/>
    <s v="PA"/>
    <s v="Pittsburgh"/>
    <x v="3"/>
    <n v="785119"/>
    <s v="101-300"/>
    <n v="174"/>
    <x v="432"/>
    <x v="41"/>
    <n v="168.1"/>
    <n v="205.4"/>
    <x v="3"/>
    <s v="3.34 hrs"/>
    <s v="14:00-17:59"/>
    <x v="5"/>
    <x v="0"/>
    <n v="-7"/>
    <n v="0"/>
    <n v="0"/>
    <n v="44"/>
    <n v="0"/>
    <n v="0.65100000000000002"/>
    <n v="0.79200000000000004"/>
    <n v="12339.47"/>
    <x v="1"/>
    <n v="1"/>
    <n v="1"/>
    <n v="0"/>
    <n v="1"/>
    <n v="0"/>
    <n v="1"/>
    <n v="0"/>
    <x v="46"/>
    <x v="23"/>
    <n v="132.47"/>
    <n v="24.92"/>
    <x v="794"/>
    <n v="27.6"/>
    <n v="38"/>
  </r>
  <r>
    <n v="371993587"/>
    <n v="680099"/>
    <n v="7003042"/>
    <n v="6535"/>
    <x v="3"/>
    <n v="51384"/>
    <x v="10"/>
    <x v="28"/>
    <x v="28"/>
    <x v="798"/>
    <x v="806"/>
    <x v="805"/>
    <x v="268"/>
    <s v="WA"/>
    <s v="Seattle"/>
    <s v="MI"/>
    <s v="Lansing"/>
    <x v="0"/>
    <n v="727395"/>
    <s v="101-300"/>
    <n v="157"/>
    <x v="145"/>
    <x v="92"/>
    <n v="166.1"/>
    <n v="199.1"/>
    <x v="2"/>
    <s v="3.98"/>
    <s v="14:00-17:59"/>
    <x v="4"/>
    <x v="0"/>
    <n v="3"/>
    <n v="0"/>
    <n v="0"/>
    <n v="22.6"/>
    <n v="0"/>
    <n v="0.435"/>
    <n v="0.42399999999999999"/>
    <n v="5934.23"/>
    <x v="0"/>
    <n v="1"/>
    <n v="1"/>
    <n v="0"/>
    <n v="1"/>
    <n v="0"/>
    <n v="1"/>
    <n v="0"/>
    <x v="1"/>
    <x v="88"/>
    <n v="152.96"/>
    <n v="41.51"/>
    <x v="795"/>
    <n v="28.3"/>
    <n v="40.700000000000003"/>
  </r>
  <r>
    <n v="139321248"/>
    <n v="816751"/>
    <n v="3011363"/>
    <n v="9996"/>
    <x v="7"/>
    <n v="54403"/>
    <x v="7"/>
    <x v="325"/>
    <x v="325"/>
    <x v="799"/>
    <x v="807"/>
    <x v="806"/>
    <x v="126"/>
    <s v="WA"/>
    <s v="Spokane"/>
    <s v="GA"/>
    <s v="Savannah"/>
    <x v="1"/>
    <n v="775499"/>
    <s v="0-100"/>
    <n v="20"/>
    <x v="389"/>
    <x v="328"/>
    <n v="12.3"/>
    <n v="55.3"/>
    <x v="0"/>
    <s v="0.88"/>
    <s v="06:00-09:59"/>
    <x v="6"/>
    <x v="0"/>
    <n v="-37"/>
    <n v="0"/>
    <n v="0"/>
    <n v="71.599999999999994"/>
    <n v="0"/>
    <n v="0.38600000000000001"/>
    <n v="0.76900000000000002"/>
    <n v="5708.59"/>
    <x v="0"/>
    <n v="1"/>
    <n v="1"/>
    <n v="0"/>
    <n v="1"/>
    <n v="0"/>
    <n v="1"/>
    <n v="0"/>
    <x v="4"/>
    <x v="32"/>
    <n v="44.67"/>
    <n v="7.85"/>
    <x v="796"/>
    <n v="13.3"/>
    <n v="40.5"/>
  </r>
  <r>
    <n v="908839964"/>
    <n v="903035"/>
    <n v="7110622"/>
    <n v="3200"/>
    <x v="2"/>
    <n v="53954"/>
    <x v="8"/>
    <x v="159"/>
    <x v="159"/>
    <x v="800"/>
    <x v="808"/>
    <x v="807"/>
    <x v="163"/>
    <s v="PA"/>
    <s v="Erie"/>
    <s v="PA"/>
    <s v="Allentown"/>
    <x v="3"/>
    <n v="739365"/>
    <s v="101-300"/>
    <n v="155"/>
    <x v="1"/>
    <x v="222"/>
    <n v="160.4"/>
    <n v="194.7"/>
    <x v="2"/>
    <s v="3.67"/>
    <s v="06:00-09:59"/>
    <x v="3"/>
    <x v="0"/>
    <n v="-9"/>
    <n v="0"/>
    <n v="0"/>
    <n v="56.3"/>
    <n v="0"/>
    <n v="0.68799999999999994"/>
    <n v="0.39700000000000002"/>
    <n v="2695.55"/>
    <x v="0"/>
    <n v="1"/>
    <n v="1"/>
    <n v="0"/>
    <n v="1"/>
    <n v="0"/>
    <n v="1"/>
    <n v="0"/>
    <x v="49"/>
    <x v="55"/>
    <n v="132.15"/>
    <n v="21.51"/>
    <x v="565"/>
    <n v="26.8"/>
    <n v="7.2"/>
  </r>
  <r>
    <n v="794604127"/>
    <n v="930555"/>
    <n v="2262382"/>
    <n v="1698"/>
    <x v="0"/>
    <n v="56305"/>
    <x v="7"/>
    <x v="93"/>
    <x v="93"/>
    <x v="801"/>
    <x v="809"/>
    <x v="808"/>
    <x v="313"/>
    <s v="MI"/>
    <s v="Lansing"/>
    <s v="TX"/>
    <s v="Houston"/>
    <x v="1"/>
    <n v="712046"/>
    <s v="0-100"/>
    <n v="32"/>
    <x v="364"/>
    <x v="380"/>
    <n v="47.6"/>
    <n v="87"/>
    <x v="2"/>
    <s v="1.4"/>
    <s v="06:00-09:59"/>
    <x v="4"/>
    <x v="0"/>
    <n v="-6"/>
    <n v="0"/>
    <n v="0"/>
    <n v="22.2"/>
    <n v="0"/>
    <n v="0.498"/>
    <n v="0.66"/>
    <n v="5935.62"/>
    <x v="0"/>
    <n v="1"/>
    <n v="1"/>
    <n v="0"/>
    <n v="1"/>
    <n v="0"/>
    <n v="1"/>
    <n v="0"/>
    <x v="27"/>
    <x v="67"/>
    <n v="70.92"/>
    <n v="10.31"/>
    <x v="797"/>
    <n v="25.4"/>
    <n v="29"/>
  </r>
  <r>
    <n v="305195749"/>
    <n v="198246"/>
    <n v="9626108"/>
    <n v="5555"/>
    <x v="0"/>
    <n v="58252"/>
    <x v="9"/>
    <x v="308"/>
    <x v="308"/>
    <x v="802"/>
    <x v="810"/>
    <x v="809"/>
    <x v="314"/>
    <s v="MI"/>
    <s v="Lansing"/>
    <s v="MI"/>
    <s v="Flint"/>
    <x v="0"/>
    <n v="711807"/>
    <s v="301-500"/>
    <n v="430"/>
    <x v="433"/>
    <x v="166"/>
    <n v="433.3"/>
    <n v="506.8"/>
    <x v="1"/>
    <s v="7.33"/>
    <s v="00:00-05:59"/>
    <x v="1"/>
    <x v="0"/>
    <n v="-52"/>
    <n v="0"/>
    <n v="0"/>
    <n v="39.700000000000003"/>
    <n v="0"/>
    <n v="0.628"/>
    <n v="0.45600000000000002"/>
    <n v="106980.56"/>
    <x v="2"/>
    <n v="1"/>
    <n v="1"/>
    <n v="0"/>
    <n v="1"/>
    <n v="0"/>
    <n v="1"/>
    <n v="0"/>
    <x v="50"/>
    <x v="23"/>
    <n v="321.79000000000002"/>
    <n v="81.900000000000006"/>
    <x v="798"/>
    <n v="11.5"/>
    <n v="0"/>
  </r>
  <r>
    <n v="407209235"/>
    <n v="377932"/>
    <n v="9508103"/>
    <n v="6699"/>
    <x v="2"/>
    <n v="57238"/>
    <x v="6"/>
    <x v="308"/>
    <x v="308"/>
    <x v="803"/>
    <x v="811"/>
    <x v="810"/>
    <x v="297"/>
    <s v="IL"/>
    <s v="Chicago"/>
    <s v="CO"/>
    <s v="Pueblo"/>
    <x v="2"/>
    <n v="701092"/>
    <s v="101-300"/>
    <n v="140"/>
    <x v="288"/>
    <x v="0"/>
    <n v="152.80000000000001"/>
    <n v="212.1"/>
    <x v="3"/>
    <s v="5.22"/>
    <s v="18:00-23:59"/>
    <x v="1"/>
    <x v="3"/>
    <n v="110"/>
    <n v="0"/>
    <n v="0"/>
    <n v="96.9"/>
    <n v="0"/>
    <n v="0.621"/>
    <n v="0.80700000000000005"/>
    <n v="2914.96"/>
    <x v="0"/>
    <n v="1"/>
    <n v="0"/>
    <n v="1"/>
    <n v="0"/>
    <n v="1"/>
    <n v="0"/>
    <n v="1"/>
    <x v="3"/>
    <x v="17"/>
    <n v="189.13"/>
    <n v="43.65"/>
    <x v="799"/>
    <n v="13.9"/>
    <n v="31.7"/>
  </r>
  <r>
    <n v="483298103"/>
    <n v="581741"/>
    <n v="3790237"/>
    <n v="1995"/>
    <x v="5"/>
    <n v="56981"/>
    <x v="6"/>
    <x v="128"/>
    <x v="127"/>
    <x v="804"/>
    <x v="812"/>
    <x v="811"/>
    <x v="212"/>
    <s v="IL"/>
    <s v="Rockford"/>
    <s v="IL"/>
    <s v="Springfield"/>
    <x v="0"/>
    <n v="725966"/>
    <s v="101-300"/>
    <n v="218"/>
    <x v="334"/>
    <x v="285"/>
    <n v="222.2"/>
    <n v="299.39999999999998"/>
    <x v="2"/>
    <s v="5.14"/>
    <s v="14:00-17:59"/>
    <x v="2"/>
    <x v="0"/>
    <n v="-26"/>
    <n v="0"/>
    <n v="0"/>
    <n v="50"/>
    <n v="0"/>
    <n v="0.77900000000000003"/>
    <n v="0.67300000000000004"/>
    <n v="1928.21"/>
    <x v="0"/>
    <n v="1"/>
    <n v="1"/>
    <n v="0"/>
    <n v="1"/>
    <n v="0"/>
    <n v="1"/>
    <n v="0"/>
    <x v="17"/>
    <x v="13"/>
    <n v="254.13"/>
    <n v="52.51"/>
    <x v="800"/>
    <n v="17.5"/>
    <n v="24.6"/>
  </r>
  <r>
    <n v="938422254"/>
    <n v="910620"/>
    <n v="5977931"/>
    <n v="1064"/>
    <x v="3"/>
    <n v="56026"/>
    <x v="10"/>
    <x v="212"/>
    <x v="211"/>
    <x v="805"/>
    <x v="813"/>
    <x v="812"/>
    <x v="220"/>
    <s v="TN"/>
    <s v="Nashville"/>
    <s v="NY"/>
    <s v="Syracuse"/>
    <x v="3"/>
    <n v="737287"/>
    <s v="101-300"/>
    <n v="231"/>
    <x v="278"/>
    <x v="71"/>
    <n v="232.6"/>
    <n v="277.2"/>
    <x v="0"/>
    <s v="6.47"/>
    <s v="10:00-13:59"/>
    <x v="2"/>
    <x v="0"/>
    <n v="18"/>
    <n v="0"/>
    <n v="0"/>
    <n v="48.4"/>
    <n v="0"/>
    <n v="0.70699999999999996"/>
    <n v="0.313"/>
    <n v="5193.3500000000004"/>
    <x v="0"/>
    <n v="1"/>
    <n v="0"/>
    <n v="1"/>
    <n v="0"/>
    <n v="1"/>
    <n v="0"/>
    <n v="1"/>
    <x v="41"/>
    <x v="78"/>
    <n v="250.12"/>
    <n v="34.869999999999997"/>
    <x v="801"/>
    <n v="7"/>
    <n v="70.3"/>
  </r>
  <r>
    <n v="151329185"/>
    <n v="816751"/>
    <n v="3011363"/>
    <n v="9996"/>
    <x v="7"/>
    <n v="56609"/>
    <x v="10"/>
    <x v="326"/>
    <x v="326"/>
    <x v="806"/>
    <x v="814"/>
    <x v="813"/>
    <x v="224"/>
    <s v="IL"/>
    <s v="Rockford"/>
    <s v="IL"/>
    <s v="Aurora"/>
    <x v="0"/>
    <n v="725966"/>
    <s v="501-1000"/>
    <n v="649"/>
    <x v="89"/>
    <x v="133"/>
    <n v="651.20000000000005"/>
    <n v="669.7"/>
    <x v="0"/>
    <s v="12.29"/>
    <s v="14:00-17:59"/>
    <x v="4"/>
    <x v="0"/>
    <n v="1"/>
    <n v="66"/>
    <n v="0.8"/>
    <n v="57"/>
    <n v="0"/>
    <n v="0.83699999999999997"/>
    <n v="0.81100000000000005"/>
    <n v="10588.36"/>
    <x v="1"/>
    <n v="1"/>
    <n v="1"/>
    <n v="0"/>
    <n v="1"/>
    <n v="0"/>
    <n v="1"/>
    <n v="0"/>
    <x v="104"/>
    <x v="78"/>
    <n v="499.28"/>
    <n v="90.82"/>
    <x v="802"/>
    <n v="13.3"/>
    <n v="39.200000000000003"/>
  </r>
  <r>
    <n v="804086195"/>
    <n v="872246"/>
    <n v="4860684"/>
    <n v="6578"/>
    <x v="5"/>
    <n v="58664"/>
    <x v="11"/>
    <x v="180"/>
    <x v="179"/>
    <x v="807"/>
    <x v="815"/>
    <x v="814"/>
    <x v="184"/>
    <s v="NY"/>
    <s v="Syracuse"/>
    <s v="NY"/>
    <s v="Syracuse"/>
    <x v="3"/>
    <n v="742838"/>
    <s v="101-300"/>
    <n v="112"/>
    <x v="31"/>
    <x v="139"/>
    <n v="110.9"/>
    <n v="134.6"/>
    <x v="2"/>
    <s v="1.82"/>
    <s v="14:00-17:59"/>
    <x v="4"/>
    <x v="0"/>
    <n v="-8"/>
    <n v="0"/>
    <n v="0"/>
    <n v="51.8"/>
    <n v="0"/>
    <n v="0.59599999999999997"/>
    <n v="0.439"/>
    <n v="5325.08"/>
    <x v="0"/>
    <n v="1"/>
    <n v="1"/>
    <n v="0"/>
    <n v="1"/>
    <n v="0"/>
    <n v="1"/>
    <n v="0"/>
    <x v="8"/>
    <x v="74"/>
    <n v="84.83"/>
    <n v="29.22"/>
    <x v="803"/>
    <n v="41.8"/>
    <n v="21.5"/>
  </r>
  <r>
    <n v="456401418"/>
    <n v="158655"/>
    <n v="4576135"/>
    <n v="9755"/>
    <x v="1"/>
    <n v="50958"/>
    <x v="2"/>
    <x v="320"/>
    <x v="320"/>
    <x v="808"/>
    <x v="816"/>
    <x v="815"/>
    <x v="323"/>
    <s v="GA"/>
    <s v="Augusta"/>
    <s v="CO"/>
    <s v="Pueblo"/>
    <x v="2"/>
    <n v="702500"/>
    <s v="101-300"/>
    <n v="113"/>
    <x v="89"/>
    <x v="55"/>
    <n v="111.8"/>
    <n v="137"/>
    <x v="0"/>
    <s v="1.08"/>
    <s v="14:00-17:59"/>
    <x v="4"/>
    <x v="0"/>
    <n v="-63"/>
    <n v="0"/>
    <n v="0"/>
    <n v="38.799999999999997"/>
    <n v="0"/>
    <n v="0.41199999999999998"/>
    <n v="0.55500000000000005"/>
    <n v="3771.88"/>
    <x v="0"/>
    <n v="1"/>
    <n v="1"/>
    <n v="0"/>
    <n v="1"/>
    <n v="0"/>
    <n v="1"/>
    <n v="0"/>
    <x v="62"/>
    <x v="35"/>
    <n v="98.98"/>
    <n v="14.57"/>
    <x v="804"/>
    <n v="12.9"/>
    <n v="45"/>
  </r>
  <r>
    <n v="393364102"/>
    <n v="688508"/>
    <n v="8930103"/>
    <n v="3047"/>
    <x v="9"/>
    <n v="58724"/>
    <x v="6"/>
    <x v="10"/>
    <x v="10"/>
    <x v="809"/>
    <x v="817"/>
    <x v="816"/>
    <x v="10"/>
    <s v="OH"/>
    <s v="Dayton"/>
    <s v="GA"/>
    <s v="Columbus"/>
    <x v="1"/>
    <n v="796938"/>
    <s v="301-500"/>
    <n v="296"/>
    <x v="44"/>
    <x v="61"/>
    <n v="292.8"/>
    <n v="326.5"/>
    <x v="1"/>
    <s v="6.55"/>
    <s v="00:00-05:59"/>
    <x v="4"/>
    <x v="0"/>
    <n v="-8"/>
    <n v="0"/>
    <n v="0"/>
    <n v="36.200000000000003"/>
    <n v="0"/>
    <n v="0.34300000000000003"/>
    <n v="0.52300000000000002"/>
    <n v="1952.66"/>
    <x v="0"/>
    <n v="1"/>
    <n v="1"/>
    <n v="0"/>
    <n v="1"/>
    <n v="0"/>
    <n v="1"/>
    <n v="0"/>
    <x v="70"/>
    <x v="88"/>
    <n v="252.95"/>
    <n v="71.61"/>
    <x v="805"/>
    <n v="4"/>
    <n v="54.9"/>
  </r>
  <r>
    <n v="233654018"/>
    <n v="816751"/>
    <n v="3011363"/>
    <n v="9996"/>
    <x v="7"/>
    <n v="50493"/>
    <x v="6"/>
    <x v="209"/>
    <x v="208"/>
    <x v="810"/>
    <x v="818"/>
    <x v="817"/>
    <x v="215"/>
    <s v="MI"/>
    <s v="Ann Arbor"/>
    <s v="WA"/>
    <s v="Vancouver"/>
    <x v="2"/>
    <n v="722324"/>
    <s v="101-300"/>
    <n v="263"/>
    <x v="380"/>
    <x v="269"/>
    <n v="265.5"/>
    <n v="320"/>
    <x v="0"/>
    <s v="5.12"/>
    <s v="06:00-09:59"/>
    <x v="5"/>
    <x v="0"/>
    <n v="-35"/>
    <n v="0"/>
    <n v="0"/>
    <n v="63.4"/>
    <n v="0"/>
    <n v="0.73899999999999999"/>
    <n v="0.747"/>
    <n v="4170.7"/>
    <x v="0"/>
    <n v="1"/>
    <n v="1"/>
    <n v="0"/>
    <n v="1"/>
    <n v="0"/>
    <n v="1"/>
    <n v="0"/>
    <x v="9"/>
    <x v="37"/>
    <n v="288.24"/>
    <n v="66.78"/>
    <x v="806"/>
    <n v="13.3"/>
    <n v="29.6"/>
  </r>
  <r>
    <n v="958287383"/>
    <n v="996865"/>
    <n v="2022698"/>
    <n v="6463"/>
    <x v="5"/>
    <n v="57042"/>
    <x v="2"/>
    <x v="97"/>
    <x v="97"/>
    <x v="811"/>
    <x v="819"/>
    <x v="818"/>
    <x v="91"/>
    <s v="AZ"/>
    <s v="Flagstaff"/>
    <s v="WA"/>
    <s v="Seattle"/>
    <x v="2"/>
    <n v="788294"/>
    <s v="501-1000"/>
    <n v="661"/>
    <x v="434"/>
    <x v="261"/>
    <n v="674.2"/>
    <n v="741.3"/>
    <x v="0"/>
    <s v="14.36"/>
    <s v="14:00-17:59"/>
    <x v="2"/>
    <x v="0"/>
    <n v="1"/>
    <n v="0"/>
    <n v="0"/>
    <n v="51.5"/>
    <n v="0"/>
    <n v="0.48599999999999999"/>
    <n v="0.69099999999999995"/>
    <n v="4777.17"/>
    <x v="0"/>
    <n v="1"/>
    <n v="1"/>
    <n v="0"/>
    <n v="1"/>
    <n v="0"/>
    <n v="1"/>
    <n v="0"/>
    <x v="22"/>
    <x v="63"/>
    <n v="655.99"/>
    <n v="134.49"/>
    <x v="807"/>
    <n v="8.8000000000000007"/>
    <n v="41.2"/>
  </r>
  <r>
    <n v="495157577"/>
    <n v="287330"/>
    <n v="4348276"/>
    <n v="9338"/>
    <x v="3"/>
    <n v="50081"/>
    <x v="6"/>
    <x v="143"/>
    <x v="143"/>
    <x v="812"/>
    <x v="820"/>
    <x v="819"/>
    <x v="147"/>
    <s v="NC"/>
    <s v="Durham"/>
    <s v="FL"/>
    <s v="Orlando"/>
    <x v="1"/>
    <n v="720278"/>
    <s v="101-300"/>
    <n v="276"/>
    <x v="0"/>
    <x v="20"/>
    <n v="284.5"/>
    <n v="306.60000000000002"/>
    <x v="2"/>
    <s v="6.27"/>
    <s v="10:00-13:59"/>
    <x v="6"/>
    <x v="0"/>
    <n v="-22"/>
    <n v="0"/>
    <n v="0"/>
    <n v="73.599999999999994"/>
    <n v="0"/>
    <n v="0.40500000000000003"/>
    <n v="0.60599999999999998"/>
    <n v="4836.55"/>
    <x v="0"/>
    <n v="1"/>
    <n v="1"/>
    <n v="0"/>
    <n v="1"/>
    <n v="0"/>
    <n v="1"/>
    <n v="0"/>
    <x v="1"/>
    <x v="63"/>
    <n v="244.73"/>
    <n v="65.36"/>
    <x v="808"/>
    <n v="17.5"/>
    <n v="64.2"/>
  </r>
  <r>
    <n v="569172971"/>
    <n v="260263"/>
    <n v="5674183"/>
    <n v="5736"/>
    <x v="7"/>
    <n v="56999"/>
    <x v="12"/>
    <x v="311"/>
    <x v="311"/>
    <x v="813"/>
    <x v="821"/>
    <x v="820"/>
    <x v="164"/>
    <s v="AZ"/>
    <s v="Phoenix"/>
    <s v="TX"/>
    <s v="El Paso"/>
    <x v="1"/>
    <n v="780739"/>
    <s v="101-300"/>
    <n v="197"/>
    <x v="48"/>
    <x v="82"/>
    <n v="198.2"/>
    <n v="226"/>
    <x v="2"/>
    <s v="3.88"/>
    <s v="18:00-23:59"/>
    <x v="2"/>
    <x v="0"/>
    <n v="-29"/>
    <n v="0"/>
    <n v="0"/>
    <n v="53.5"/>
    <n v="0"/>
    <n v="0.60599999999999998"/>
    <n v="0.69499999999999995"/>
    <n v="6242.19"/>
    <x v="0"/>
    <n v="1"/>
    <n v="1"/>
    <n v="0"/>
    <n v="1"/>
    <n v="0"/>
    <n v="1"/>
    <n v="0"/>
    <x v="35"/>
    <x v="34"/>
    <n v="189.6"/>
    <n v="26.73"/>
    <x v="98"/>
    <n v="30.8"/>
    <n v="27.2"/>
  </r>
  <r>
    <n v="529520110"/>
    <n v="391369"/>
    <n v="4214348"/>
    <n v="7235"/>
    <x v="6"/>
    <n v="52970"/>
    <x v="8"/>
    <x v="10"/>
    <x v="10"/>
    <x v="814"/>
    <x v="822"/>
    <x v="821"/>
    <x v="10"/>
    <s v="NC"/>
    <s v="Charlotte"/>
    <s v="AZ"/>
    <s v="Phoenix"/>
    <x v="2"/>
    <n v="750662"/>
    <s v="0-100"/>
    <n v="60"/>
    <x v="1"/>
    <x v="111"/>
    <n v="63.7"/>
    <n v="95.5"/>
    <x v="4"/>
    <s v="1.03"/>
    <s v="14:00-17:59"/>
    <x v="4"/>
    <x v="0"/>
    <n v="-28"/>
    <n v="0"/>
    <n v="0"/>
    <n v="75.5"/>
    <n v="0"/>
    <n v="0.73299999999999998"/>
    <n v="0.625"/>
    <n v="2905.85"/>
    <x v="0"/>
    <n v="1"/>
    <n v="1"/>
    <n v="0"/>
    <n v="1"/>
    <n v="0"/>
    <n v="1"/>
    <n v="0"/>
    <x v="40"/>
    <x v="33"/>
    <n v="86.54"/>
    <n v="20.350000000000001"/>
    <x v="809"/>
    <n v="45.2"/>
    <n v="23.4"/>
  </r>
  <r>
    <n v="898120571"/>
    <n v="766563"/>
    <n v="9910817"/>
    <n v="1391"/>
    <x v="7"/>
    <n v="50011"/>
    <x v="13"/>
    <x v="327"/>
    <x v="327"/>
    <x v="815"/>
    <x v="823"/>
    <x v="822"/>
    <x v="256"/>
    <s v="NC"/>
    <s v="Charlotte"/>
    <s v="GA"/>
    <s v="Augusta"/>
    <x v="1"/>
    <n v="730299"/>
    <s v="101-300"/>
    <n v="215"/>
    <x v="226"/>
    <x v="50"/>
    <n v="214.5"/>
    <n v="222.1"/>
    <x v="1"/>
    <s v="5.07"/>
    <s v="18:00-23:59"/>
    <x v="6"/>
    <x v="0"/>
    <n v="-26"/>
    <n v="0"/>
    <n v="0"/>
    <n v="59.7"/>
    <n v="0"/>
    <n v="0.749"/>
    <n v="0.66700000000000004"/>
    <n v="21684.03"/>
    <x v="1"/>
    <n v="1"/>
    <n v="1"/>
    <n v="0"/>
    <n v="1"/>
    <n v="0"/>
    <n v="1"/>
    <n v="0"/>
    <x v="50"/>
    <x v="42"/>
    <n v="194.38"/>
    <n v="27.88"/>
    <x v="810"/>
    <n v="10"/>
    <n v="26.2"/>
  </r>
  <r>
    <n v="572163615"/>
    <n v="974628"/>
    <n v="3641282"/>
    <n v="6892"/>
    <x v="0"/>
    <n v="57824"/>
    <x v="9"/>
    <x v="65"/>
    <x v="65"/>
    <x v="816"/>
    <x v="824"/>
    <x v="823"/>
    <x v="64"/>
    <s v="PA"/>
    <s v="Allentown"/>
    <s v="FL"/>
    <s v="Tampa"/>
    <x v="1"/>
    <n v="750133"/>
    <s v="101-300"/>
    <n v="258"/>
    <x v="267"/>
    <x v="84"/>
    <n v="266.5"/>
    <n v="316.3"/>
    <x v="0"/>
    <s v="5.52 hrs"/>
    <s v="06:00-09:59"/>
    <x v="3"/>
    <x v="0"/>
    <n v="-48"/>
    <n v="0"/>
    <n v="0"/>
    <n v="43.3"/>
    <n v="0"/>
    <n v="0.38700000000000001"/>
    <n v="0.73899999999999999"/>
    <n v="2047"/>
    <x v="0"/>
    <n v="1"/>
    <n v="1"/>
    <n v="0"/>
    <n v="1"/>
    <n v="0"/>
    <n v="1"/>
    <n v="0"/>
    <x v="65"/>
    <x v="29"/>
    <n v="258.62"/>
    <n v="52.36"/>
    <x v="811"/>
    <n v="1.4"/>
    <n v="7.3"/>
  </r>
  <r>
    <n v="515156661"/>
    <n v="391369"/>
    <n v="4214348"/>
    <n v="7235"/>
    <x v="6"/>
    <n v="50761"/>
    <x v="9"/>
    <x v="231"/>
    <x v="230"/>
    <x v="817"/>
    <x v="825"/>
    <x v="824"/>
    <x v="243"/>
    <s v="CA"/>
    <s v="Fresno"/>
    <s v="NY"/>
    <s v="Buffalo"/>
    <x v="3"/>
    <n v="749899"/>
    <s v="0-100"/>
    <n v="44"/>
    <x v="435"/>
    <x v="111"/>
    <n v="34.200000000000003"/>
    <n v="75"/>
    <x v="4"/>
    <s v="0.97"/>
    <s v="18:00-23:59"/>
    <x v="1"/>
    <x v="0"/>
    <n v="-45"/>
    <n v="0"/>
    <n v="0"/>
    <n v="57.6"/>
    <n v="0"/>
    <n v="0.58199999999999996"/>
    <n v="0.71699999999999997"/>
    <n v="4844.84"/>
    <x v="0"/>
    <n v="1"/>
    <n v="1"/>
    <n v="0"/>
    <n v="1"/>
    <n v="0"/>
    <n v="1"/>
    <n v="0"/>
    <x v="105"/>
    <x v="103"/>
    <n v="58.65"/>
    <n v="11.9"/>
    <x v="812"/>
    <n v="45.2"/>
    <n v="21.7"/>
  </r>
  <r>
    <n v="464037804"/>
    <n v="260263"/>
    <n v="5674183"/>
    <n v="5736"/>
    <x v="7"/>
    <n v="53185"/>
    <x v="9"/>
    <x v="200"/>
    <x v="199"/>
    <x v="818"/>
    <x v="826"/>
    <x v="825"/>
    <x v="203"/>
    <s v="WA"/>
    <s v="Seattle"/>
    <s v="GA"/>
    <s v="Macon"/>
    <x v="1"/>
    <n v="775499"/>
    <s v="101-300"/>
    <n v="131"/>
    <x v="90"/>
    <x v="100"/>
    <n v="142.6"/>
    <n v="170.6"/>
    <x v="2"/>
    <s v="2.41"/>
    <s v="06:00-09:59"/>
    <x v="5"/>
    <x v="0"/>
    <n v="-25"/>
    <n v="0"/>
    <n v="1.6"/>
    <n v="80.900000000000006"/>
    <n v="0"/>
    <n v="0.64100000000000001"/>
    <n v="0.498"/>
    <n v="5393.37"/>
    <x v="0"/>
    <n v="1"/>
    <n v="1"/>
    <n v="0"/>
    <n v="1"/>
    <n v="0"/>
    <n v="1"/>
    <n v="0"/>
    <x v="5"/>
    <x v="25"/>
    <n v="130.13999999999999"/>
    <n v="27.55"/>
    <x v="813"/>
    <n v="30.8"/>
    <n v="27.6"/>
  </r>
  <r>
    <n v="300593456"/>
    <n v="813328"/>
    <n v="5186414"/>
    <n v="4510"/>
    <x v="0"/>
    <n v="50025"/>
    <x v="6"/>
    <x v="75"/>
    <x v="75"/>
    <x v="819"/>
    <x v="827"/>
    <x v="826"/>
    <x v="153"/>
    <s v="CA"/>
    <s v="Fresno"/>
    <s v="NC"/>
    <s v="Greensboro"/>
    <x v="1"/>
    <n v="766655"/>
    <s v="101-300"/>
    <n v="224"/>
    <x v="436"/>
    <x v="68"/>
    <n v="220.7"/>
    <n v="313.8"/>
    <x v="0"/>
    <s v="5.41"/>
    <s v="18:00-23:59"/>
    <x v="5"/>
    <x v="0"/>
    <n v="16"/>
    <n v="0"/>
    <n v="1.4"/>
    <n v="71.5"/>
    <n v="0"/>
    <n v="0.27700000000000002"/>
    <n v="0.77100000000000002"/>
    <n v="3553.1"/>
    <x v="0"/>
    <n v="1"/>
    <n v="0"/>
    <n v="1"/>
    <n v="0"/>
    <n v="1"/>
    <n v="0"/>
    <n v="1"/>
    <x v="100"/>
    <x v="87"/>
    <n v="265.77999999999997"/>
    <n v="41.45"/>
    <x v="814"/>
    <n v="29.1"/>
    <n v="25.9"/>
  </r>
  <r>
    <n v="632794158"/>
    <n v="197251"/>
    <n v="4078418"/>
    <n v="2585"/>
    <x v="4"/>
    <n v="51806"/>
    <x v="7"/>
    <x v="126"/>
    <x v="125"/>
    <x v="820"/>
    <x v="828"/>
    <x v="827"/>
    <x v="127"/>
    <s v="NY"/>
    <s v="Albany"/>
    <s v="WA"/>
    <s v="Vancouver"/>
    <x v="2"/>
    <n v="750010"/>
    <s v="0-100"/>
    <n v="49"/>
    <x v="437"/>
    <x v="381"/>
    <n v="46.7"/>
    <n v="86.6"/>
    <x v="0"/>
    <s v="1.47"/>
    <s v="06:00-09:59"/>
    <x v="3"/>
    <x v="0"/>
    <n v="-2"/>
    <n v="0"/>
    <n v="0"/>
    <n v="75.8"/>
    <n v="0"/>
    <n v="0.746"/>
    <n v="0.61"/>
    <n v="11605.41"/>
    <x v="1"/>
    <n v="1"/>
    <n v="1"/>
    <n v="0"/>
    <n v="1"/>
    <n v="0"/>
    <n v="1"/>
    <n v="0"/>
    <x v="17"/>
    <x v="37"/>
    <n v="74.7"/>
    <n v="16.77"/>
    <x v="815"/>
    <n v="11.9"/>
    <n v="14.9"/>
  </r>
  <r>
    <n v="843102880"/>
    <n v="766563"/>
    <n v="9910817"/>
    <n v="1391"/>
    <x v="7"/>
    <n v="56651"/>
    <x v="1"/>
    <x v="238"/>
    <x v="237"/>
    <x v="821"/>
    <x v="829"/>
    <x v="828"/>
    <x v="238"/>
    <s v="CA"/>
    <s v="Sacramento"/>
    <s v="AZ"/>
    <s v="Mesa"/>
    <x v="2"/>
    <n v="702981"/>
    <s v="301-500"/>
    <n v="391"/>
    <x v="438"/>
    <x v="106"/>
    <n v="383.7"/>
    <n v="408"/>
    <x v="1"/>
    <s v="7.3"/>
    <s v="10:00-13:59"/>
    <x v="0"/>
    <x v="0"/>
    <n v="0"/>
    <n v="0"/>
    <n v="0"/>
    <n v="29.9"/>
    <n v="0"/>
    <n v="0.77100000000000002"/>
    <n v="0.64900000000000002"/>
    <n v="3117.95"/>
    <x v="0"/>
    <n v="1"/>
    <n v="1"/>
    <n v="0"/>
    <n v="1"/>
    <n v="0"/>
    <n v="1"/>
    <n v="0"/>
    <x v="102"/>
    <x v="88"/>
    <n v="279.60000000000002"/>
    <n v="77.16"/>
    <x v="816"/>
    <n v="10"/>
    <n v="38.1"/>
  </r>
  <r>
    <n v="634211672"/>
    <n v="629903"/>
    <n v="9143903"/>
    <n v="9666"/>
    <x v="9"/>
    <n v="55664"/>
    <x v="5"/>
    <x v="192"/>
    <x v="191"/>
    <x v="822"/>
    <x v="830"/>
    <x v="829"/>
    <x v="194"/>
    <s v="IL"/>
    <s v="Springfield"/>
    <s v="OH"/>
    <s v="Cincinnati"/>
    <x v="0"/>
    <n v="791457"/>
    <s v="101-300"/>
    <n v="244"/>
    <x v="213"/>
    <x v="219"/>
    <n v="244.9"/>
    <n v="281.7"/>
    <x v="3"/>
    <s v="6.73"/>
    <s v="14:00-17:59"/>
    <x v="3"/>
    <x v="0"/>
    <n v="8"/>
    <n v="86"/>
    <n v="0"/>
    <n v="14.2"/>
    <n v="0"/>
    <n v="0.84199999999999997"/>
    <n v="0.66400000000000003"/>
    <n v="83689.77"/>
    <x v="2"/>
    <n v="1"/>
    <n v="1"/>
    <n v="0"/>
    <n v="1"/>
    <n v="0"/>
    <n v="1"/>
    <n v="0"/>
    <x v="67"/>
    <x v="6"/>
    <n v="214.71"/>
    <n v="60.42"/>
    <x v="19"/>
    <n v="10.3"/>
    <n v="7.1"/>
  </r>
  <r>
    <n v="494435754"/>
    <n v="245051"/>
    <n v="1739653"/>
    <n v="4763"/>
    <x v="7"/>
    <n v="55154"/>
    <x v="14"/>
    <x v="278"/>
    <x v="277"/>
    <x v="823"/>
    <x v="831"/>
    <x v="830"/>
    <x v="22"/>
    <s v="MI"/>
    <s v="Detroit"/>
    <s v="NJ"/>
    <s v="Jersey City"/>
    <x v="3"/>
    <n v="742039"/>
    <s v="101-300"/>
    <n v="211"/>
    <x v="439"/>
    <x v="235"/>
    <n v="206.9"/>
    <n v="244.4"/>
    <x v="0"/>
    <s v="4.03"/>
    <s v="10:00-13:59"/>
    <x v="2"/>
    <x v="0"/>
    <n v="-12"/>
    <n v="0"/>
    <n v="0"/>
    <n v="44.8"/>
    <n v="0"/>
    <n v="0.66300000000000003"/>
    <n v="0.85199999999999998"/>
    <n v="3557.82"/>
    <x v="0"/>
    <n v="1"/>
    <n v="1"/>
    <n v="0"/>
    <n v="1"/>
    <n v="0"/>
    <n v="1"/>
    <n v="0"/>
    <x v="20"/>
    <x v="31"/>
    <n v="208.07"/>
    <n v="39.31"/>
    <x v="817"/>
    <n v="12.9"/>
    <n v="66.7"/>
  </r>
  <r>
    <n v="956084565"/>
    <n v="688508"/>
    <n v="8930103"/>
    <n v="3047"/>
    <x v="9"/>
    <n v="55824"/>
    <x v="3"/>
    <x v="106"/>
    <x v="282"/>
    <x v="824"/>
    <x v="832"/>
    <x v="831"/>
    <x v="131"/>
    <s v="NJ"/>
    <s v="Elizabeth"/>
    <s v="NJ"/>
    <s v="Jersey City"/>
    <x v="3"/>
    <n v="748114"/>
    <s v="101-300"/>
    <n v="238"/>
    <x v="11"/>
    <x v="48"/>
    <n v="245"/>
    <n v="271.7"/>
    <x v="1"/>
    <s v="9.77"/>
    <s v="10:00-13:59"/>
    <x v="3"/>
    <x v="1"/>
    <n v="278"/>
    <n v="0"/>
    <n v="0"/>
    <n v="63"/>
    <n v="1"/>
    <n v="0.80400000000000005"/>
    <n v="0.46"/>
    <n v="4760.01"/>
    <x v="0"/>
    <n v="1"/>
    <n v="0"/>
    <n v="1"/>
    <n v="0"/>
    <n v="1"/>
    <n v="0"/>
    <n v="1"/>
    <x v="8"/>
    <x v="30"/>
    <n v="223.53"/>
    <n v="1241.69"/>
    <x v="818"/>
    <n v="4"/>
    <n v="78.900000000000006"/>
  </r>
  <r>
    <n v="657568201"/>
    <n v="804314"/>
    <n v="1006810"/>
    <n v="7893"/>
    <x v="4"/>
    <n v="53659"/>
    <x v="7"/>
    <x v="272"/>
    <x v="271"/>
    <x v="825"/>
    <x v="833"/>
    <x v="832"/>
    <x v="280"/>
    <s v="PA"/>
    <s v="Erie"/>
    <s v="PA"/>
    <s v="Allentown"/>
    <x v="3"/>
    <n v="739365"/>
    <s v="301-500"/>
    <n v="415"/>
    <x v="326"/>
    <x v="152"/>
    <n v="419.1"/>
    <n v="481"/>
    <x v="0"/>
    <s v="11.16"/>
    <s v="18:00-23:59"/>
    <x v="6"/>
    <x v="0"/>
    <n v="-27"/>
    <n v="0"/>
    <n v="0"/>
    <n v="48.4"/>
    <n v="0"/>
    <n v="0.66600000000000004"/>
    <n v="0.753"/>
    <n v="11770.91"/>
    <x v="1"/>
    <n v="1"/>
    <n v="1"/>
    <n v="0"/>
    <n v="1"/>
    <n v="0"/>
    <n v="1"/>
    <n v="0"/>
    <x v="1"/>
    <x v="69"/>
    <n v="383.58"/>
    <n v="100.24"/>
    <x v="819"/>
    <n v="11.6"/>
    <n v="12.1"/>
  </r>
  <r>
    <n v="386389162"/>
    <n v="287330"/>
    <n v="4348276"/>
    <n v="9338"/>
    <x v="3"/>
    <n v="51525"/>
    <x v="9"/>
    <x v="131"/>
    <x v="131"/>
    <x v="826"/>
    <x v="834"/>
    <x v="833"/>
    <x v="133"/>
    <s v="MI"/>
    <s v="Flint"/>
    <s v="MI"/>
    <s v="Ann Arbor"/>
    <x v="0"/>
    <n v="711807"/>
    <s v="101-300"/>
    <n v="264"/>
    <x v="39"/>
    <x v="135"/>
    <n v="259.8"/>
    <n v="335.8"/>
    <x v="2"/>
    <s v="4.78"/>
    <s v="10:00-13:59"/>
    <x v="0"/>
    <x v="0"/>
    <n v="-36"/>
    <n v="0"/>
    <n v="0"/>
    <n v="48.5"/>
    <n v="0"/>
    <n v="0.65900000000000003"/>
    <n v="0.90500000000000003"/>
    <n v="33895.019999999997"/>
    <x v="2"/>
    <n v="1"/>
    <n v="1"/>
    <n v="0"/>
    <n v="1"/>
    <n v="0"/>
    <n v="1"/>
    <n v="0"/>
    <x v="15"/>
    <x v="1"/>
    <n v="240.81"/>
    <n v="70.63"/>
    <x v="820"/>
    <n v="17.5"/>
    <n v="69.400000000000006"/>
  </r>
  <r>
    <n v="960226208"/>
    <n v="472528"/>
    <n v="4117625"/>
    <n v="7278"/>
    <x v="3"/>
    <n v="50760"/>
    <x v="10"/>
    <x v="43"/>
    <x v="43"/>
    <x v="827"/>
    <x v="835"/>
    <x v="834"/>
    <x v="42"/>
    <s v="NJ"/>
    <s v="Newark"/>
    <s v="FL"/>
    <s v="Orlando"/>
    <x v="1"/>
    <n v="790386"/>
    <s v="101-300"/>
    <n v="256"/>
    <x v="187"/>
    <x v="262"/>
    <n v="250.7"/>
    <n v="278.89999999999998"/>
    <x v="0"/>
    <s v="6.72"/>
    <s v="10:00-13:59"/>
    <x v="1"/>
    <x v="0"/>
    <n v="0"/>
    <n v="0"/>
    <n v="0"/>
    <n v="39.9"/>
    <n v="0"/>
    <n v="0.48699999999999999"/>
    <n v="0.59199999999999997"/>
    <n v="3429.1"/>
    <x v="0"/>
    <n v="1"/>
    <n v="1"/>
    <n v="0"/>
    <n v="1"/>
    <n v="0"/>
    <n v="1"/>
    <n v="0"/>
    <x v="39"/>
    <x v="91"/>
    <n v="223.89"/>
    <n v="49.63"/>
    <x v="821"/>
    <n v="20.5"/>
    <n v="74.3"/>
  </r>
  <r>
    <n v="188703430"/>
    <n v="249811"/>
    <n v="2795765"/>
    <n v="8392"/>
    <x v="2"/>
    <n v="50594"/>
    <x v="7"/>
    <x v="322"/>
    <x v="322"/>
    <x v="828"/>
    <x v="836"/>
    <x v="835"/>
    <x v="325"/>
    <s v="FL"/>
    <s v="Fort Lauderdale"/>
    <s v="AZ"/>
    <s v="Tucson"/>
    <x v="2"/>
    <n v="756949"/>
    <s v="101-300"/>
    <n v="219"/>
    <x v="223"/>
    <x v="53"/>
    <n v="215.1"/>
    <n v="260.10000000000002"/>
    <x v="0"/>
    <s v="5.09"/>
    <s v="00:00-05:59"/>
    <x v="2"/>
    <x v="0"/>
    <n v="-39"/>
    <n v="0"/>
    <n v="0"/>
    <n v="16.2"/>
    <n v="0"/>
    <n v="0.33900000000000002"/>
    <n v="0.35199999999999998"/>
    <n v="2146.86"/>
    <x v="0"/>
    <n v="1"/>
    <n v="1"/>
    <n v="0"/>
    <n v="1"/>
    <n v="0"/>
    <n v="1"/>
    <n v="0"/>
    <x v="68"/>
    <x v="77"/>
    <n v="209.03"/>
    <n v="51.62"/>
    <x v="822"/>
    <n v="11.1"/>
    <n v="15.1"/>
  </r>
  <r>
    <n v="880697625"/>
    <n v="903035"/>
    <n v="7110622"/>
    <n v="3200"/>
    <x v="2"/>
    <n v="57192"/>
    <x v="2"/>
    <x v="254"/>
    <x v="253"/>
    <x v="829"/>
    <x v="837"/>
    <x v="836"/>
    <x v="253"/>
    <s v="CO"/>
    <s v="Colorado Springs"/>
    <s v="CA"/>
    <s v="Oakland"/>
    <x v="2"/>
    <n v="717088"/>
    <s v="101-300"/>
    <n v="250"/>
    <x v="440"/>
    <x v="2"/>
    <n v="244.3"/>
    <n v="292.89999999999998"/>
    <x v="2"/>
    <s v="9.39"/>
    <s v="14:00-17:59"/>
    <x v="0"/>
    <x v="3"/>
    <n v="189"/>
    <n v="0"/>
    <n v="0"/>
    <n v="78.400000000000006"/>
    <n v="0"/>
    <n v="0.56499999999999995"/>
    <n v="0.70899999999999996"/>
    <n v="6403.07"/>
    <x v="0"/>
    <n v="1"/>
    <n v="0"/>
    <n v="1"/>
    <n v="0"/>
    <n v="1"/>
    <n v="0"/>
    <n v="1"/>
    <x v="76"/>
    <x v="16"/>
    <n v="219.6"/>
    <n v="47.04"/>
    <x v="823"/>
    <n v="26.8"/>
    <n v="6.6"/>
  </r>
  <r>
    <n v="555803043"/>
    <n v="623481"/>
    <n v="2737893"/>
    <n v="4627"/>
    <x v="3"/>
    <n v="51055"/>
    <x v="7"/>
    <x v="80"/>
    <x v="80"/>
    <x v="830"/>
    <x v="838"/>
    <x v="837"/>
    <x v="79"/>
    <s v="NJ"/>
    <s v="Paterson"/>
    <s v="IL"/>
    <s v="Aurora"/>
    <x v="0"/>
    <n v="755514"/>
    <s v="501-1000"/>
    <n v="977"/>
    <x v="441"/>
    <x v="382"/>
    <n v="975.3"/>
    <n v="1061.3"/>
    <x v="0"/>
    <s v="23.44"/>
    <s v="14:00-17:59"/>
    <x v="5"/>
    <x v="4"/>
    <n v="97"/>
    <n v="243"/>
    <n v="0"/>
    <n v="48.6"/>
    <n v="0"/>
    <n v="0.59499999999999997"/>
    <n v="0.84899999999999998"/>
    <n v="14325.17"/>
    <x v="1"/>
    <n v="1"/>
    <n v="0"/>
    <n v="1"/>
    <n v="0"/>
    <n v="1"/>
    <n v="0"/>
    <n v="1"/>
    <x v="41"/>
    <x v="96"/>
    <n v="963.76"/>
    <n v="155.57"/>
    <x v="824"/>
    <n v="22.3"/>
    <n v="68.900000000000006"/>
  </r>
  <r>
    <n v="184747224"/>
    <n v="207175"/>
    <n v="8077999"/>
    <n v="4152"/>
    <x v="6"/>
    <n v="53083"/>
    <x v="8"/>
    <x v="3"/>
    <x v="3"/>
    <x v="831"/>
    <x v="839"/>
    <x v="838"/>
    <x v="3"/>
    <s v="OH"/>
    <s v="Dayton"/>
    <s v="NY"/>
    <s v="Syracuse"/>
    <x v="3"/>
    <n v="785820"/>
    <s v="301-500"/>
    <n v="389"/>
    <x v="442"/>
    <x v="99"/>
    <n v="384"/>
    <n v="446.7"/>
    <x v="3"/>
    <s v="8.82"/>
    <s v="10:00-13:59"/>
    <x v="3"/>
    <x v="0"/>
    <n v="9"/>
    <n v="0"/>
    <n v="0"/>
    <n v="83.9"/>
    <n v="0"/>
    <n v="0.20200000000000001"/>
    <n v="0.81899999999999995"/>
    <n v="98317.36"/>
    <x v="2"/>
    <n v="1"/>
    <n v="1"/>
    <n v="0"/>
    <n v="1"/>
    <n v="0"/>
    <n v="1"/>
    <n v="0"/>
    <x v="70"/>
    <x v="6"/>
    <n v="364.48"/>
    <n v="90.99"/>
    <x v="825"/>
    <n v="16.8"/>
    <n v="0"/>
  </r>
  <r>
    <n v="562360908"/>
    <n v="974628"/>
    <n v="3641282"/>
    <n v="6892"/>
    <x v="0"/>
    <n v="53675"/>
    <x v="1"/>
    <x v="328"/>
    <x v="328"/>
    <x v="832"/>
    <x v="840"/>
    <x v="839"/>
    <x v="249"/>
    <s v="TN"/>
    <s v="Memphis"/>
    <s v="WA"/>
    <s v="Everett"/>
    <x v="2"/>
    <n v="711151"/>
    <s v="0-100"/>
    <n v="57"/>
    <x v="204"/>
    <x v="383"/>
    <n v="64"/>
    <n v="98"/>
    <x v="0"/>
    <s v="5.9"/>
    <s v="00:00-05:59"/>
    <x v="2"/>
    <x v="4"/>
    <n v="246"/>
    <n v="293"/>
    <n v="0"/>
    <n v="50.9"/>
    <n v="0"/>
    <n v="0.69699999999999995"/>
    <n v="0.54300000000000004"/>
    <n v="3791.18"/>
    <x v="0"/>
    <n v="1"/>
    <n v="0"/>
    <n v="1"/>
    <n v="0"/>
    <n v="1"/>
    <n v="0"/>
    <n v="1"/>
    <x v="18"/>
    <x v="46"/>
    <n v="85.77"/>
    <n v="18.940000000000001"/>
    <x v="826"/>
    <n v="1.4"/>
    <n v="12.6"/>
  </r>
  <r>
    <n v="746879296"/>
    <n v="217301"/>
    <n v="5453786"/>
    <n v="5548"/>
    <x v="6"/>
    <n v="59650"/>
    <x v="2"/>
    <x v="44"/>
    <x v="44"/>
    <x v="833"/>
    <x v="841"/>
    <x v="840"/>
    <x v="43"/>
    <s v="WA"/>
    <s v="Vancouver"/>
    <s v="TX"/>
    <s v="Dallas"/>
    <x v="1"/>
    <n v="777840"/>
    <s v="101-300"/>
    <n v="269"/>
    <x v="443"/>
    <x v="384"/>
    <n v="266"/>
    <n v="355.2"/>
    <x v="3"/>
    <s v="4.66"/>
    <s v="10:00-13:59"/>
    <x v="1"/>
    <x v="0"/>
    <n v="-4"/>
    <n v="0"/>
    <n v="0"/>
    <n v="62.1"/>
    <n v="0"/>
    <n v="0.35699999999999998"/>
    <n v="0.876"/>
    <n v="3039.95"/>
    <x v="0"/>
    <n v="1"/>
    <n v="1"/>
    <n v="0"/>
    <n v="1"/>
    <n v="0"/>
    <n v="1"/>
    <n v="0"/>
    <x v="46"/>
    <x v="88"/>
    <n v="233.97"/>
    <n v="45.85"/>
    <x v="827"/>
    <n v="13"/>
    <n v="38.4"/>
  </r>
  <r>
    <n v="982982227"/>
    <n v="195325"/>
    <n v="3194789"/>
    <n v="7585"/>
    <x v="7"/>
    <n v="55957"/>
    <x v="12"/>
    <x v="277"/>
    <x v="276"/>
    <x v="834"/>
    <x v="842"/>
    <x v="841"/>
    <x v="137"/>
    <s v="MO"/>
    <s v="Kansas City"/>
    <s v="CO"/>
    <s v="Aurora"/>
    <x v="2"/>
    <n v="712358"/>
    <s v="501-1000"/>
    <n v="812"/>
    <x v="32"/>
    <x v="313"/>
    <n v="815.5"/>
    <n v="878.4"/>
    <x v="0"/>
    <s v="17.05"/>
    <s v="00:00-05:59"/>
    <x v="2"/>
    <x v="0"/>
    <n v="18"/>
    <n v="0"/>
    <n v="0"/>
    <n v="33.299999999999997"/>
    <n v="0"/>
    <n v="0.63"/>
    <n v="0.71699999999999997"/>
    <n v="7917.7"/>
    <x v="1"/>
    <n v="1"/>
    <n v="0"/>
    <n v="1"/>
    <n v="0"/>
    <n v="1"/>
    <n v="0"/>
    <n v="1"/>
    <x v="12"/>
    <x v="33"/>
    <n v="744.03"/>
    <n v="92.86"/>
    <x v="828"/>
    <n v="15"/>
    <n v="41.5"/>
  </r>
  <r>
    <n v="293763673"/>
    <n v="930555"/>
    <n v="2262382"/>
    <n v="1698"/>
    <x v="0"/>
    <n v="55255"/>
    <x v="3"/>
    <x v="101"/>
    <x v="101"/>
    <x v="835"/>
    <x v="843"/>
    <x v="842"/>
    <x v="99"/>
    <s v="NY"/>
    <s v="Buffalo"/>
    <s v="TN"/>
    <s v="Nashville"/>
    <x v="1"/>
    <n v="725703"/>
    <s v="0-100"/>
    <n v="26"/>
    <x v="400"/>
    <x v="349"/>
    <n v="29.5"/>
    <n v="57.5"/>
    <x v="2"/>
    <s v="1.13"/>
    <s v="00:00-05:59"/>
    <x v="3"/>
    <x v="0"/>
    <n v="-22"/>
    <n v="0"/>
    <n v="0"/>
    <n v="54.2"/>
    <n v="0"/>
    <n v="0.76500000000000001"/>
    <n v="0.67"/>
    <n v="3439.04"/>
    <x v="0"/>
    <n v="1"/>
    <n v="1"/>
    <n v="0"/>
    <n v="1"/>
    <n v="0"/>
    <n v="1"/>
    <n v="0"/>
    <x v="53"/>
    <x v="96"/>
    <n v="46.03"/>
    <n v="9.65"/>
    <x v="829"/>
    <n v="25.4"/>
    <n v="32.700000000000003"/>
  </r>
  <r>
    <n v="685698675"/>
    <n v="972064"/>
    <n v="2818692"/>
    <n v="8158"/>
    <x v="1"/>
    <n v="59411"/>
    <x v="4"/>
    <x v="26"/>
    <x v="26"/>
    <x v="836"/>
    <x v="844"/>
    <x v="843"/>
    <x v="26"/>
    <s v="MI"/>
    <s v="Lansing"/>
    <s v="NY"/>
    <s v="Rochester"/>
    <x v="3"/>
    <n v="788047"/>
    <s v="501-1000"/>
    <n v="988"/>
    <x v="444"/>
    <x v="252"/>
    <n v="976.9"/>
    <n v="1063.8"/>
    <x v="2"/>
    <s v="21.57"/>
    <s v="10:00-13:59"/>
    <x v="0"/>
    <x v="0"/>
    <n v="-15"/>
    <n v="0"/>
    <n v="0"/>
    <n v="74.599999999999994"/>
    <n v="0"/>
    <n v="0.48799999999999999"/>
    <n v="0.497"/>
    <n v="6225.05"/>
    <x v="0"/>
    <n v="1"/>
    <n v="1"/>
    <n v="0"/>
    <n v="1"/>
    <n v="0"/>
    <n v="1"/>
    <n v="0"/>
    <x v="38"/>
    <x v="48"/>
    <n v="757.94"/>
    <n v="213.82"/>
    <x v="830"/>
    <n v="10"/>
    <n v="26.6"/>
  </r>
  <r>
    <n v="415429295"/>
    <n v="955662"/>
    <n v="8315831"/>
    <n v="9445"/>
    <x v="1"/>
    <n v="54228"/>
    <x v="10"/>
    <x v="258"/>
    <x v="257"/>
    <x v="837"/>
    <x v="845"/>
    <x v="844"/>
    <x v="258"/>
    <s v="NC"/>
    <s v="Greensboro"/>
    <s v="WA"/>
    <s v="Everett"/>
    <x v="2"/>
    <n v="773553"/>
    <s v="501-1000"/>
    <n v="497"/>
    <x v="185"/>
    <x v="129"/>
    <n v="501.3"/>
    <n v="544.6"/>
    <x v="1"/>
    <s v="10.56"/>
    <s v="06:00-09:59"/>
    <x v="0"/>
    <x v="0"/>
    <n v="-13"/>
    <n v="0"/>
    <n v="0"/>
    <n v="58"/>
    <n v="0"/>
    <n v="0.64400000000000002"/>
    <n v="0.26400000000000001"/>
    <n v="5379.92"/>
    <x v="0"/>
    <n v="1"/>
    <n v="1"/>
    <n v="0"/>
    <n v="1"/>
    <n v="0"/>
    <n v="1"/>
    <n v="0"/>
    <x v="99"/>
    <x v="2"/>
    <n v="359.93"/>
    <n v="70.62"/>
    <x v="831"/>
    <n v="18.100000000000001"/>
    <n v="34.1"/>
  </r>
  <r>
    <n v="444898148"/>
    <n v="903035"/>
    <n v="7110622"/>
    <n v="3200"/>
    <x v="2"/>
    <n v="54181"/>
    <x v="11"/>
    <x v="30"/>
    <x v="30"/>
    <x v="838"/>
    <x v="846"/>
    <x v="845"/>
    <x v="12"/>
    <s v="WA"/>
    <s v="Spokane"/>
    <s v="WA"/>
    <s v="Spokane"/>
    <x v="2"/>
    <n v="745653"/>
    <s v="0-100"/>
    <n v="87"/>
    <x v="86"/>
    <x v="29"/>
    <n v="76.8"/>
    <n v="151"/>
    <x v="2"/>
    <s v="1.42"/>
    <s v="06:00-09:59"/>
    <x v="3"/>
    <x v="0"/>
    <n v="-5"/>
    <n v="0"/>
    <n v="0"/>
    <n v="43.9"/>
    <n v="0"/>
    <n v="0.751"/>
    <n v="0.71"/>
    <n v="5371.43"/>
    <x v="0"/>
    <n v="1"/>
    <n v="1"/>
    <n v="0"/>
    <n v="1"/>
    <n v="0"/>
    <n v="1"/>
    <n v="0"/>
    <x v="33"/>
    <x v="12"/>
    <n v="110.82"/>
    <n v="29.01"/>
    <x v="832"/>
    <n v="26.8"/>
    <n v="10.1"/>
  </r>
  <r>
    <n v="210163669"/>
    <n v="343962"/>
    <n v="5672073"/>
    <n v="7396"/>
    <x v="2"/>
    <n v="59691"/>
    <x v="5"/>
    <x v="329"/>
    <x v="329"/>
    <x v="839"/>
    <x v="847"/>
    <x v="846"/>
    <x v="87"/>
    <s v="OH"/>
    <s v="Toledo"/>
    <s v="FL"/>
    <s v="Miami"/>
    <x v="1"/>
    <n v="791587"/>
    <s v="501-1000"/>
    <n v="912"/>
    <x v="35"/>
    <x v="385"/>
    <n v="907"/>
    <n v="949.1"/>
    <x v="1"/>
    <s v="22.15"/>
    <s v="14:00-17:59"/>
    <x v="6"/>
    <x v="0"/>
    <n v="-58"/>
    <n v="0"/>
    <n v="0"/>
    <n v="54.3"/>
    <n v="0"/>
    <n v="0.94399999999999995"/>
    <n v="0.28999999999999998"/>
    <n v="74017.34"/>
    <x v="2"/>
    <n v="1"/>
    <n v="1"/>
    <n v="0"/>
    <n v="1"/>
    <n v="0"/>
    <n v="1"/>
    <n v="0"/>
    <x v="80"/>
    <x v="74"/>
    <n v="714.12"/>
    <n v="142.06"/>
    <x v="833"/>
    <n v="13.7"/>
    <n v="42.8"/>
  </r>
  <r>
    <n v="185973340"/>
    <n v="787277"/>
    <n v="6022741"/>
    <n v="3693"/>
    <x v="4"/>
    <n v="51830"/>
    <x v="7"/>
    <x v="257"/>
    <x v="256"/>
    <x v="840"/>
    <x v="848"/>
    <x v="847"/>
    <x v="257"/>
    <s v="WA"/>
    <s v="Tacoma"/>
    <s v="TN"/>
    <s v="Clarksville"/>
    <x v="1"/>
    <n v="715799"/>
    <s v="101-300"/>
    <n v="309"/>
    <x v="445"/>
    <x v="50"/>
    <n v="313"/>
    <n v="317.10000000000002"/>
    <x v="0"/>
    <s v="8.57"/>
    <s v="00:00-05:59"/>
    <x v="0"/>
    <x v="0"/>
    <n v="-20"/>
    <n v="0"/>
    <n v="0"/>
    <n v="59.2"/>
    <n v="0"/>
    <n v="0.88300000000000001"/>
    <n v="0.59499999999999997"/>
    <n v="3874.31"/>
    <x v="0"/>
    <n v="1"/>
    <n v="1"/>
    <n v="0"/>
    <n v="1"/>
    <n v="0"/>
    <n v="1"/>
    <n v="0"/>
    <x v="0"/>
    <x v="73"/>
    <n v="209.99"/>
    <n v="44.48"/>
    <x v="834"/>
    <n v="3.4"/>
    <n v="13.2"/>
  </r>
  <r>
    <n v="452101316"/>
    <n v="407757"/>
    <n v="6573147"/>
    <n v="2930"/>
    <x v="3"/>
    <n v="53395"/>
    <x v="8"/>
    <x v="114"/>
    <x v="113"/>
    <x v="841"/>
    <x v="849"/>
    <x v="848"/>
    <x v="114"/>
    <s v="NJ"/>
    <s v="Newark"/>
    <s v="NC"/>
    <s v="Wilmington"/>
    <x v="1"/>
    <n v="724967"/>
    <s v="301-500"/>
    <n v="302"/>
    <x v="445"/>
    <x v="23"/>
    <n v="302.7"/>
    <n v="335.9"/>
    <x v="4"/>
    <s v="5.54"/>
    <s v="06:00-09:59"/>
    <x v="3"/>
    <x v="0"/>
    <n v="1"/>
    <n v="0"/>
    <n v="0"/>
    <n v="69.599999999999994"/>
    <n v="0"/>
    <n v="0.66700000000000004"/>
    <n v="0.83499999999999996"/>
    <n v="68775.17"/>
    <x v="2"/>
    <n v="1"/>
    <n v="1"/>
    <n v="0"/>
    <n v="1"/>
    <n v="0"/>
    <n v="1"/>
    <n v="0"/>
    <x v="41"/>
    <x v="102"/>
    <n v="275.79000000000002"/>
    <n v="40.56"/>
    <x v="835"/>
    <n v="13.8"/>
    <n v="45.9"/>
  </r>
  <r>
    <n v="809656613"/>
    <n v="857168"/>
    <n v="2813543"/>
    <n v="1659"/>
    <x v="6"/>
    <n v="51203"/>
    <x v="1"/>
    <x v="241"/>
    <x v="240"/>
    <x v="842"/>
    <x v="850"/>
    <x v="849"/>
    <x v="241"/>
    <s v="GA"/>
    <s v="Savannah"/>
    <s v="CO"/>
    <s v="Aurora"/>
    <x v="2"/>
    <n v="702500"/>
    <s v="101-300"/>
    <n v="233"/>
    <x v="32"/>
    <x v="349"/>
    <n v="231"/>
    <n v="280.89999999999998"/>
    <x v="3"/>
    <s v="8.27"/>
    <s v="06:00-09:59"/>
    <x v="1"/>
    <x v="4"/>
    <n v="134"/>
    <n v="39"/>
    <n v="0"/>
    <n v="37.9"/>
    <n v="0"/>
    <n v="0.45600000000000002"/>
    <n v="0.44500000000000001"/>
    <n v="1109.73"/>
    <x v="0"/>
    <n v="1"/>
    <n v="0"/>
    <n v="1"/>
    <n v="0"/>
    <n v="1"/>
    <n v="0"/>
    <n v="1"/>
    <x v="39"/>
    <x v="37"/>
    <n v="200.04"/>
    <n v="59.58"/>
    <x v="836"/>
    <n v="23.7"/>
    <n v="39.5"/>
  </r>
  <r>
    <n v="417440983"/>
    <n v="375504"/>
    <n v="5428914"/>
    <n v="6530"/>
    <x v="7"/>
    <n v="52810"/>
    <x v="7"/>
    <x v="118"/>
    <x v="117"/>
    <x v="843"/>
    <x v="851"/>
    <x v="850"/>
    <x v="118"/>
    <s v="WA"/>
    <s v="Vancouver"/>
    <s v="TN"/>
    <s v="Clarksville"/>
    <x v="1"/>
    <n v="715799"/>
    <s v="101-300"/>
    <n v="196"/>
    <x v="446"/>
    <x v="51"/>
    <n v="185.3"/>
    <n v="189.2"/>
    <x v="2"/>
    <s v="4.53"/>
    <s v="10:00-13:59"/>
    <x v="6"/>
    <x v="0"/>
    <n v="25"/>
    <n v="0"/>
    <n v="0"/>
    <n v="27.9"/>
    <n v="0"/>
    <n v="0.75"/>
    <n v="0.55400000000000005"/>
    <n v="16610.27"/>
    <x v="1"/>
    <n v="1"/>
    <n v="0"/>
    <n v="1"/>
    <n v="0"/>
    <n v="1"/>
    <n v="0"/>
    <n v="1"/>
    <x v="47"/>
    <x v="12"/>
    <n v="163.05000000000001"/>
    <n v="24.04"/>
    <x v="837"/>
    <n v="29"/>
    <n v="31.4"/>
  </r>
  <r>
    <n v="429097422"/>
    <n v="325772"/>
    <n v="9997381"/>
    <n v="8099"/>
    <x v="8"/>
    <n v="53092"/>
    <x v="4"/>
    <x v="171"/>
    <x v="170"/>
    <x v="844"/>
    <x v="852"/>
    <x v="851"/>
    <x v="178"/>
    <s v="MI"/>
    <s v="Lansing"/>
    <s v="TN"/>
    <s v="Chattanooga"/>
    <x v="1"/>
    <n v="756925"/>
    <s v="101-300"/>
    <n v="176"/>
    <x v="271"/>
    <x v="166"/>
    <n v="181.8"/>
    <n v="216.9"/>
    <x v="2"/>
    <s v="4.84"/>
    <s v="14:00-17:59"/>
    <x v="5"/>
    <x v="0"/>
    <n v="-15"/>
    <n v="0"/>
    <n v="0"/>
    <n v="33"/>
    <n v="0"/>
    <n v="0.48299999999999998"/>
    <n v="0.75800000000000001"/>
    <n v="3250.84"/>
    <x v="0"/>
    <n v="1"/>
    <n v="1"/>
    <n v="0"/>
    <n v="1"/>
    <n v="0"/>
    <n v="1"/>
    <n v="0"/>
    <x v="69"/>
    <x v="12"/>
    <n v="176.67"/>
    <n v="28.96"/>
    <x v="838"/>
    <n v="4.7"/>
    <n v="12"/>
  </r>
  <r>
    <n v="578798403"/>
    <n v="260263"/>
    <n v="5674183"/>
    <n v="5736"/>
    <x v="7"/>
    <n v="53044"/>
    <x v="3"/>
    <x v="115"/>
    <x v="114"/>
    <x v="845"/>
    <x v="853"/>
    <x v="852"/>
    <x v="115"/>
    <s v="FL"/>
    <s v="Jacksonville"/>
    <s v="FL"/>
    <s v="Jacksonville"/>
    <x v="1"/>
    <n v="758654"/>
    <s v="301-500"/>
    <n v="310"/>
    <x v="38"/>
    <x v="252"/>
    <n v="312.60000000000002"/>
    <n v="342.7"/>
    <x v="2"/>
    <s v="6.48"/>
    <s v="14:00-17:59"/>
    <x v="6"/>
    <x v="0"/>
    <n v="-7"/>
    <n v="0"/>
    <n v="0"/>
    <n v="50.6"/>
    <n v="0"/>
    <n v="0.63100000000000001"/>
    <n v="0.81299999999999994"/>
    <n v="78624.23"/>
    <x v="2"/>
    <n v="1"/>
    <n v="1"/>
    <n v="0"/>
    <n v="1"/>
    <n v="0"/>
    <n v="1"/>
    <n v="0"/>
    <x v="95"/>
    <x v="64"/>
    <n v="244.4"/>
    <n v="47.9"/>
    <x v="839"/>
    <n v="30.8"/>
    <n v="39.5"/>
  </r>
  <r>
    <n v="747060047"/>
    <n v="814825"/>
    <n v="7817881"/>
    <n v="9958"/>
    <x v="1"/>
    <n v="56071"/>
    <x v="6"/>
    <x v="198"/>
    <x v="197"/>
    <x v="846"/>
    <x v="854"/>
    <x v="853"/>
    <x v="200"/>
    <s v="PA"/>
    <s v="Allentown"/>
    <s v="WA"/>
    <s v="Tacoma"/>
    <x v="2"/>
    <n v="739373"/>
    <s v="0-100"/>
    <n v="70"/>
    <x v="447"/>
    <x v="232"/>
    <n v="64.900000000000006"/>
    <n v="91.1"/>
    <x v="0"/>
    <s v="4.25"/>
    <s v="06:00-09:59"/>
    <x v="0"/>
    <x v="3"/>
    <n v="165"/>
    <n v="62"/>
    <n v="0"/>
    <n v="70.099999999999994"/>
    <n v="0"/>
    <n v="0.52"/>
    <n v="0.58499999999999996"/>
    <n v="18406.04"/>
    <x v="1"/>
    <n v="1"/>
    <n v="0"/>
    <n v="1"/>
    <n v="0"/>
    <n v="1"/>
    <n v="0"/>
    <n v="1"/>
    <x v="6"/>
    <x v="37"/>
    <n v="66.319999999999993"/>
    <n v="12.22"/>
    <x v="840"/>
    <n v="11.6"/>
    <n v="33.200000000000003"/>
  </r>
  <r>
    <n v="870584681"/>
    <n v="198246"/>
    <n v="9626108"/>
    <n v="5555"/>
    <x v="0"/>
    <n v="57272"/>
    <x v="11"/>
    <x v="131"/>
    <x v="131"/>
    <x v="847"/>
    <x v="855"/>
    <x v="854"/>
    <x v="133"/>
    <s v="PA"/>
    <s v="Erie"/>
    <s v="PA"/>
    <s v="Allentown"/>
    <x v="3"/>
    <n v="739365"/>
    <s v="101-300"/>
    <n v="207"/>
    <x v="316"/>
    <x v="119"/>
    <n v="201.2"/>
    <n v="238.2"/>
    <x v="1"/>
    <s v="3.89"/>
    <s v="06:00-09:59"/>
    <x v="0"/>
    <x v="0"/>
    <n v="-15"/>
    <n v="0"/>
    <n v="0"/>
    <n v="71.3"/>
    <n v="0"/>
    <n v="0.64400000000000002"/>
    <n v="0.59599999999999997"/>
    <n v="828.33"/>
    <x v="0"/>
    <n v="1"/>
    <n v="1"/>
    <n v="0"/>
    <n v="1"/>
    <n v="0"/>
    <n v="1"/>
    <n v="0"/>
    <x v="1"/>
    <x v="58"/>
    <n v="215.01"/>
    <n v="28.48"/>
    <x v="841"/>
    <n v="11.5"/>
    <n v="0.5"/>
  </r>
  <r>
    <n v="557538651"/>
    <n v="684004"/>
    <n v="8670955"/>
    <n v="8721"/>
    <x v="3"/>
    <n v="54673"/>
    <x v="3"/>
    <x v="218"/>
    <x v="217"/>
    <x v="848"/>
    <x v="856"/>
    <x v="855"/>
    <x v="262"/>
    <s v="CA"/>
    <s v="Los Angeles"/>
    <s v="NC"/>
    <s v="Wilmington"/>
    <x v="1"/>
    <n v="766655"/>
    <s v="101-300"/>
    <n v="127"/>
    <x v="211"/>
    <x v="135"/>
    <n v="133.19999999999999"/>
    <n v="168.6"/>
    <x v="0"/>
    <s v="3.57"/>
    <s v="00:00-05:59"/>
    <x v="6"/>
    <x v="0"/>
    <n v="16"/>
    <n v="0"/>
    <n v="0"/>
    <n v="63"/>
    <n v="0"/>
    <n v="0.73099999999999998"/>
    <n v="0.85399999999999998"/>
    <n v="3038.48"/>
    <x v="0"/>
    <n v="1"/>
    <n v="0"/>
    <n v="1"/>
    <n v="0"/>
    <n v="1"/>
    <n v="0"/>
    <n v="1"/>
    <x v="62"/>
    <x v="16"/>
    <n v="152.49"/>
    <n v="24.03"/>
    <x v="842"/>
    <n v="0.1"/>
    <n v="17.7"/>
  </r>
  <r>
    <n v="278933456"/>
    <n v="207175"/>
    <n v="8077999"/>
    <n v="4152"/>
    <x v="6"/>
    <n v="53514"/>
    <x v="9"/>
    <x v="120"/>
    <x v="119"/>
    <x v="849"/>
    <x v="857"/>
    <x v="856"/>
    <x v="120"/>
    <s v="TX"/>
    <s v="San Antonio"/>
    <s v="MO"/>
    <s v="St. Louis"/>
    <x v="0"/>
    <n v="769048"/>
    <s v="101-300"/>
    <n v="236"/>
    <x v="403"/>
    <x v="261"/>
    <n v="237.8"/>
    <n v="283.5"/>
    <x v="3"/>
    <s v="5.71"/>
    <s v="10:00-13:59"/>
    <x v="6"/>
    <x v="0"/>
    <n v="-5"/>
    <n v="0"/>
    <n v="0"/>
    <n v="14.1"/>
    <n v="0"/>
    <n v="0.32800000000000001"/>
    <n v="0.42899999999999999"/>
    <n v="95077.65"/>
    <x v="2"/>
    <n v="1"/>
    <n v="1"/>
    <n v="0"/>
    <n v="1"/>
    <n v="0"/>
    <n v="1"/>
    <n v="0"/>
    <x v="9"/>
    <x v="75"/>
    <n v="211.35"/>
    <n v="44.4"/>
    <x v="843"/>
    <n v="16.8"/>
    <n v="0"/>
  </r>
  <r>
    <n v="840629322"/>
    <n v="910620"/>
    <n v="5977931"/>
    <n v="1064"/>
    <x v="3"/>
    <n v="59990"/>
    <x v="6"/>
    <x v="11"/>
    <x v="11"/>
    <x v="850"/>
    <x v="858"/>
    <x v="857"/>
    <x v="232"/>
    <s v="NJ"/>
    <s v="Elizabeth"/>
    <s v="NY"/>
    <s v="Buffalo"/>
    <x v="3"/>
    <n v="795786"/>
    <s v="101-300"/>
    <n v="263"/>
    <x v="157"/>
    <x v="50"/>
    <n v="254.8"/>
    <n v="295.2"/>
    <x v="0"/>
    <s v="9.08"/>
    <s v="18:00-23:59"/>
    <x v="5"/>
    <x v="4"/>
    <n v="201"/>
    <n v="203"/>
    <n v="0"/>
    <n v="51.3"/>
    <n v="0"/>
    <n v="0.54200000000000004"/>
    <n v="0.53500000000000003"/>
    <n v="14456.58"/>
    <x v="1"/>
    <n v="1"/>
    <n v="0"/>
    <n v="1"/>
    <n v="0"/>
    <n v="1"/>
    <n v="0"/>
    <n v="1"/>
    <x v="1"/>
    <x v="20"/>
    <n v="243.17"/>
    <n v="49.07"/>
    <x v="844"/>
    <n v="7"/>
    <n v="60"/>
  </r>
  <r>
    <n v="576642996"/>
    <n v="216739"/>
    <n v="8574680"/>
    <n v="1860"/>
    <x v="4"/>
    <n v="56192"/>
    <x v="5"/>
    <x v="203"/>
    <x v="202"/>
    <x v="851"/>
    <x v="859"/>
    <x v="858"/>
    <x v="13"/>
    <s v="IL"/>
    <s v="Rockford"/>
    <s v="TN"/>
    <s v="Knoxville"/>
    <x v="1"/>
    <n v="758407"/>
    <s v="101-300"/>
    <n v="269"/>
    <x v="362"/>
    <x v="144"/>
    <n v="264.60000000000002"/>
    <n v="284.2"/>
    <x v="1"/>
    <s v="4.62"/>
    <s v="06:00-09:59"/>
    <x v="4"/>
    <x v="0"/>
    <n v="-38"/>
    <n v="0"/>
    <n v="0"/>
    <n v="51.8"/>
    <n v="0"/>
    <n v="0.73599999999999999"/>
    <n v="0.20799999999999999"/>
    <n v="2023.6"/>
    <x v="0"/>
    <n v="1"/>
    <n v="1"/>
    <n v="0"/>
    <n v="1"/>
    <n v="0"/>
    <n v="1"/>
    <n v="0"/>
    <x v="87"/>
    <x v="24"/>
    <n v="259.76"/>
    <n v="33.76"/>
    <x v="845"/>
    <n v="14.3"/>
    <n v="15.4"/>
  </r>
  <r>
    <n v="477470703"/>
    <n v="816751"/>
    <n v="3011363"/>
    <n v="9996"/>
    <x v="7"/>
    <n v="50144"/>
    <x v="1"/>
    <x v="52"/>
    <x v="52"/>
    <x v="852"/>
    <x v="860"/>
    <x v="859"/>
    <x v="52"/>
    <s v="CO"/>
    <s v="Fort Collins"/>
    <s v="NJ"/>
    <s v="Trenton"/>
    <x v="3"/>
    <n v="774044"/>
    <s v="101-300"/>
    <n v="299"/>
    <x v="135"/>
    <x v="81"/>
    <n v="310.7"/>
    <n v="314.7"/>
    <x v="0"/>
    <s v="7.59"/>
    <s v="06:00-09:59"/>
    <x v="1"/>
    <x v="0"/>
    <n v="6"/>
    <n v="0"/>
    <n v="0"/>
    <n v="80.099999999999994"/>
    <n v="0"/>
    <n v="0.82599999999999996"/>
    <n v="0.53800000000000003"/>
    <n v="17161.080000000002"/>
    <x v="1"/>
    <n v="1"/>
    <n v="1"/>
    <n v="0"/>
    <n v="1"/>
    <n v="0"/>
    <n v="1"/>
    <n v="0"/>
    <x v="24"/>
    <x v="60"/>
    <n v="288.95999999999998"/>
    <n v="60.9"/>
    <x v="846"/>
    <n v="13.3"/>
    <n v="30.2"/>
  </r>
  <r>
    <n v="580101819"/>
    <n v="623481"/>
    <n v="2737893"/>
    <n v="4627"/>
    <x v="3"/>
    <n v="57507"/>
    <x v="8"/>
    <x v="276"/>
    <x v="275"/>
    <x v="853"/>
    <x v="861"/>
    <x v="860"/>
    <x v="322"/>
    <s v="CO"/>
    <s v="Pueblo"/>
    <s v="OH"/>
    <s v="Cincinnati"/>
    <x v="0"/>
    <n v="793020"/>
    <s v="0-100"/>
    <n v="56"/>
    <x v="261"/>
    <x v="41"/>
    <n v="62"/>
    <n v="72.7"/>
    <x v="0"/>
    <s v="1.44"/>
    <s v="06:00-09:59"/>
    <x v="4"/>
    <x v="0"/>
    <n v="-31"/>
    <n v="0"/>
    <n v="0"/>
    <n v="47"/>
    <n v="0"/>
    <n v="0.66400000000000003"/>
    <n v="0.77800000000000002"/>
    <n v="4874.0600000000004"/>
    <x v="0"/>
    <n v="1"/>
    <n v="1"/>
    <n v="0"/>
    <n v="1"/>
    <n v="0"/>
    <n v="1"/>
    <n v="0"/>
    <x v="62"/>
    <x v="50"/>
    <n v="46.65"/>
    <n v="9.99"/>
    <x v="847"/>
    <n v="22.3"/>
    <n v="74.5"/>
  </r>
  <r>
    <n v="145478504"/>
    <n v="518801"/>
    <n v="2548511"/>
    <n v="8994"/>
    <x v="6"/>
    <n v="54857"/>
    <x v="7"/>
    <x v="36"/>
    <x v="36"/>
    <x v="854"/>
    <x v="862"/>
    <x v="861"/>
    <x v="35"/>
    <s v="OH"/>
    <s v="Dayton"/>
    <s v="NJ"/>
    <s v="Trenton"/>
    <x v="3"/>
    <n v="791295"/>
    <s v="0-100"/>
    <n v="105"/>
    <x v="448"/>
    <x v="152"/>
    <n v="105"/>
    <n v="160.6"/>
    <x v="0"/>
    <s v="1.79"/>
    <s v="10:00-13:59"/>
    <x v="1"/>
    <x v="0"/>
    <n v="-22"/>
    <n v="0"/>
    <n v="0"/>
    <n v="84.6"/>
    <n v="0"/>
    <n v="0.59299999999999997"/>
    <n v="0.82699999999999996"/>
    <n v="11800.4"/>
    <x v="1"/>
    <n v="1"/>
    <n v="1"/>
    <n v="0"/>
    <n v="1"/>
    <n v="0"/>
    <n v="1"/>
    <n v="0"/>
    <x v="1"/>
    <x v="61"/>
    <n v="126.24"/>
    <n v="33.75"/>
    <x v="848"/>
    <n v="7.3"/>
    <n v="72.5"/>
  </r>
  <r>
    <n v="880411013"/>
    <n v="542666"/>
    <n v="1604451"/>
    <n v="1854"/>
    <x v="6"/>
    <n v="51377"/>
    <x v="7"/>
    <x v="221"/>
    <x v="220"/>
    <x v="855"/>
    <x v="863"/>
    <x v="862"/>
    <x v="28"/>
    <s v="NY"/>
    <s v="Buffalo"/>
    <s v="IL"/>
    <s v="Chicago"/>
    <x v="0"/>
    <n v="713055"/>
    <s v="0-100"/>
    <n v="97"/>
    <x v="449"/>
    <x v="166"/>
    <n v="97.1"/>
    <n v="162.4"/>
    <x v="3"/>
    <s v="2.74"/>
    <s v="14:00-17:59"/>
    <x v="5"/>
    <x v="0"/>
    <n v="10"/>
    <n v="0"/>
    <n v="0"/>
    <n v="57.9"/>
    <n v="0"/>
    <n v="0.755"/>
    <n v="0.75800000000000001"/>
    <n v="10758.41"/>
    <x v="1"/>
    <n v="1"/>
    <n v="1"/>
    <n v="0"/>
    <n v="1"/>
    <n v="0"/>
    <n v="1"/>
    <n v="0"/>
    <x v="18"/>
    <x v="38"/>
    <n v="136.09"/>
    <n v="22.66"/>
    <x v="849"/>
    <n v="8"/>
    <n v="21.8"/>
  </r>
  <r>
    <n v="478557676"/>
    <n v="439902"/>
    <n v="2935113"/>
    <n v="9815"/>
    <x v="6"/>
    <n v="53146"/>
    <x v="13"/>
    <x v="293"/>
    <x v="293"/>
    <x v="856"/>
    <x v="864"/>
    <x v="863"/>
    <x v="297"/>
    <s v="TN"/>
    <s v="Chattanooga"/>
    <s v="GA"/>
    <s v="Macon"/>
    <x v="1"/>
    <n v="732275"/>
    <s v="101-300"/>
    <n v="168"/>
    <x v="450"/>
    <x v="85"/>
    <n v="154.9"/>
    <n v="209.4"/>
    <x v="0"/>
    <s v="6.93"/>
    <s v="14:00-17:59"/>
    <x v="3"/>
    <x v="4"/>
    <n v="134"/>
    <n v="214"/>
    <n v="1.2"/>
    <n v="54.9"/>
    <n v="0"/>
    <n v="0.55200000000000005"/>
    <n v="0.65600000000000003"/>
    <n v="3634.72"/>
    <x v="0"/>
    <n v="1"/>
    <n v="0"/>
    <n v="1"/>
    <n v="0"/>
    <n v="1"/>
    <n v="0"/>
    <n v="1"/>
    <x v="92"/>
    <x v="11"/>
    <n v="141.57"/>
    <n v="42.62"/>
    <x v="850"/>
    <n v="45.7"/>
    <n v="48.8"/>
  </r>
  <r>
    <n v="760191749"/>
    <n v="733052"/>
    <n v="2642635"/>
    <n v="8989"/>
    <x v="1"/>
    <n v="55024"/>
    <x v="2"/>
    <x v="213"/>
    <x v="212"/>
    <x v="857"/>
    <x v="865"/>
    <x v="864"/>
    <x v="113"/>
    <s v="NJ"/>
    <s v="Newark"/>
    <s v="NJ"/>
    <s v="Newark"/>
    <x v="3"/>
    <n v="748114"/>
    <s v="501-1000"/>
    <n v="570"/>
    <x v="106"/>
    <x v="384"/>
    <n v="577.79999999999995"/>
    <n v="641.9"/>
    <x v="2"/>
    <s v="11.33"/>
    <s v="18:00-23:59"/>
    <x v="3"/>
    <x v="0"/>
    <n v="-10"/>
    <n v="0"/>
    <n v="0.6"/>
    <n v="58"/>
    <n v="0"/>
    <n v="0.65600000000000003"/>
    <n v="0.61799999999999999"/>
    <n v="4556.41"/>
    <x v="0"/>
    <n v="1"/>
    <n v="1"/>
    <n v="0"/>
    <n v="1"/>
    <n v="0"/>
    <n v="1"/>
    <n v="0"/>
    <x v="31"/>
    <x v="20"/>
    <n v="556.25"/>
    <n v="91.34"/>
    <x v="851"/>
    <n v="11.9"/>
    <n v="30"/>
  </r>
  <r>
    <n v="567013808"/>
    <n v="688508"/>
    <n v="8930103"/>
    <n v="3047"/>
    <x v="9"/>
    <n v="50793"/>
    <x v="6"/>
    <x v="260"/>
    <x v="259"/>
    <x v="858"/>
    <x v="866"/>
    <x v="865"/>
    <x v="263"/>
    <s v="NC"/>
    <s v="Raleigh"/>
    <s v="FL"/>
    <s v="Miami"/>
    <x v="1"/>
    <n v="720278"/>
    <s v="0-100"/>
    <n v="59"/>
    <x v="217"/>
    <x v="101"/>
    <n v="56.3"/>
    <n v="106"/>
    <x v="1"/>
    <s v="4.17"/>
    <s v="10:00-13:59"/>
    <x v="6"/>
    <x v="4"/>
    <n v="156"/>
    <n v="201"/>
    <n v="0"/>
    <n v="47.6"/>
    <n v="0"/>
    <n v="0.67400000000000004"/>
    <n v="0.39300000000000002"/>
    <n v="5146.87"/>
    <x v="0"/>
    <n v="1"/>
    <n v="0"/>
    <n v="1"/>
    <n v="0"/>
    <n v="1"/>
    <n v="0"/>
    <n v="1"/>
    <x v="16"/>
    <x v="8"/>
    <n v="80.62"/>
    <n v="17.03"/>
    <x v="852"/>
    <n v="4"/>
    <n v="60.1"/>
  </r>
  <r>
    <n v="394801573"/>
    <n v="217301"/>
    <n v="5453786"/>
    <n v="5548"/>
    <x v="6"/>
    <n v="59793"/>
    <x v="6"/>
    <x v="6"/>
    <x v="6"/>
    <x v="859"/>
    <x v="867"/>
    <x v="866"/>
    <x v="226"/>
    <s v="AZ"/>
    <s v="Mesa"/>
    <s v="MO"/>
    <s v="Columbia"/>
    <x v="0"/>
    <n v="743829"/>
    <s v="501-1000"/>
    <n v="709"/>
    <x v="210"/>
    <x v="232"/>
    <n v="704.1"/>
    <n v="762.8"/>
    <x v="3"/>
    <s v="16.39"/>
    <s v="06:00-09:59"/>
    <x v="2"/>
    <x v="0"/>
    <n v="-18"/>
    <n v="0"/>
    <n v="0"/>
    <n v="54"/>
    <n v="0"/>
    <n v="0.72699999999999998"/>
    <n v="0.66"/>
    <n v="98346.91"/>
    <x v="2"/>
    <n v="1"/>
    <n v="1"/>
    <n v="0"/>
    <n v="1"/>
    <n v="0"/>
    <n v="1"/>
    <n v="0"/>
    <x v="51"/>
    <x v="3"/>
    <n v="586.84"/>
    <n v="110.36"/>
    <x v="853"/>
    <n v="13"/>
    <n v="37.9"/>
  </r>
  <r>
    <n v="786624943"/>
    <n v="263032"/>
    <n v="4191175"/>
    <n v="6486"/>
    <x v="9"/>
    <n v="55756"/>
    <x v="4"/>
    <x v="229"/>
    <x v="228"/>
    <x v="860"/>
    <x v="868"/>
    <x v="867"/>
    <x v="232"/>
    <s v="MI"/>
    <s v="Detroit"/>
    <s v="CA"/>
    <s v="San Diego"/>
    <x v="2"/>
    <n v="751495"/>
    <s v="301-500"/>
    <n v="422"/>
    <x v="56"/>
    <x v="37"/>
    <n v="426.5"/>
    <n v="458.9"/>
    <x v="4"/>
    <s v="8.41"/>
    <s v="06:00-09:59"/>
    <x v="6"/>
    <x v="0"/>
    <n v="-21"/>
    <n v="64"/>
    <n v="0"/>
    <n v="44.5"/>
    <n v="0"/>
    <n v="0.47499999999999998"/>
    <n v="0.92200000000000004"/>
    <n v="10990.21"/>
    <x v="1"/>
    <n v="1"/>
    <n v="1"/>
    <n v="0"/>
    <n v="1"/>
    <n v="0"/>
    <n v="1"/>
    <n v="0"/>
    <x v="64"/>
    <x v="47"/>
    <n v="322.27999999999997"/>
    <n v="67.209999999999994"/>
    <x v="854"/>
    <n v="13.2"/>
    <n v="25.3"/>
  </r>
  <r>
    <n v="949842840"/>
    <n v="847581"/>
    <n v="3919694"/>
    <n v="9050"/>
    <x v="7"/>
    <n v="54414"/>
    <x v="7"/>
    <x v="34"/>
    <x v="34"/>
    <x v="861"/>
    <x v="869"/>
    <x v="868"/>
    <x v="33"/>
    <s v="CO"/>
    <s v="Fort Collins"/>
    <s v="TX"/>
    <s v="Houston"/>
    <x v="1"/>
    <n v="703172"/>
    <s v="101-300"/>
    <n v="230"/>
    <x v="451"/>
    <x v="125"/>
    <n v="226.2"/>
    <n v="306.5"/>
    <x v="0"/>
    <s v="4.34"/>
    <s v="14:00-17:59"/>
    <x v="6"/>
    <x v="0"/>
    <n v="-41"/>
    <n v="0"/>
    <n v="0"/>
    <n v="68"/>
    <n v="0"/>
    <n v="0.57699999999999996"/>
    <n v="0.79100000000000004"/>
    <n v="13311.66"/>
    <x v="1"/>
    <n v="1"/>
    <n v="1"/>
    <n v="0"/>
    <n v="1"/>
    <n v="0"/>
    <n v="1"/>
    <n v="0"/>
    <x v="68"/>
    <x v="0"/>
    <n v="217.63"/>
    <n v="53.4"/>
    <x v="855"/>
    <n v="12.5"/>
    <n v="22.3"/>
  </r>
  <r>
    <n v="161587757"/>
    <n v="217301"/>
    <n v="5453786"/>
    <n v="5548"/>
    <x v="6"/>
    <n v="51110"/>
    <x v="11"/>
    <x v="58"/>
    <x v="58"/>
    <x v="862"/>
    <x v="870"/>
    <x v="869"/>
    <x v="58"/>
    <s v="PA"/>
    <s v="Allentown"/>
    <s v="IL"/>
    <s v="Chicago"/>
    <x v="0"/>
    <n v="797689"/>
    <s v="301-500"/>
    <n v="462"/>
    <x v="153"/>
    <x v="32"/>
    <n v="451.1"/>
    <n v="487.2"/>
    <x v="3"/>
    <s v="11.52"/>
    <s v="10:00-13:59"/>
    <x v="3"/>
    <x v="4"/>
    <n v="198"/>
    <n v="220"/>
    <n v="0"/>
    <n v="63.8"/>
    <n v="0"/>
    <n v="0.78"/>
    <n v="0.754"/>
    <n v="5425.34"/>
    <x v="0"/>
    <n v="1"/>
    <n v="0"/>
    <n v="1"/>
    <n v="0"/>
    <n v="1"/>
    <n v="0"/>
    <n v="1"/>
    <x v="58"/>
    <x v="7"/>
    <n v="314.37"/>
    <n v="89.23"/>
    <x v="856"/>
    <n v="13"/>
    <n v="45.9"/>
  </r>
  <r>
    <n v="180574838"/>
    <n v="961722"/>
    <n v="5449324"/>
    <n v="7019"/>
    <x v="4"/>
    <n v="55672"/>
    <x v="7"/>
    <x v="216"/>
    <x v="215"/>
    <x v="863"/>
    <x v="871"/>
    <x v="870"/>
    <x v="209"/>
    <s v="AZ"/>
    <s v="Flagstaff"/>
    <s v="MO"/>
    <s v="Columbia"/>
    <x v="0"/>
    <n v="743829"/>
    <s v="301-500"/>
    <n v="407"/>
    <x v="249"/>
    <x v="19"/>
    <n v="409.5"/>
    <n v="464.3"/>
    <x v="2"/>
    <s v="7.83"/>
    <s v="10:00-13:59"/>
    <x v="1"/>
    <x v="0"/>
    <n v="-4"/>
    <n v="0"/>
    <n v="0"/>
    <n v="69.599999999999994"/>
    <n v="0"/>
    <n v="0.56399999999999995"/>
    <n v="0.754"/>
    <n v="2019.09"/>
    <x v="0"/>
    <n v="1"/>
    <n v="1"/>
    <n v="0"/>
    <n v="1"/>
    <n v="0"/>
    <n v="1"/>
    <n v="0"/>
    <x v="52"/>
    <x v="35"/>
    <n v="417.62"/>
    <n v="94.93"/>
    <x v="857"/>
    <n v="12.7"/>
    <n v="0"/>
  </r>
  <r>
    <n v="820678212"/>
    <n v="426858"/>
    <n v="6049101"/>
    <n v="4446"/>
    <x v="3"/>
    <n v="54053"/>
    <x v="6"/>
    <x v="228"/>
    <x v="227"/>
    <x v="864"/>
    <x v="872"/>
    <x v="871"/>
    <x v="166"/>
    <s v="CA"/>
    <s v="San Diego"/>
    <s v="PA"/>
    <s v="Allentown"/>
    <x v="3"/>
    <n v="751815"/>
    <s v="0-100"/>
    <n v="29"/>
    <x v="111"/>
    <x v="386"/>
    <n v="19.899999999999999"/>
    <n v="45.1"/>
    <x v="3"/>
    <s v="0.98"/>
    <s v="14:00-17:59"/>
    <x v="0"/>
    <x v="0"/>
    <n v="-31"/>
    <n v="0"/>
    <n v="0"/>
    <n v="41.3"/>
    <n v="0"/>
    <n v="0.58599999999999997"/>
    <n v="0.875"/>
    <n v="18067.71"/>
    <x v="1"/>
    <n v="1"/>
    <n v="1"/>
    <n v="0"/>
    <n v="1"/>
    <n v="0"/>
    <n v="1"/>
    <n v="0"/>
    <x v="51"/>
    <x v="16"/>
    <n v="33.130000000000003"/>
    <n v="7.59"/>
    <x v="858"/>
    <n v="24.9"/>
    <n v="6.4"/>
  </r>
  <r>
    <n v="784523874"/>
    <n v="343962"/>
    <n v="5672073"/>
    <n v="7396"/>
    <x v="2"/>
    <n v="53937"/>
    <x v="10"/>
    <x v="94"/>
    <x v="94"/>
    <x v="865"/>
    <x v="873"/>
    <x v="872"/>
    <x v="93"/>
    <s v="TN"/>
    <s v="Knoxville"/>
    <s v="IL"/>
    <s v="Rockford"/>
    <x v="0"/>
    <n v="763246"/>
    <s v="101-300"/>
    <n v="289"/>
    <x v="120"/>
    <x v="196"/>
    <n v="288.60000000000002"/>
    <n v="306.7"/>
    <x v="1"/>
    <s v="6.32"/>
    <s v="14:00-17:59"/>
    <x v="2"/>
    <x v="0"/>
    <n v="-28"/>
    <n v="0"/>
    <n v="0"/>
    <n v="28.7"/>
    <n v="0"/>
    <n v="0.58899999999999997"/>
    <n v="0.68600000000000005"/>
    <n v="2447.38"/>
    <x v="0"/>
    <n v="1"/>
    <n v="1"/>
    <n v="0"/>
    <n v="1"/>
    <n v="0"/>
    <n v="1"/>
    <n v="0"/>
    <x v="32"/>
    <x v="17"/>
    <n v="205.08"/>
    <n v="38.65"/>
    <x v="859"/>
    <n v="13.7"/>
    <n v="42.9"/>
  </r>
  <r>
    <n v="536164913"/>
    <n v="705397"/>
    <n v="5449368"/>
    <n v="5859"/>
    <x v="1"/>
    <n v="53963"/>
    <x v="2"/>
    <x v="120"/>
    <x v="119"/>
    <x v="866"/>
    <x v="874"/>
    <x v="873"/>
    <x v="328"/>
    <s v="NC"/>
    <s v="Durham"/>
    <s v="IL"/>
    <s v="Chicago"/>
    <x v="0"/>
    <n v="727770"/>
    <s v="301-500"/>
    <n v="361"/>
    <x v="12"/>
    <x v="200"/>
    <n v="362.9"/>
    <n v="423.8"/>
    <x v="2"/>
    <s v="7.26"/>
    <s v="18:00-23:59"/>
    <x v="6"/>
    <x v="0"/>
    <n v="2"/>
    <n v="0"/>
    <n v="0"/>
    <n v="56.8"/>
    <n v="0"/>
    <n v="0.69599999999999995"/>
    <n v="0.32100000000000001"/>
    <n v="3194.79"/>
    <x v="0"/>
    <n v="1"/>
    <n v="1"/>
    <n v="0"/>
    <n v="1"/>
    <n v="0"/>
    <n v="1"/>
    <n v="0"/>
    <x v="62"/>
    <x v="22"/>
    <n v="280.85000000000002"/>
    <n v="92.71"/>
    <x v="860"/>
    <n v="11.4"/>
    <n v="34.5"/>
  </r>
  <r>
    <n v="490102359"/>
    <n v="245051"/>
    <n v="1739653"/>
    <n v="4763"/>
    <x v="7"/>
    <n v="54942"/>
    <x v="1"/>
    <x v="202"/>
    <x v="201"/>
    <x v="867"/>
    <x v="875"/>
    <x v="874"/>
    <x v="329"/>
    <s v="TN"/>
    <s v="Knoxville"/>
    <s v="NY"/>
    <s v="Rochester"/>
    <x v="3"/>
    <n v="737287"/>
    <s v="101-300"/>
    <n v="313"/>
    <x v="323"/>
    <x v="387"/>
    <n v="311.3"/>
    <n v="369.5"/>
    <x v="0"/>
    <s v="7.08"/>
    <s v="10:00-13:59"/>
    <x v="5"/>
    <x v="0"/>
    <n v="-24"/>
    <n v="0"/>
    <n v="0"/>
    <n v="58.5"/>
    <n v="0"/>
    <n v="0.66500000000000004"/>
    <n v="0.754"/>
    <n v="1408.29"/>
    <x v="0"/>
    <n v="1"/>
    <n v="1"/>
    <n v="0"/>
    <n v="1"/>
    <n v="0"/>
    <n v="1"/>
    <n v="0"/>
    <x v="10"/>
    <x v="19"/>
    <n v="274.25"/>
    <n v="67.27"/>
    <x v="861"/>
    <n v="12.9"/>
    <n v="71.3"/>
  </r>
  <r>
    <n v="650921917"/>
    <n v="996865"/>
    <n v="2022698"/>
    <n v="6463"/>
    <x v="5"/>
    <n v="55897"/>
    <x v="1"/>
    <x v="159"/>
    <x v="159"/>
    <x v="868"/>
    <x v="876"/>
    <x v="875"/>
    <x v="163"/>
    <s v="WA"/>
    <s v="Vancouver"/>
    <s v="WA"/>
    <s v="Vancouver"/>
    <x v="2"/>
    <n v="745653"/>
    <s v="301-500"/>
    <n v="317"/>
    <x v="452"/>
    <x v="184"/>
    <n v="315.39999999999998"/>
    <n v="358"/>
    <x v="0"/>
    <s v="5.88"/>
    <s v="14:00-17:59"/>
    <x v="3"/>
    <x v="0"/>
    <n v="-16"/>
    <n v="0"/>
    <n v="0"/>
    <n v="52.7"/>
    <n v="0"/>
    <n v="0.9"/>
    <n v="0.71799999999999997"/>
    <n v="10420.6"/>
    <x v="1"/>
    <n v="1"/>
    <n v="1"/>
    <n v="0"/>
    <n v="1"/>
    <n v="0"/>
    <n v="1"/>
    <n v="0"/>
    <x v="27"/>
    <x v="91"/>
    <n v="289.86"/>
    <n v="51.9"/>
    <x v="862"/>
    <n v="8.8000000000000007"/>
    <n v="17.5"/>
  </r>
  <r>
    <n v="960170255"/>
    <n v="903035"/>
    <n v="7110622"/>
    <n v="3200"/>
    <x v="2"/>
    <n v="58974"/>
    <x v="14"/>
    <x v="210"/>
    <x v="209"/>
    <x v="869"/>
    <x v="877"/>
    <x v="876"/>
    <x v="218"/>
    <s v="IL"/>
    <s v="Aurora"/>
    <s v="IL"/>
    <s v="Aurora"/>
    <x v="0"/>
    <n v="725966"/>
    <s v="0-100"/>
    <n v="106"/>
    <x v="453"/>
    <x v="205"/>
    <n v="115.3"/>
    <n v="167.9"/>
    <x v="2"/>
    <s v="2.2"/>
    <s v="06:00-09:59"/>
    <x v="5"/>
    <x v="0"/>
    <n v="-37"/>
    <n v="0"/>
    <n v="0"/>
    <n v="27.9"/>
    <n v="0"/>
    <n v="0.46700000000000003"/>
    <n v="0.66"/>
    <n v="5345.04"/>
    <x v="0"/>
    <n v="1"/>
    <n v="1"/>
    <n v="0"/>
    <n v="1"/>
    <n v="0"/>
    <n v="1"/>
    <n v="0"/>
    <x v="38"/>
    <x v="52"/>
    <n v="143.27000000000001"/>
    <n v="36.299999999999997"/>
    <x v="863"/>
    <n v="26.8"/>
    <n v="6.3"/>
  </r>
  <r>
    <n v="905196831"/>
    <n v="719176"/>
    <n v="2130789"/>
    <n v="6311"/>
    <x v="8"/>
    <n v="51116"/>
    <x v="4"/>
    <x v="125"/>
    <x v="124"/>
    <x v="870"/>
    <x v="878"/>
    <x v="877"/>
    <x v="330"/>
    <s v="IL"/>
    <s v="Rockford"/>
    <s v="IL"/>
    <s v="Aurora"/>
    <x v="0"/>
    <n v="725966"/>
    <s v="301-500"/>
    <n v="310"/>
    <x v="359"/>
    <x v="111"/>
    <n v="319.39999999999998"/>
    <n v="382.3"/>
    <x v="0"/>
    <s v="11.16"/>
    <s v="14:00-17:59"/>
    <x v="6"/>
    <x v="4"/>
    <n v="156"/>
    <n v="177"/>
    <n v="0"/>
    <n v="21.8"/>
    <n v="0"/>
    <n v="0.68200000000000005"/>
    <n v="0.57699999999999996"/>
    <n v="5521.03"/>
    <x v="0"/>
    <n v="1"/>
    <n v="0"/>
    <n v="1"/>
    <n v="0"/>
    <n v="1"/>
    <n v="0"/>
    <n v="1"/>
    <x v="58"/>
    <x v="22"/>
    <n v="343.07"/>
    <n v="82.2"/>
    <x v="864"/>
    <n v="17"/>
    <n v="46.4"/>
  </r>
  <r>
    <n v="829511584"/>
    <n v="623481"/>
    <n v="2737893"/>
    <n v="4627"/>
    <x v="3"/>
    <n v="51750"/>
    <x v="7"/>
    <x v="273"/>
    <x v="272"/>
    <x v="871"/>
    <x v="879"/>
    <x v="878"/>
    <x v="77"/>
    <s v="TX"/>
    <s v="San Antonio"/>
    <s v="AZ"/>
    <s v="Flagstaff"/>
    <x v="2"/>
    <n v="741347"/>
    <s v="101-300"/>
    <n v="154"/>
    <x v="327"/>
    <x v="35"/>
    <n v="148.5"/>
    <n v="209.4"/>
    <x v="0"/>
    <s v="3.28"/>
    <s v="18:00-23:59"/>
    <x v="1"/>
    <x v="0"/>
    <n v="-37"/>
    <n v="0"/>
    <n v="0"/>
    <n v="52.2"/>
    <n v="0"/>
    <n v="0.89900000000000002"/>
    <n v="0.374"/>
    <n v="10847.92"/>
    <x v="1"/>
    <n v="1"/>
    <n v="1"/>
    <n v="0"/>
    <n v="1"/>
    <n v="0"/>
    <n v="1"/>
    <n v="0"/>
    <x v="85"/>
    <x v="46"/>
    <n v="169.76"/>
    <n v="22.94"/>
    <x v="865"/>
    <n v="22.3"/>
    <n v="70.7"/>
  </r>
  <r>
    <n v="271784435"/>
    <n v="358607"/>
    <n v="5727085"/>
    <n v="6864"/>
    <x v="1"/>
    <n v="54027"/>
    <x v="10"/>
    <x v="11"/>
    <x v="11"/>
    <x v="872"/>
    <x v="880"/>
    <x v="879"/>
    <x v="11"/>
    <s v="GA"/>
    <s v="Macon"/>
    <s v="NC"/>
    <s v="Durham"/>
    <x v="1"/>
    <n v="763999"/>
    <s v="101-300"/>
    <n v="115"/>
    <x v="400"/>
    <x v="181"/>
    <n v="111.4"/>
    <n v="155.6"/>
    <x v="0"/>
    <s v="1.24"/>
    <s v="10:00-13:59"/>
    <x v="5"/>
    <x v="0"/>
    <n v="-31"/>
    <n v="0"/>
    <n v="0"/>
    <n v="34.299999999999997"/>
    <n v="0"/>
    <n v="0.40300000000000002"/>
    <n v="0.52"/>
    <n v="9187.65"/>
    <x v="1"/>
    <n v="1"/>
    <n v="1"/>
    <n v="0"/>
    <n v="1"/>
    <n v="0"/>
    <n v="1"/>
    <n v="0"/>
    <x v="8"/>
    <x v="22"/>
    <n v="116.11"/>
    <n v="15.93"/>
    <x v="866"/>
    <n v="7.3"/>
    <n v="40.5"/>
  </r>
  <r>
    <n v="133436988"/>
    <n v="813536"/>
    <n v="3500715"/>
    <n v="5737"/>
    <x v="0"/>
    <n v="55745"/>
    <x v="5"/>
    <x v="267"/>
    <x v="266"/>
    <x v="873"/>
    <x v="881"/>
    <x v="880"/>
    <x v="275"/>
    <s v="TN"/>
    <s v="Clarksville"/>
    <s v="NC"/>
    <s v="Wilmington"/>
    <x v="1"/>
    <n v="751684"/>
    <s v="101-300"/>
    <n v="256"/>
    <x v="70"/>
    <x v="335"/>
    <n v="252.8"/>
    <n v="297.2"/>
    <x v="2"/>
    <s v="5.06"/>
    <s v="14:00-17:59"/>
    <x v="2"/>
    <x v="0"/>
    <n v="-35"/>
    <n v="0"/>
    <n v="0"/>
    <n v="60.9"/>
    <n v="0"/>
    <n v="0.71199999999999997"/>
    <n v="0.56000000000000005"/>
    <n v="4606.04"/>
    <x v="0"/>
    <n v="1"/>
    <n v="1"/>
    <n v="0"/>
    <n v="1"/>
    <n v="0"/>
    <n v="1"/>
    <n v="0"/>
    <x v="67"/>
    <x v="91"/>
    <n v="221.88"/>
    <n v="31.31"/>
    <x v="867"/>
    <n v="6.9"/>
    <n v="42.8"/>
  </r>
  <r>
    <n v="253308283"/>
    <n v="581741"/>
    <n v="3790237"/>
    <n v="1995"/>
    <x v="5"/>
    <n v="55064"/>
    <x v="1"/>
    <x v="300"/>
    <x v="300"/>
    <x v="874"/>
    <x v="882"/>
    <x v="881"/>
    <x v="308"/>
    <s v="TX"/>
    <s v="Dallas"/>
    <s v="TN"/>
    <s v="Clarksville"/>
    <x v="1"/>
    <n v="700860"/>
    <s v="101-300"/>
    <n v="287"/>
    <x v="427"/>
    <x v="388"/>
    <n v="286.8"/>
    <n v="315.39999999999998"/>
    <x v="2"/>
    <s v="6.53"/>
    <s v="14:00-17:59"/>
    <x v="5"/>
    <x v="0"/>
    <n v="1"/>
    <n v="0"/>
    <n v="0"/>
    <n v="36.9"/>
    <n v="0"/>
    <n v="0.51800000000000002"/>
    <n v="0.84699999999999998"/>
    <n v="3729.33"/>
    <x v="0"/>
    <n v="1"/>
    <n v="1"/>
    <n v="0"/>
    <n v="1"/>
    <n v="0"/>
    <n v="1"/>
    <n v="0"/>
    <x v="11"/>
    <x v="104"/>
    <n v="249.9"/>
    <n v="57.48"/>
    <x v="868"/>
    <n v="17.5"/>
    <n v="27.7"/>
  </r>
  <r>
    <n v="752376434"/>
    <n v="766563"/>
    <n v="9910817"/>
    <n v="1391"/>
    <x v="7"/>
    <n v="59679"/>
    <x v="7"/>
    <x v="112"/>
    <x v="111"/>
    <x v="875"/>
    <x v="883"/>
    <x v="882"/>
    <x v="111"/>
    <s v="MO"/>
    <s v="Columbia"/>
    <s v="NY"/>
    <s v="Syracuse"/>
    <x v="3"/>
    <n v="739953"/>
    <s v="501-1000"/>
    <n v="727"/>
    <x v="134"/>
    <x v="289"/>
    <n v="726.5"/>
    <n v="767.2"/>
    <x v="1"/>
    <s v="14.63"/>
    <s v="00:00-05:59"/>
    <x v="2"/>
    <x v="0"/>
    <n v="-47"/>
    <n v="0"/>
    <n v="0"/>
    <n v="44"/>
    <n v="0"/>
    <n v="0.74099999999999999"/>
    <n v="0.73599999999999999"/>
    <n v="10347.049999999999"/>
    <x v="1"/>
    <n v="1"/>
    <n v="1"/>
    <n v="0"/>
    <n v="1"/>
    <n v="0"/>
    <n v="1"/>
    <n v="0"/>
    <x v="68"/>
    <x v="22"/>
    <n v="599.5"/>
    <n v="142.16999999999999"/>
    <x v="869"/>
    <n v="10"/>
    <n v="21"/>
  </r>
  <r>
    <n v="828092377"/>
    <n v="217301"/>
    <n v="5453786"/>
    <n v="5548"/>
    <x v="6"/>
    <n v="55938"/>
    <x v="13"/>
    <x v="144"/>
    <x v="144"/>
    <x v="876"/>
    <x v="884"/>
    <x v="883"/>
    <x v="148"/>
    <s v="AZ"/>
    <s v="Mesa"/>
    <s v="CO"/>
    <s v="Denver"/>
    <x v="2"/>
    <n v="795199"/>
    <s v="101-300"/>
    <n v="304"/>
    <x v="71"/>
    <x v="389"/>
    <n v="314.3"/>
    <n v="344.1"/>
    <x v="3"/>
    <s v="5.63"/>
    <s v="10:00-13:59"/>
    <x v="5"/>
    <x v="0"/>
    <n v="-12"/>
    <n v="0"/>
    <n v="0.7"/>
    <n v="7.2"/>
    <n v="0"/>
    <n v="0.77700000000000002"/>
    <n v="0.753"/>
    <n v="118689.86"/>
    <x v="2"/>
    <n v="1"/>
    <n v="1"/>
    <n v="0"/>
    <n v="1"/>
    <n v="0"/>
    <n v="1"/>
    <n v="0"/>
    <x v="38"/>
    <x v="105"/>
    <n v="279.49"/>
    <n v="64.31"/>
    <x v="870"/>
    <n v="13"/>
    <n v="38.6"/>
  </r>
  <r>
    <n v="938927341"/>
    <n v="197251"/>
    <n v="4078418"/>
    <n v="2585"/>
    <x v="4"/>
    <n v="53397"/>
    <x v="12"/>
    <x v="137"/>
    <x v="137"/>
    <x v="877"/>
    <x v="885"/>
    <x v="884"/>
    <x v="140"/>
    <s v="WA"/>
    <s v="Tacoma"/>
    <s v="NY"/>
    <s v="Syracuse"/>
    <x v="3"/>
    <n v="711247"/>
    <s v="301-500"/>
    <n v="425"/>
    <x v="31"/>
    <x v="336"/>
    <n v="423.9"/>
    <n v="465.5"/>
    <x v="0"/>
    <s v="7.2"/>
    <s v="06:00-09:59"/>
    <x v="6"/>
    <x v="0"/>
    <n v="-23"/>
    <n v="0"/>
    <n v="0"/>
    <n v="82.5"/>
    <n v="0"/>
    <n v="0.745"/>
    <n v="0.72599999999999998"/>
    <n v="3701.86"/>
    <x v="0"/>
    <n v="1"/>
    <n v="1"/>
    <n v="0"/>
    <n v="1"/>
    <n v="0"/>
    <n v="1"/>
    <n v="0"/>
    <x v="13"/>
    <x v="56"/>
    <n v="358.91"/>
    <n v="81.760000000000005"/>
    <x v="871"/>
    <n v="11.9"/>
    <n v="24.3"/>
  </r>
  <r>
    <n v="570484488"/>
    <n v="728038"/>
    <n v="1463060"/>
    <n v="7287"/>
    <x v="0"/>
    <n v="58265"/>
    <x v="8"/>
    <x v="164"/>
    <x v="164"/>
    <x v="878"/>
    <x v="886"/>
    <x v="885"/>
    <x v="331"/>
    <s v="TN"/>
    <s v="Chattanooga"/>
    <s v="PA"/>
    <s v="Philadelphia"/>
    <x v="3"/>
    <n v="731760"/>
    <s v="101-300"/>
    <n v="240"/>
    <x v="44"/>
    <x v="149"/>
    <n v="233.8"/>
    <n v="291.60000000000002"/>
    <x v="0"/>
    <s v="4.74"/>
    <s v="18:00-23:59"/>
    <x v="6"/>
    <x v="0"/>
    <n v="13"/>
    <n v="0"/>
    <n v="0"/>
    <n v="72.599999999999994"/>
    <n v="0"/>
    <n v="0.61899999999999999"/>
    <n v="0.58099999999999996"/>
    <n v="4876.33"/>
    <x v="0"/>
    <n v="1"/>
    <n v="1"/>
    <n v="0"/>
    <n v="1"/>
    <n v="0"/>
    <n v="1"/>
    <n v="0"/>
    <x v="50"/>
    <x v="49"/>
    <n v="185.95"/>
    <n v="39.15"/>
    <x v="872"/>
    <n v="13.6"/>
    <n v="40"/>
  </r>
  <r>
    <n v="137365109"/>
    <n v="623481"/>
    <n v="2737893"/>
    <n v="4627"/>
    <x v="3"/>
    <n v="51359"/>
    <x v="7"/>
    <x v="17"/>
    <x v="17"/>
    <x v="879"/>
    <x v="887"/>
    <x v="886"/>
    <x v="17"/>
    <s v="NJ"/>
    <s v="Elizabeth"/>
    <s v="MI"/>
    <s v="Grand Rapids"/>
    <x v="0"/>
    <n v="773308"/>
    <s v="0-100"/>
    <n v="96"/>
    <x v="291"/>
    <x v="200"/>
    <n v="92.5"/>
    <n v="127.1"/>
    <x v="0"/>
    <s v="3.47"/>
    <s v="14:00-17:59"/>
    <x v="4"/>
    <x v="0"/>
    <n v="-1"/>
    <n v="0"/>
    <n v="0"/>
    <n v="21.1"/>
    <n v="0"/>
    <n v="0.56399999999999995"/>
    <n v="0.63900000000000001"/>
    <n v="1901.41"/>
    <x v="0"/>
    <n v="1"/>
    <n v="1"/>
    <n v="0"/>
    <n v="1"/>
    <n v="0"/>
    <n v="1"/>
    <n v="0"/>
    <x v="13"/>
    <x v="85"/>
    <n v="97.89"/>
    <n v="15.26"/>
    <x v="873"/>
    <n v="22.3"/>
    <n v="66.599999999999994"/>
  </r>
  <r>
    <n v="235538456"/>
    <n v="854639"/>
    <n v="7417985"/>
    <n v="3811"/>
    <x v="6"/>
    <n v="59283"/>
    <x v="6"/>
    <x v="88"/>
    <x v="88"/>
    <x v="880"/>
    <x v="888"/>
    <x v="887"/>
    <x v="87"/>
    <s v="FL"/>
    <s v="Tampa"/>
    <s v="WA"/>
    <s v="Everett"/>
    <x v="2"/>
    <n v="763525"/>
    <s v="0-100"/>
    <n v="46"/>
    <x v="47"/>
    <x v="342"/>
    <n v="48.2"/>
    <n v="117.6"/>
    <x v="0"/>
    <s v="0.75"/>
    <s v="06:00-09:59"/>
    <x v="1"/>
    <x v="0"/>
    <n v="-45"/>
    <n v="0"/>
    <n v="0"/>
    <n v="12"/>
    <n v="0"/>
    <n v="0.42799999999999999"/>
    <n v="0.46800000000000003"/>
    <n v="3504.36"/>
    <x v="0"/>
    <n v="1"/>
    <n v="1"/>
    <n v="0"/>
    <n v="1"/>
    <n v="0"/>
    <n v="1"/>
    <n v="0"/>
    <x v="44"/>
    <x v="95"/>
    <n v="73.709999999999994"/>
    <n v="24.85"/>
    <x v="874"/>
    <n v="11.8"/>
    <n v="22.3"/>
  </r>
  <r>
    <n v="172191273"/>
    <n v="220116"/>
    <n v="6933742"/>
    <n v="5218"/>
    <x v="0"/>
    <n v="54853"/>
    <x v="12"/>
    <x v="27"/>
    <x v="27"/>
    <x v="881"/>
    <x v="889"/>
    <x v="888"/>
    <x v="27"/>
    <s v="OH"/>
    <s v="Toledo"/>
    <s v="MO"/>
    <s v="Columbia"/>
    <x v="0"/>
    <n v="778263"/>
    <s v="0-100"/>
    <n v="51"/>
    <x v="454"/>
    <x v="25"/>
    <n v="49.5"/>
    <n v="72.8"/>
    <x v="0"/>
    <s v="1.42"/>
    <s v="06:00-09:59"/>
    <x v="0"/>
    <x v="0"/>
    <n v="-30"/>
    <n v="0"/>
    <n v="0"/>
    <n v="37.299999999999997"/>
    <n v="0"/>
    <n v="0.75700000000000001"/>
    <n v="0.63500000000000001"/>
    <n v="3454.75"/>
    <x v="0"/>
    <n v="1"/>
    <n v="1"/>
    <n v="0"/>
    <n v="1"/>
    <n v="0"/>
    <n v="1"/>
    <n v="0"/>
    <x v="95"/>
    <x v="62"/>
    <n v="49.08"/>
    <n v="15.26"/>
    <x v="875"/>
    <n v="31.9"/>
    <n v="41"/>
  </r>
  <r>
    <n v="353398109"/>
    <n v="733052"/>
    <n v="2642635"/>
    <n v="8989"/>
    <x v="1"/>
    <n v="51941"/>
    <x v="6"/>
    <x v="330"/>
    <x v="330"/>
    <x v="882"/>
    <x v="890"/>
    <x v="889"/>
    <x v="332"/>
    <s v="IL"/>
    <s v="Aurora"/>
    <s v="IL"/>
    <s v="Springfield"/>
    <x v="0"/>
    <n v="725966"/>
    <s v="101-300"/>
    <n v="299"/>
    <x v="72"/>
    <x v="257"/>
    <n v="300.89999999999998"/>
    <n v="337"/>
    <x v="2"/>
    <s v="6.68"/>
    <s v="10:00-13:59"/>
    <x v="2"/>
    <x v="0"/>
    <n v="-18"/>
    <n v="0"/>
    <n v="0"/>
    <n v="65.099999999999994"/>
    <n v="0"/>
    <n v="0.442"/>
    <n v="0.55500000000000005"/>
    <n v="5657.06"/>
    <x v="0"/>
    <n v="1"/>
    <n v="1"/>
    <n v="0"/>
    <n v="1"/>
    <n v="0"/>
    <n v="1"/>
    <n v="0"/>
    <x v="4"/>
    <x v="44"/>
    <n v="248.11"/>
    <n v="43.51"/>
    <x v="876"/>
    <n v="11.9"/>
    <n v="23.2"/>
  </r>
  <r>
    <n v="935924516"/>
    <n v="623481"/>
    <n v="2737893"/>
    <n v="4627"/>
    <x v="3"/>
    <n v="53148"/>
    <x v="2"/>
    <x v="154"/>
    <x v="154"/>
    <x v="883"/>
    <x v="891"/>
    <x v="890"/>
    <x v="159"/>
    <s v="NY"/>
    <s v="Buffalo"/>
    <s v="CO"/>
    <s v="Fort Collins"/>
    <x v="2"/>
    <n v="726712"/>
    <s v="101-300"/>
    <n v="298"/>
    <x v="455"/>
    <x v="298"/>
    <n v="296.5"/>
    <n v="323.89999999999998"/>
    <x v="0"/>
    <s v="5.44"/>
    <s v="10:00-13:59"/>
    <x v="0"/>
    <x v="0"/>
    <n v="-30"/>
    <n v="0"/>
    <n v="0.2"/>
    <n v="38.5"/>
    <n v="0"/>
    <n v="0.56899999999999995"/>
    <n v="0.873"/>
    <n v="912.17"/>
    <x v="0"/>
    <n v="1"/>
    <n v="1"/>
    <n v="0"/>
    <n v="1"/>
    <n v="0"/>
    <n v="1"/>
    <n v="0"/>
    <x v="9"/>
    <x v="60"/>
    <n v="254.39"/>
    <n v="38.92"/>
    <x v="1"/>
    <n v="22.3"/>
    <n v="64.099999999999994"/>
  </r>
  <r>
    <n v="792738367"/>
    <n v="972064"/>
    <n v="2818692"/>
    <n v="8158"/>
    <x v="1"/>
    <n v="57933"/>
    <x v="8"/>
    <x v="243"/>
    <x v="242"/>
    <x v="884"/>
    <x v="892"/>
    <x v="891"/>
    <x v="104"/>
    <s v="MI"/>
    <s v="Lansing"/>
    <s v="MI"/>
    <s v="Ann Arbor"/>
    <x v="0"/>
    <n v="711807"/>
    <s v="301-500"/>
    <n v="514"/>
    <x v="252"/>
    <x v="368"/>
    <n v="518.29999999999995"/>
    <n v="549.20000000000005"/>
    <x v="2"/>
    <s v="11.32"/>
    <s v="00:00-05:59"/>
    <x v="2"/>
    <x v="0"/>
    <n v="2"/>
    <n v="0"/>
    <n v="1.1000000000000001"/>
    <n v="44.3"/>
    <n v="0"/>
    <n v="0.60199999999999998"/>
    <n v="0.73599999999999999"/>
    <n v="20019.580000000002"/>
    <x v="1"/>
    <n v="1"/>
    <n v="1"/>
    <n v="0"/>
    <n v="1"/>
    <n v="0"/>
    <n v="1"/>
    <n v="0"/>
    <x v="14"/>
    <x v="41"/>
    <n v="370.95"/>
    <n v="79.66"/>
    <x v="877"/>
    <n v="10"/>
    <n v="27.6"/>
  </r>
  <r>
    <n v="493342201"/>
    <n v="779514"/>
    <n v="5130808"/>
    <n v="3731"/>
    <x v="4"/>
    <n v="59436"/>
    <x v="1"/>
    <x v="86"/>
    <x v="86"/>
    <x v="885"/>
    <x v="893"/>
    <x v="892"/>
    <x v="85"/>
    <s v="NJ"/>
    <s v="Trenton"/>
    <s v="CA"/>
    <s v="Fresno"/>
    <x v="2"/>
    <n v="769672"/>
    <s v="301-500"/>
    <n v="497"/>
    <x v="48"/>
    <x v="390"/>
    <n v="496.5"/>
    <n v="550.29999999999995"/>
    <x v="0"/>
    <s v="9.44"/>
    <s v="10:00-13:59"/>
    <x v="2"/>
    <x v="0"/>
    <n v="-14"/>
    <n v="0"/>
    <n v="0"/>
    <n v="65.8"/>
    <n v="0"/>
    <n v="0.68799999999999994"/>
    <n v="0.39200000000000002"/>
    <n v="1213.8900000000001"/>
    <x v="0"/>
    <n v="1"/>
    <n v="1"/>
    <n v="0"/>
    <n v="1"/>
    <n v="0"/>
    <n v="1"/>
    <n v="0"/>
    <x v="70"/>
    <x v="93"/>
    <n v="386.8"/>
    <n v="58.23"/>
    <x v="878"/>
    <n v="38.9"/>
    <n v="63.3"/>
  </r>
  <r>
    <n v="488856231"/>
    <n v="891952"/>
    <n v="3135534"/>
    <n v="2218"/>
    <x v="4"/>
    <n v="51285"/>
    <x v="9"/>
    <x v="176"/>
    <x v="175"/>
    <x v="886"/>
    <x v="894"/>
    <x v="893"/>
    <x v="204"/>
    <s v="NY"/>
    <s v="Rochester"/>
    <s v="OH"/>
    <s v="Dayton"/>
    <x v="0"/>
    <n v="702844"/>
    <s v="0-100"/>
    <n v="31"/>
    <x v="211"/>
    <x v="2"/>
    <n v="23.7"/>
    <n v="58.8"/>
    <x v="3"/>
    <s v="3.93"/>
    <s v="10:00-13:59"/>
    <x v="1"/>
    <x v="4"/>
    <n v="146"/>
    <n v="273"/>
    <n v="0"/>
    <n v="30.2"/>
    <n v="0"/>
    <n v="0.61499999999999999"/>
    <n v="0.75700000000000001"/>
    <n v="20665.54"/>
    <x v="1"/>
    <n v="1"/>
    <n v="0"/>
    <n v="1"/>
    <n v="0"/>
    <n v="1"/>
    <n v="0"/>
    <n v="1"/>
    <x v="31"/>
    <x v="6"/>
    <n v="43.06"/>
    <n v="7.02"/>
    <x v="879"/>
    <n v="4.0999999999999996"/>
    <n v="54.4"/>
  </r>
  <r>
    <n v="511086777"/>
    <n v="356702"/>
    <n v="4426900"/>
    <n v="1502"/>
    <x v="1"/>
    <n v="56474"/>
    <x v="3"/>
    <x v="229"/>
    <x v="228"/>
    <x v="887"/>
    <x v="895"/>
    <x v="894"/>
    <x v="232"/>
    <s v="AZ"/>
    <s v="Tempe"/>
    <s v="GA"/>
    <s v="Savannah"/>
    <x v="1"/>
    <n v="700025"/>
    <s v="101-300"/>
    <n v="282"/>
    <x v="230"/>
    <x v="5"/>
    <n v="279.89999999999998"/>
    <n v="346.2"/>
    <x v="0"/>
    <s v="6.73"/>
    <s v="06:00-09:59"/>
    <x v="6"/>
    <x v="0"/>
    <n v="4"/>
    <n v="0"/>
    <n v="0"/>
    <n v="35.700000000000003"/>
    <n v="0"/>
    <n v="0.55500000000000005"/>
    <n v="0.70499999999999996"/>
    <n v="1542.77"/>
    <x v="0"/>
    <n v="1"/>
    <n v="1"/>
    <n v="0"/>
    <n v="1"/>
    <n v="0"/>
    <n v="1"/>
    <n v="0"/>
    <x v="30"/>
    <x v="8"/>
    <n v="235.13"/>
    <n v="50.42"/>
    <x v="880"/>
    <n v="47.2"/>
    <n v="7.6"/>
  </r>
  <r>
    <n v="709074302"/>
    <n v="391704"/>
    <n v="7897151"/>
    <n v="4556"/>
    <x v="1"/>
    <n v="50770"/>
    <x v="13"/>
    <x v="135"/>
    <x v="135"/>
    <x v="888"/>
    <x v="896"/>
    <x v="895"/>
    <x v="299"/>
    <s v="CA"/>
    <s v="Sacramento"/>
    <s v="TN"/>
    <s v="Chattanooga"/>
    <x v="1"/>
    <n v="747187"/>
    <s v="101-300"/>
    <n v="193"/>
    <x v="204"/>
    <x v="264"/>
    <n v="206.3"/>
    <n v="250.9"/>
    <x v="4"/>
    <s v="4.01"/>
    <s v="14:00-17:59"/>
    <x v="3"/>
    <x v="0"/>
    <n v="-44"/>
    <n v="0"/>
    <n v="0"/>
    <n v="52"/>
    <n v="0"/>
    <n v="0.55700000000000005"/>
    <n v="0.59199999999999997"/>
    <n v="3567.64"/>
    <x v="0"/>
    <n v="1"/>
    <n v="1"/>
    <n v="0"/>
    <n v="1"/>
    <n v="0"/>
    <n v="1"/>
    <n v="0"/>
    <x v="56"/>
    <x v="9"/>
    <n v="230.73"/>
    <n v="32.28"/>
    <x v="881"/>
    <n v="11.3"/>
    <n v="48.8"/>
  </r>
  <r>
    <n v="134773472"/>
    <n v="472528"/>
    <n v="4117625"/>
    <n v="7278"/>
    <x v="3"/>
    <n v="51843"/>
    <x v="7"/>
    <x v="331"/>
    <x v="331"/>
    <x v="889"/>
    <x v="897"/>
    <x v="896"/>
    <x v="218"/>
    <s v="NY"/>
    <s v="New York"/>
    <s v="NY"/>
    <s v="Buffalo"/>
    <x v="3"/>
    <n v="742838"/>
    <s v="101-300"/>
    <n v="318"/>
    <x v="456"/>
    <x v="211"/>
    <n v="325.39999999999998"/>
    <n v="352.9"/>
    <x v="0"/>
    <s v="5.81"/>
    <s v="18:00-23:59"/>
    <x v="4"/>
    <x v="0"/>
    <n v="-24"/>
    <n v="0"/>
    <n v="0"/>
    <n v="55"/>
    <n v="0"/>
    <n v="0.54100000000000004"/>
    <n v="0.90400000000000003"/>
    <n v="7590.25"/>
    <x v="1"/>
    <n v="1"/>
    <n v="1"/>
    <n v="0"/>
    <n v="1"/>
    <n v="0"/>
    <n v="1"/>
    <n v="0"/>
    <x v="33"/>
    <x v="62"/>
    <n v="303.99"/>
    <n v="66.489999999999995"/>
    <x v="882"/>
    <n v="20.5"/>
    <n v="69"/>
  </r>
  <r>
    <n v="749715626"/>
    <n v="653306"/>
    <n v="6188935"/>
    <n v="7944"/>
    <x v="1"/>
    <n v="50073"/>
    <x v="7"/>
    <x v="283"/>
    <x v="283"/>
    <x v="890"/>
    <x v="898"/>
    <x v="897"/>
    <x v="288"/>
    <s v="MO"/>
    <s v="Independence"/>
    <s v="FL"/>
    <s v="Orlando"/>
    <x v="1"/>
    <n v="710819"/>
    <s v="0-100"/>
    <n v="62"/>
    <x v="457"/>
    <x v="115"/>
    <n v="55"/>
    <n v="108.1"/>
    <x v="2"/>
    <s v="1.28"/>
    <s v="14:00-17:59"/>
    <x v="3"/>
    <x v="0"/>
    <n v="-13"/>
    <n v="0"/>
    <n v="0"/>
    <n v="32.200000000000003"/>
    <n v="0"/>
    <n v="0.60899999999999999"/>
    <n v="0.70299999999999996"/>
    <n v="4709.8999999999996"/>
    <x v="0"/>
    <n v="1"/>
    <n v="1"/>
    <n v="0"/>
    <n v="1"/>
    <n v="0"/>
    <n v="1"/>
    <n v="0"/>
    <x v="62"/>
    <x v="48"/>
    <n v="93.32"/>
    <n v="22.55"/>
    <x v="883"/>
    <n v="23.9"/>
    <n v="66.8"/>
  </r>
  <r>
    <n v="264752975"/>
    <n v="301629"/>
    <n v="8633773"/>
    <n v="7331"/>
    <x v="1"/>
    <n v="51660"/>
    <x v="2"/>
    <x v="91"/>
    <x v="91"/>
    <x v="891"/>
    <x v="899"/>
    <x v="898"/>
    <x v="90"/>
    <s v="AZ"/>
    <s v="Tucson"/>
    <s v="CO"/>
    <s v="Pueblo"/>
    <x v="2"/>
    <n v="795199"/>
    <s v="0-100"/>
    <n v="69"/>
    <x v="226"/>
    <x v="150"/>
    <n v="79.7"/>
    <n v="115.9"/>
    <x v="3"/>
    <s v="1.33"/>
    <s v="14:00-17:59"/>
    <x v="6"/>
    <x v="0"/>
    <n v="-21"/>
    <n v="0"/>
    <n v="0"/>
    <n v="60.7"/>
    <n v="0"/>
    <n v="0.69699999999999995"/>
    <n v="0.95099999999999996"/>
    <n v="2356.25"/>
    <x v="0"/>
    <n v="1"/>
    <n v="1"/>
    <n v="0"/>
    <n v="1"/>
    <n v="0"/>
    <n v="1"/>
    <n v="0"/>
    <x v="5"/>
    <x v="6"/>
    <n v="91.64"/>
    <n v="24.23"/>
    <x v="884"/>
    <n v="63.5"/>
    <n v="4.5999999999999996"/>
  </r>
  <r>
    <n v="829137330"/>
    <n v="972064"/>
    <n v="2818692"/>
    <n v="8158"/>
    <x v="1"/>
    <n v="54349"/>
    <x v="6"/>
    <x v="264"/>
    <x v="263"/>
    <x v="892"/>
    <x v="900"/>
    <x v="899"/>
    <x v="213"/>
    <s v="CO"/>
    <s v="Pueblo"/>
    <s v="CO"/>
    <s v="Aurora"/>
    <x v="2"/>
    <n v="705397"/>
    <s v="501-1000"/>
    <n v="781"/>
    <x v="413"/>
    <x v="8"/>
    <n v="781.8"/>
    <n v="829.6"/>
    <x v="2"/>
    <s v="17.25"/>
    <s v="06:00-09:59"/>
    <x v="6"/>
    <x v="0"/>
    <n v="-86"/>
    <n v="0"/>
    <n v="0"/>
    <n v="57.3"/>
    <n v="0"/>
    <n v="0.92600000000000005"/>
    <n v="0.67900000000000005"/>
    <n v="13505.32"/>
    <x v="1"/>
    <n v="1"/>
    <n v="1"/>
    <n v="0"/>
    <n v="1"/>
    <n v="0"/>
    <n v="1"/>
    <n v="0"/>
    <x v="48"/>
    <x v="47"/>
    <n v="753.61"/>
    <n v="143.12"/>
    <x v="885"/>
    <n v="10"/>
    <n v="33.200000000000003"/>
  </r>
  <r>
    <n v="583100677"/>
    <n v="955662"/>
    <n v="8315831"/>
    <n v="9445"/>
    <x v="1"/>
    <n v="57102"/>
    <x v="14"/>
    <x v="292"/>
    <x v="292"/>
    <x v="893"/>
    <x v="901"/>
    <x v="900"/>
    <x v="281"/>
    <s v="IL"/>
    <s v="Aurora"/>
    <s v="AZ"/>
    <s v="Flagstaff"/>
    <x v="2"/>
    <n v="775527"/>
    <s v="301-500"/>
    <n v="363"/>
    <x v="458"/>
    <x v="9"/>
    <n v="360.1"/>
    <n v="381.9"/>
    <x v="1"/>
    <s v="9.82"/>
    <s v="06:00-09:59"/>
    <x v="3"/>
    <x v="2"/>
    <n v="251"/>
    <n v="41"/>
    <n v="3.2"/>
    <n v="63"/>
    <n v="0"/>
    <n v="0.57399999999999995"/>
    <n v="0.64500000000000002"/>
    <n v="14720.54"/>
    <x v="1"/>
    <n v="1"/>
    <n v="0"/>
    <n v="1"/>
    <n v="0"/>
    <n v="1"/>
    <n v="0"/>
    <n v="1"/>
    <x v="70"/>
    <x v="52"/>
    <n v="320.67"/>
    <n v="70.430000000000007"/>
    <x v="131"/>
    <n v="18.100000000000001"/>
    <n v="29.5"/>
  </r>
  <r>
    <n v="498320110"/>
    <n v="996865"/>
    <n v="2022698"/>
    <n v="6463"/>
    <x v="5"/>
    <n v="58000"/>
    <x v="6"/>
    <x v="159"/>
    <x v="159"/>
    <x v="894"/>
    <x v="902"/>
    <x v="901"/>
    <x v="163"/>
    <s v="NC"/>
    <s v="Raleigh"/>
    <s v="NC"/>
    <s v="Durham"/>
    <x v="1"/>
    <n v="752322"/>
    <s v="101-300"/>
    <n v="121"/>
    <x v="459"/>
    <x v="304"/>
    <n v="119.3"/>
    <n v="141.69999999999999"/>
    <x v="0"/>
    <s v="2.89"/>
    <s v="06:00-09:59"/>
    <x v="3"/>
    <x v="0"/>
    <n v="-7"/>
    <n v="0"/>
    <n v="0"/>
    <n v="45.2"/>
    <n v="0"/>
    <n v="0.85099999999999998"/>
    <n v="0.33500000000000002"/>
    <n v="3189.08"/>
    <x v="0"/>
    <n v="1"/>
    <n v="1"/>
    <n v="0"/>
    <n v="1"/>
    <n v="0"/>
    <n v="1"/>
    <n v="0"/>
    <x v="52"/>
    <x v="67"/>
    <n v="101.92"/>
    <n v="22.57"/>
    <x v="886"/>
    <n v="8.8000000000000007"/>
    <n v="31.7"/>
  </r>
  <r>
    <n v="499446327"/>
    <n v="198246"/>
    <n v="9626108"/>
    <n v="5555"/>
    <x v="0"/>
    <n v="59011"/>
    <x v="2"/>
    <x v="233"/>
    <x v="232"/>
    <x v="895"/>
    <x v="903"/>
    <x v="902"/>
    <x v="235"/>
    <s v="MO"/>
    <s v="Independence"/>
    <s v="TX"/>
    <s v="Dallas"/>
    <x v="1"/>
    <n v="741853"/>
    <s v="101-300"/>
    <n v="297"/>
    <x v="401"/>
    <x v="391"/>
    <n v="297.3"/>
    <n v="308.7"/>
    <x v="1"/>
    <s v="3.31"/>
    <s v="14:00-17:59"/>
    <x v="6"/>
    <x v="0"/>
    <n v="-40"/>
    <n v="0"/>
    <n v="0"/>
    <n v="16.3"/>
    <n v="0"/>
    <n v="0.49099999999999999"/>
    <n v="0.441"/>
    <n v="920.45"/>
    <x v="0"/>
    <n v="1"/>
    <n v="1"/>
    <n v="0"/>
    <n v="1"/>
    <n v="0"/>
    <n v="1"/>
    <n v="0"/>
    <x v="80"/>
    <x v="16"/>
    <n v="247.93"/>
    <n v="36.299999999999997"/>
    <x v="887"/>
    <n v="11.5"/>
    <n v="8.8000000000000007"/>
  </r>
  <r>
    <n v="576676179"/>
    <n v="814825"/>
    <n v="7817881"/>
    <n v="9958"/>
    <x v="1"/>
    <n v="53818"/>
    <x v="10"/>
    <x v="318"/>
    <x v="318"/>
    <x v="896"/>
    <x v="904"/>
    <x v="903"/>
    <x v="313"/>
    <s v="IL"/>
    <s v="Chicago"/>
    <s v="TX"/>
    <s v="Austin"/>
    <x v="1"/>
    <n v="718526"/>
    <s v="101-300"/>
    <n v="277"/>
    <x v="174"/>
    <x v="16"/>
    <n v="283.5"/>
    <n v="323.39999999999998"/>
    <x v="0"/>
    <s v="6.58"/>
    <s v="18:00-23:59"/>
    <x v="0"/>
    <x v="0"/>
    <n v="-66"/>
    <n v="0"/>
    <n v="0"/>
    <n v="48.2"/>
    <n v="0"/>
    <n v="0.66700000000000004"/>
    <n v="0.45900000000000002"/>
    <n v="19815.25"/>
    <x v="1"/>
    <n v="1"/>
    <n v="1"/>
    <n v="0"/>
    <n v="1"/>
    <n v="0"/>
    <n v="1"/>
    <n v="0"/>
    <x v="70"/>
    <x v="77"/>
    <n v="253.26"/>
    <n v="56.98"/>
    <x v="888"/>
    <n v="11.6"/>
    <n v="19.7"/>
  </r>
  <r>
    <n v="919355714"/>
    <n v="301629"/>
    <n v="8633773"/>
    <n v="7331"/>
    <x v="1"/>
    <n v="50331"/>
    <x v="12"/>
    <x v="34"/>
    <x v="34"/>
    <x v="897"/>
    <x v="905"/>
    <x v="904"/>
    <x v="33"/>
    <s v="IL"/>
    <s v="Springfield"/>
    <s v="NY"/>
    <s v="Albany"/>
    <x v="3"/>
    <n v="746616"/>
    <s v="301-500"/>
    <n v="322"/>
    <x v="1"/>
    <x v="206"/>
    <n v="323.10000000000002"/>
    <n v="380.2"/>
    <x v="3"/>
    <s v="7.56"/>
    <s v="14:00-17:59"/>
    <x v="6"/>
    <x v="0"/>
    <n v="-33"/>
    <n v="0"/>
    <n v="0"/>
    <n v="38.9"/>
    <n v="0"/>
    <n v="0.42299999999999999"/>
    <n v="0.84199999999999997"/>
    <n v="31305.53"/>
    <x v="2"/>
    <n v="1"/>
    <n v="1"/>
    <n v="0"/>
    <n v="1"/>
    <n v="0"/>
    <n v="1"/>
    <n v="0"/>
    <x v="6"/>
    <x v="12"/>
    <n v="301.91000000000003"/>
    <n v="53.99"/>
    <x v="889"/>
    <n v="63.5"/>
    <n v="4"/>
  </r>
  <r>
    <n v="182555101"/>
    <n v="211579"/>
    <n v="6866294"/>
    <n v="2734"/>
    <x v="9"/>
    <n v="51421"/>
    <x v="7"/>
    <x v="76"/>
    <x v="76"/>
    <x v="898"/>
    <x v="906"/>
    <x v="905"/>
    <x v="124"/>
    <s v="NJ"/>
    <s v="Jersey City"/>
    <s v="NY"/>
    <s v="New York"/>
    <x v="3"/>
    <n v="795786"/>
    <s v="101-300"/>
    <n v="272"/>
    <x v="239"/>
    <x v="392"/>
    <n v="274"/>
    <n v="350.1"/>
    <x v="0"/>
    <s v="4.89"/>
    <s v="18:00-23:59"/>
    <x v="3"/>
    <x v="0"/>
    <n v="-22"/>
    <n v="0"/>
    <n v="1.6"/>
    <n v="23.5"/>
    <n v="0"/>
    <n v="0.69199999999999995"/>
    <n v="0.53500000000000003"/>
    <n v="118101.48"/>
    <x v="2"/>
    <n v="1"/>
    <n v="1"/>
    <n v="0"/>
    <n v="1"/>
    <n v="0"/>
    <n v="1"/>
    <n v="0"/>
    <x v="61"/>
    <x v="85"/>
    <n v="302.95"/>
    <n v="35.25"/>
    <x v="890"/>
    <n v="9.3000000000000007"/>
    <n v="5.3"/>
  </r>
  <r>
    <n v="716243819"/>
    <n v="660086"/>
    <n v="6307805"/>
    <n v="2028"/>
    <x v="6"/>
    <n v="57512"/>
    <x v="10"/>
    <x v="257"/>
    <x v="256"/>
    <x v="899"/>
    <x v="907"/>
    <x v="906"/>
    <x v="257"/>
    <s v="NC"/>
    <s v="Durham"/>
    <s v="WA"/>
    <s v="Seattle"/>
    <x v="2"/>
    <n v="773553"/>
    <s v="0-100"/>
    <n v="76"/>
    <x v="460"/>
    <x v="358"/>
    <n v="83.3"/>
    <n v="164.6"/>
    <x v="2"/>
    <s v="2.6"/>
    <s v="14:00-17:59"/>
    <x v="0"/>
    <x v="0"/>
    <n v="-20"/>
    <n v="0"/>
    <n v="0"/>
    <n v="43.1"/>
    <n v="0"/>
    <n v="0.77300000000000002"/>
    <n v="0.32100000000000001"/>
    <n v="105954.72"/>
    <x v="2"/>
    <n v="1"/>
    <n v="1"/>
    <n v="0"/>
    <n v="1"/>
    <n v="0"/>
    <n v="1"/>
    <n v="0"/>
    <x v="0"/>
    <x v="31"/>
    <n v="127.21"/>
    <n v="27.82"/>
    <x v="891"/>
    <n v="15.8"/>
    <n v="10.5"/>
  </r>
  <r>
    <n v="247848992"/>
    <n v="983794"/>
    <n v="8688755"/>
    <n v="1863"/>
    <x v="0"/>
    <n v="56890"/>
    <x v="1"/>
    <x v="231"/>
    <x v="230"/>
    <x v="900"/>
    <x v="908"/>
    <x v="907"/>
    <x v="243"/>
    <s v="MI"/>
    <s v="Lansing"/>
    <s v="TX"/>
    <s v="San Antonio"/>
    <x v="1"/>
    <n v="712046"/>
    <s v="301-500"/>
    <n v="384"/>
    <x v="267"/>
    <x v="92"/>
    <n v="381.6"/>
    <n v="437.7"/>
    <x v="0"/>
    <s v="6.53"/>
    <s v="10:00-13:59"/>
    <x v="1"/>
    <x v="0"/>
    <n v="-61"/>
    <n v="0"/>
    <n v="0"/>
    <n v="49.8"/>
    <n v="0"/>
    <n v="0.61"/>
    <n v="0.70799999999999996"/>
    <n v="3719.15"/>
    <x v="0"/>
    <n v="1"/>
    <n v="1"/>
    <n v="0"/>
    <n v="1"/>
    <n v="0"/>
    <n v="1"/>
    <n v="0"/>
    <x v="44"/>
    <x v="31"/>
    <n v="367.05"/>
    <n v="54.19"/>
    <x v="892"/>
    <n v="22.3"/>
    <n v="29.4"/>
  </r>
  <r>
    <n v="668503222"/>
    <n v="287330"/>
    <n v="4348276"/>
    <n v="9338"/>
    <x v="3"/>
    <n v="54931"/>
    <x v="5"/>
    <x v="325"/>
    <x v="325"/>
    <x v="901"/>
    <x v="909"/>
    <x v="908"/>
    <x v="126"/>
    <s v="NC"/>
    <s v="Charlotte"/>
    <s v="AZ"/>
    <s v="Tempe"/>
    <x v="2"/>
    <n v="750662"/>
    <s v="101-300"/>
    <n v="159"/>
    <x v="425"/>
    <x v="217"/>
    <n v="160.80000000000001"/>
    <n v="206.7"/>
    <x v="2"/>
    <s v="3.06"/>
    <s v="10:00-13:59"/>
    <x v="6"/>
    <x v="0"/>
    <n v="-14"/>
    <n v="0"/>
    <n v="0"/>
    <n v="76.8"/>
    <n v="0"/>
    <n v="0.78400000000000003"/>
    <n v="0.69799999999999995"/>
    <n v="2812.58"/>
    <x v="0"/>
    <n v="1"/>
    <n v="1"/>
    <n v="0"/>
    <n v="1"/>
    <n v="0"/>
    <n v="1"/>
    <n v="0"/>
    <x v="73"/>
    <x v="47"/>
    <n v="143.69"/>
    <n v="42.66"/>
    <x v="893"/>
    <n v="17.5"/>
    <n v="70.5"/>
  </r>
  <r>
    <n v="494009507"/>
    <n v="482554"/>
    <n v="1954280"/>
    <n v="4561"/>
    <x v="1"/>
    <n v="59883"/>
    <x v="7"/>
    <x v="168"/>
    <x v="167"/>
    <x v="902"/>
    <x v="910"/>
    <x v="909"/>
    <x v="330"/>
    <s v="MI"/>
    <s v="Flint"/>
    <s v="GA"/>
    <s v="Atlanta"/>
    <x v="1"/>
    <n v="771847"/>
    <s v="101-300"/>
    <n v="289"/>
    <x v="461"/>
    <x v="258"/>
    <n v="291.60000000000002"/>
    <n v="337.6"/>
    <x v="1"/>
    <s v="7.58"/>
    <s v="00:00-05:59"/>
    <x v="1"/>
    <x v="0"/>
    <n v="5"/>
    <n v="0"/>
    <n v="0"/>
    <n v="26.3"/>
    <n v="0"/>
    <n v="0.83699999999999997"/>
    <n v="0.747"/>
    <n v="1248.48"/>
    <x v="0"/>
    <n v="1"/>
    <n v="1"/>
    <n v="0"/>
    <n v="1"/>
    <n v="0"/>
    <n v="1"/>
    <n v="0"/>
    <x v="24"/>
    <x v="3"/>
    <n v="303.70999999999998"/>
    <n v="71.599999999999994"/>
    <x v="894"/>
    <n v="16.100000000000001"/>
    <n v="25.9"/>
  </r>
  <r>
    <n v="527385805"/>
    <n v="660086"/>
    <n v="6307805"/>
    <n v="2028"/>
    <x v="6"/>
    <n v="56025"/>
    <x v="9"/>
    <x v="70"/>
    <x v="70"/>
    <x v="903"/>
    <x v="911"/>
    <x v="910"/>
    <x v="69"/>
    <s v="NJ"/>
    <s v="Trenton"/>
    <s v="OH"/>
    <s v="Cleveland"/>
    <x v="0"/>
    <n v="732749"/>
    <s v="101-300"/>
    <n v="255"/>
    <x v="20"/>
    <x v="237"/>
    <n v="255.8"/>
    <n v="275"/>
    <x v="2"/>
    <s v="5.04"/>
    <s v="00:00-05:59"/>
    <x v="1"/>
    <x v="0"/>
    <n v="3"/>
    <n v="0"/>
    <n v="0"/>
    <n v="60.2"/>
    <n v="0"/>
    <n v="0.65200000000000002"/>
    <n v="0.58199999999999996"/>
    <n v="5221.7299999999996"/>
    <x v="0"/>
    <n v="1"/>
    <n v="1"/>
    <n v="0"/>
    <n v="1"/>
    <n v="0"/>
    <n v="1"/>
    <n v="0"/>
    <x v="12"/>
    <x v="9"/>
    <n v="177.63"/>
    <n v="32.85"/>
    <x v="895"/>
    <n v="15.8"/>
    <n v="12.6"/>
  </r>
  <r>
    <n v="437568796"/>
    <n v="974628"/>
    <n v="3641282"/>
    <n v="6892"/>
    <x v="0"/>
    <n v="54408"/>
    <x v="3"/>
    <x v="149"/>
    <x v="149"/>
    <x v="904"/>
    <x v="912"/>
    <x v="911"/>
    <x v="154"/>
    <s v="NC"/>
    <s v="Raleigh"/>
    <s v="PA"/>
    <s v="Erie"/>
    <x v="3"/>
    <n v="702410"/>
    <s v="101-300"/>
    <n v="222"/>
    <x v="152"/>
    <x v="321"/>
    <n v="225"/>
    <n v="262.8"/>
    <x v="0"/>
    <s v="5.87"/>
    <s v="14:00-17:59"/>
    <x v="2"/>
    <x v="0"/>
    <n v="9"/>
    <n v="0"/>
    <n v="0"/>
    <n v="31.2"/>
    <n v="0"/>
    <n v="0.61199999999999999"/>
    <n v="0.56699999999999995"/>
    <n v="1847.85"/>
    <x v="0"/>
    <n v="1"/>
    <n v="1"/>
    <n v="0"/>
    <n v="1"/>
    <n v="0"/>
    <n v="1"/>
    <n v="0"/>
    <x v="1"/>
    <x v="89"/>
    <n v="241.27"/>
    <n v="27.21"/>
    <x v="372"/>
    <n v="1.4"/>
    <n v="1.8"/>
  </r>
  <r>
    <n v="797460535"/>
    <n v="766563"/>
    <n v="9910817"/>
    <n v="1391"/>
    <x v="7"/>
    <n v="55113"/>
    <x v="1"/>
    <x v="95"/>
    <x v="95"/>
    <x v="905"/>
    <x v="913"/>
    <x v="912"/>
    <x v="94"/>
    <s v="OH"/>
    <s v="Cincinnati"/>
    <s v="OH"/>
    <s v="Toledo"/>
    <x v="0"/>
    <n v="797593"/>
    <s v="101-300"/>
    <n v="236"/>
    <x v="462"/>
    <x v="354"/>
    <n v="231.9"/>
    <n v="268.7"/>
    <x v="1"/>
    <s v="4.76"/>
    <s v="10:00-13:59"/>
    <x v="2"/>
    <x v="0"/>
    <n v="-45"/>
    <n v="0"/>
    <n v="0.4"/>
    <n v="70.900000000000006"/>
    <n v="0"/>
    <n v="0.49099999999999999"/>
    <n v="0.32500000000000001"/>
    <n v="17731.52"/>
    <x v="1"/>
    <n v="1"/>
    <n v="1"/>
    <n v="0"/>
    <n v="1"/>
    <n v="0"/>
    <n v="1"/>
    <n v="0"/>
    <x v="56"/>
    <x v="7"/>
    <n v="217.59"/>
    <n v="27"/>
    <x v="896"/>
    <n v="10"/>
    <n v="24.6"/>
  </r>
  <r>
    <n v="399240862"/>
    <n v="321231"/>
    <n v="3646552"/>
    <n v="5636"/>
    <x v="1"/>
    <n v="58419"/>
    <x v="11"/>
    <x v="80"/>
    <x v="80"/>
    <x v="906"/>
    <x v="914"/>
    <x v="913"/>
    <x v="202"/>
    <s v="AZ"/>
    <s v="Tucson"/>
    <s v="CA"/>
    <s v="Sacramento"/>
    <x v="2"/>
    <n v="733902"/>
    <s v="101-300"/>
    <n v="124"/>
    <x v="73"/>
    <x v="393"/>
    <n v="129.9"/>
    <n v="171.8"/>
    <x v="0"/>
    <s v="3.1"/>
    <s v="10:00-13:59"/>
    <x v="5"/>
    <x v="0"/>
    <n v="1"/>
    <n v="0"/>
    <n v="0"/>
    <n v="35.4"/>
    <n v="0"/>
    <n v="0.48399999999999999"/>
    <n v="0.50900000000000001"/>
    <n v="5129.04"/>
    <x v="0"/>
    <n v="1"/>
    <n v="1"/>
    <n v="0"/>
    <n v="1"/>
    <n v="0"/>
    <n v="1"/>
    <n v="0"/>
    <x v="110"/>
    <x v="27"/>
    <n v="130.74"/>
    <n v="36"/>
    <x v="897"/>
    <n v="37.799999999999997"/>
    <n v="10"/>
  </r>
  <r>
    <n v="368018471"/>
    <n v="260263"/>
    <n v="5674183"/>
    <n v="5736"/>
    <x v="7"/>
    <n v="52881"/>
    <x v="7"/>
    <x v="157"/>
    <x v="157"/>
    <x v="219"/>
    <x v="915"/>
    <x v="914"/>
    <x v="161"/>
    <s v="MO"/>
    <s v="Springfield"/>
    <s v="AZ"/>
    <s v="Tucson"/>
    <x v="2"/>
    <n v="792123"/>
    <s v="101-300"/>
    <n v="206"/>
    <x v="450"/>
    <x v="206"/>
    <n v="202.7"/>
    <n v="250.7"/>
    <x v="2"/>
    <s v="4.11"/>
    <s v="10:00-13:59"/>
    <x v="5"/>
    <x v="0"/>
    <n v="-39"/>
    <n v="0"/>
    <n v="0"/>
    <n v="42"/>
    <n v="0"/>
    <n v="0.83399999999999996"/>
    <n v="0.71699999999999997"/>
    <n v="7440.56"/>
    <x v="0"/>
    <n v="1"/>
    <n v="1"/>
    <n v="0"/>
    <n v="1"/>
    <n v="0"/>
    <n v="1"/>
    <n v="0"/>
    <x v="43"/>
    <x v="82"/>
    <n v="178.81"/>
    <n v="29.64"/>
    <x v="898"/>
    <n v="30.8"/>
    <n v="24.1"/>
  </r>
  <r>
    <n v="221814525"/>
    <n v="575435"/>
    <n v="9436429"/>
    <n v="7736"/>
    <x v="9"/>
    <n v="52865"/>
    <x v="14"/>
    <x v="271"/>
    <x v="270"/>
    <x v="907"/>
    <x v="916"/>
    <x v="915"/>
    <x v="279"/>
    <s v="PA"/>
    <s v="Pittsburgh"/>
    <s v="CO"/>
    <s v="Fort Collins"/>
    <x v="2"/>
    <n v="776304"/>
    <s v="0-100"/>
    <n v="37"/>
    <x v="357"/>
    <x v="77"/>
    <n v="39.700000000000003"/>
    <n v="85.9"/>
    <x v="1"/>
    <s v="1.86"/>
    <s v="06:00-09:59"/>
    <x v="4"/>
    <x v="0"/>
    <n v="-1"/>
    <n v="0"/>
    <n v="0"/>
    <n v="42.2"/>
    <n v="0"/>
    <n v="0.78800000000000003"/>
    <n v="0.72699999999999998"/>
    <n v="14067.45"/>
    <x v="1"/>
    <n v="1"/>
    <n v="1"/>
    <n v="0"/>
    <n v="1"/>
    <n v="0"/>
    <n v="1"/>
    <n v="0"/>
    <x v="25"/>
    <x v="63"/>
    <n v="63.7"/>
    <n v="13.08"/>
    <x v="899"/>
    <n v="17.2"/>
    <n v="31.1"/>
  </r>
  <r>
    <n v="127824235"/>
    <n v="321231"/>
    <n v="3646552"/>
    <n v="5636"/>
    <x v="1"/>
    <n v="52575"/>
    <x v="8"/>
    <x v="101"/>
    <x v="101"/>
    <x v="908"/>
    <x v="917"/>
    <x v="916"/>
    <x v="99"/>
    <s v="GA"/>
    <s v="Augusta"/>
    <s v="WA"/>
    <s v="Tacoma"/>
    <x v="2"/>
    <n v="711537"/>
    <s v="301-500"/>
    <n v="337"/>
    <x v="81"/>
    <x v="57"/>
    <n v="338.3"/>
    <n v="406.8"/>
    <x v="0"/>
    <s v="7.3"/>
    <s v="10:00-13:59"/>
    <x v="3"/>
    <x v="0"/>
    <n v="-34"/>
    <n v="0"/>
    <n v="0"/>
    <n v="61.7"/>
    <n v="0"/>
    <n v="0.74199999999999999"/>
    <n v="0.55400000000000005"/>
    <n v="5868.29"/>
    <x v="0"/>
    <n v="1"/>
    <n v="1"/>
    <n v="0"/>
    <n v="1"/>
    <n v="0"/>
    <n v="1"/>
    <n v="0"/>
    <x v="43"/>
    <x v="33"/>
    <n v="347.7"/>
    <n v="43.47"/>
    <x v="900"/>
    <n v="37.799999999999997"/>
    <n v="16.3"/>
  </r>
  <r>
    <n v="889924866"/>
    <n v="503457"/>
    <n v="8210624"/>
    <n v="8392"/>
    <x v="9"/>
    <n v="56185"/>
    <x v="1"/>
    <x v="134"/>
    <x v="134"/>
    <x v="909"/>
    <x v="918"/>
    <x v="917"/>
    <x v="301"/>
    <s v="AZ"/>
    <s v="Tempe"/>
    <s v="MI"/>
    <s v="Lansing"/>
    <x v="0"/>
    <n v="772918"/>
    <s v="0-100"/>
    <n v="79"/>
    <x v="454"/>
    <x v="9"/>
    <n v="74.900000000000006"/>
    <n v="101.8"/>
    <x v="0"/>
    <s v="1.8"/>
    <s v="10:00-13:59"/>
    <x v="1"/>
    <x v="0"/>
    <n v="-10"/>
    <n v="0"/>
    <n v="0"/>
    <n v="21.9"/>
    <n v="0"/>
    <n v="0.69299999999999995"/>
    <n v="0.48399999999999999"/>
    <n v="1576.46"/>
    <x v="0"/>
    <n v="1"/>
    <n v="1"/>
    <n v="0"/>
    <n v="1"/>
    <n v="0"/>
    <n v="1"/>
    <n v="0"/>
    <x v="14"/>
    <x v="91"/>
    <n v="67.37"/>
    <n v="14.74"/>
    <x v="901"/>
    <n v="6.5"/>
    <n v="45"/>
  </r>
  <r>
    <n v="299767568"/>
    <n v="230889"/>
    <n v="9147706"/>
    <n v="2016"/>
    <x v="1"/>
    <n v="58656"/>
    <x v="10"/>
    <x v="332"/>
    <x v="332"/>
    <x v="910"/>
    <x v="919"/>
    <x v="918"/>
    <x v="333"/>
    <s v="WA"/>
    <s v="Seattle"/>
    <s v="WA"/>
    <s v="Seattle"/>
    <x v="2"/>
    <n v="745653"/>
    <s v="0-100"/>
    <n v="102"/>
    <x v="462"/>
    <x v="394"/>
    <n v="111.7"/>
    <n v="154.30000000000001"/>
    <x v="2"/>
    <s v="2.97"/>
    <s v="10:00-13:59"/>
    <x v="4"/>
    <x v="0"/>
    <n v="16"/>
    <n v="0"/>
    <n v="0"/>
    <n v="44.8"/>
    <n v="0"/>
    <n v="0.6"/>
    <n v="0.42699999999999999"/>
    <n v="21286.639999999999"/>
    <x v="1"/>
    <n v="1"/>
    <n v="0"/>
    <n v="1"/>
    <n v="0"/>
    <n v="1"/>
    <n v="0"/>
    <n v="1"/>
    <x v="73"/>
    <x v="102"/>
    <n v="107.36"/>
    <n v="29.97"/>
    <x v="902"/>
    <n v="28.3"/>
    <n v="3.1"/>
  </r>
  <r>
    <n v="635844374"/>
    <n v="182627"/>
    <n v="4586084"/>
    <n v="7439"/>
    <x v="9"/>
    <n v="55741"/>
    <x v="7"/>
    <x v="106"/>
    <x v="282"/>
    <x v="911"/>
    <x v="920"/>
    <x v="919"/>
    <x v="131"/>
    <s v="WA"/>
    <s v="Vancouver"/>
    <s v="CO"/>
    <s v="Colorado Springs"/>
    <x v="2"/>
    <n v="742390"/>
    <s v="301-500"/>
    <n v="382"/>
    <x v="296"/>
    <x v="299"/>
    <n v="392.3"/>
    <n v="429"/>
    <x v="2"/>
    <s v="7.91"/>
    <s v="14:00-17:59"/>
    <x v="3"/>
    <x v="0"/>
    <n v="3"/>
    <n v="0"/>
    <n v="0"/>
    <n v="36.5"/>
    <n v="0"/>
    <n v="0.81699999999999995"/>
    <n v="0.79400000000000004"/>
    <n v="4196.03"/>
    <x v="0"/>
    <n v="1"/>
    <n v="1"/>
    <n v="0"/>
    <n v="1"/>
    <n v="0"/>
    <n v="1"/>
    <n v="0"/>
    <x v="48"/>
    <x v="44"/>
    <n v="281.89999999999998"/>
    <n v="63.84"/>
    <x v="903"/>
    <n v="15.2"/>
    <n v="43.2"/>
  </r>
  <r>
    <n v="655924752"/>
    <n v="791798"/>
    <n v="6539837"/>
    <n v="5433"/>
    <x v="9"/>
    <n v="50277"/>
    <x v="0"/>
    <x v="93"/>
    <x v="93"/>
    <x v="912"/>
    <x v="921"/>
    <x v="920"/>
    <x v="313"/>
    <s v="CA"/>
    <s v="Fresno"/>
    <s v="WA"/>
    <s v="Tacoma"/>
    <x v="2"/>
    <n v="795484"/>
    <s v="301-500"/>
    <n v="337"/>
    <x v="6"/>
    <x v="395"/>
    <n v="331.5"/>
    <n v="394.4"/>
    <x v="3"/>
    <s v="6.64"/>
    <s v="10:00-13:59"/>
    <x v="4"/>
    <x v="0"/>
    <n v="-38"/>
    <n v="0"/>
    <n v="0"/>
    <n v="87.6"/>
    <n v="0"/>
    <n v="0.70899999999999996"/>
    <n v="0.68500000000000005"/>
    <n v="11837"/>
    <x v="1"/>
    <n v="1"/>
    <n v="1"/>
    <n v="0"/>
    <n v="1"/>
    <n v="0"/>
    <n v="1"/>
    <n v="0"/>
    <x v="13"/>
    <x v="30"/>
    <n v="295.01"/>
    <n v="76.150000000000006"/>
    <x v="904"/>
    <n v="11.5"/>
    <n v="20.9"/>
  </r>
  <r>
    <n v="515524530"/>
    <n v="814825"/>
    <n v="7817881"/>
    <n v="9958"/>
    <x v="1"/>
    <n v="50065"/>
    <x v="7"/>
    <x v="100"/>
    <x v="100"/>
    <x v="913"/>
    <x v="922"/>
    <x v="921"/>
    <x v="98"/>
    <s v="TX"/>
    <s v="Austin"/>
    <s v="CA"/>
    <s v="Oakland"/>
    <x v="2"/>
    <n v="781396"/>
    <s v="301-500"/>
    <n v="439"/>
    <x v="309"/>
    <x v="150"/>
    <n v="443.8"/>
    <n v="509.4"/>
    <x v="0"/>
    <s v="10.69"/>
    <s v="10:00-13:59"/>
    <x v="6"/>
    <x v="4"/>
    <n v="80"/>
    <n v="167"/>
    <n v="0"/>
    <n v="28.5"/>
    <n v="0"/>
    <n v="0.71599999999999997"/>
    <n v="0.57599999999999996"/>
    <n v="48327.46"/>
    <x v="2"/>
    <n v="1"/>
    <n v="0"/>
    <n v="1"/>
    <n v="0"/>
    <n v="1"/>
    <n v="0"/>
    <n v="1"/>
    <x v="3"/>
    <x v="66"/>
    <n v="375"/>
    <n v="93.05"/>
    <x v="905"/>
    <n v="11.6"/>
    <n v="29.4"/>
  </r>
  <r>
    <n v="703091482"/>
    <n v="581141"/>
    <n v="2936571"/>
    <n v="6592"/>
    <x v="0"/>
    <n v="54262"/>
    <x v="4"/>
    <x v="18"/>
    <x v="18"/>
    <x v="914"/>
    <x v="923"/>
    <x v="922"/>
    <x v="327"/>
    <s v="OH"/>
    <s v="Dayton"/>
    <s v="CO"/>
    <s v="Denver"/>
    <x v="2"/>
    <n v="709390"/>
    <s v="101-300"/>
    <n v="292"/>
    <x v="70"/>
    <x v="87"/>
    <n v="291.3"/>
    <n v="330.1"/>
    <x v="0"/>
    <s v="7.55"/>
    <s v="18:00-23:59"/>
    <x v="3"/>
    <x v="3"/>
    <n v="130"/>
    <n v="0"/>
    <n v="0"/>
    <n v="30"/>
    <n v="0"/>
    <n v="0.88900000000000001"/>
    <n v="0.32700000000000001"/>
    <n v="1701.73"/>
    <x v="0"/>
    <n v="1"/>
    <n v="0"/>
    <n v="1"/>
    <n v="0"/>
    <n v="1"/>
    <n v="0"/>
    <n v="1"/>
    <x v="46"/>
    <x v="85"/>
    <n v="268.91000000000003"/>
    <n v="53.5"/>
    <x v="906"/>
    <n v="27"/>
    <n v="59.8"/>
  </r>
  <r>
    <n v="226444910"/>
    <n v="260265"/>
    <n v="8175395"/>
    <n v="8280"/>
    <x v="6"/>
    <n v="55704"/>
    <x v="2"/>
    <x v="230"/>
    <x v="229"/>
    <x v="915"/>
    <x v="924"/>
    <x v="923"/>
    <x v="30"/>
    <s v="PA"/>
    <s v="Erie"/>
    <s v="GA"/>
    <s v="Augusta"/>
    <x v="1"/>
    <n v="747214"/>
    <s v="101-300"/>
    <n v="265"/>
    <x v="463"/>
    <x v="396"/>
    <n v="261"/>
    <n v="300"/>
    <x v="3"/>
    <s v="6.24"/>
    <s v="18:00-23:59"/>
    <x v="2"/>
    <x v="0"/>
    <n v="11"/>
    <n v="0"/>
    <n v="0"/>
    <n v="78.5"/>
    <n v="0"/>
    <n v="0.71699999999999997"/>
    <n v="0.59599999999999997"/>
    <n v="13075.46"/>
    <x v="1"/>
    <n v="1"/>
    <n v="1"/>
    <n v="0"/>
    <n v="1"/>
    <n v="0"/>
    <n v="1"/>
    <n v="0"/>
    <x v="69"/>
    <x v="34"/>
    <n v="275.61"/>
    <n v="56.56"/>
    <x v="907"/>
    <n v="14.2"/>
    <n v="46.3"/>
  </r>
  <r>
    <n v="381080560"/>
    <n v="246316"/>
    <n v="1352896"/>
    <n v="5426"/>
    <x v="7"/>
    <n v="58594"/>
    <x v="9"/>
    <x v="271"/>
    <x v="270"/>
    <x v="916"/>
    <x v="925"/>
    <x v="924"/>
    <x v="152"/>
    <s v="MO"/>
    <s v="Independence"/>
    <s v="PA"/>
    <s v="Allentown"/>
    <x v="3"/>
    <n v="737226"/>
    <s v="301-500"/>
    <n v="489"/>
    <x v="464"/>
    <x v="349"/>
    <n v="491.2"/>
    <n v="548.4"/>
    <x v="0"/>
    <s v="9.4"/>
    <s v="18:00-23:59"/>
    <x v="4"/>
    <x v="0"/>
    <n v="-9"/>
    <n v="0"/>
    <n v="0"/>
    <n v="68.8"/>
    <n v="0"/>
    <n v="0.81499999999999995"/>
    <n v="0.71699999999999997"/>
    <n v="5933.89"/>
    <x v="0"/>
    <n v="1"/>
    <n v="1"/>
    <n v="0"/>
    <n v="1"/>
    <n v="0"/>
    <n v="1"/>
    <n v="0"/>
    <x v="37"/>
    <x v="40"/>
    <n v="486.82"/>
    <n v="112.69"/>
    <x v="908"/>
    <n v="28.1"/>
    <n v="16.3"/>
  </r>
  <r>
    <n v="932111777"/>
    <n v="711878"/>
    <n v="1852264"/>
    <n v="2998"/>
    <x v="1"/>
    <n v="57989"/>
    <x v="6"/>
    <x v="270"/>
    <x v="269"/>
    <x v="917"/>
    <x v="926"/>
    <x v="925"/>
    <x v="277"/>
    <s v="FL"/>
    <s v="Fort Lauderdale"/>
    <s v="AZ"/>
    <s v="Phoenix"/>
    <x v="2"/>
    <n v="756949"/>
    <s v="301-500"/>
    <n v="413"/>
    <x v="465"/>
    <x v="391"/>
    <n v="418"/>
    <n v="434"/>
    <x v="0"/>
    <s v="7.85"/>
    <s v="06:00-09:59"/>
    <x v="4"/>
    <x v="0"/>
    <n v="-29"/>
    <n v="0"/>
    <n v="0"/>
    <n v="33.799999999999997"/>
    <n v="0"/>
    <n v="0.60199999999999998"/>
    <n v="0.40500000000000003"/>
    <n v="54330.89"/>
    <x v="2"/>
    <n v="1"/>
    <n v="1"/>
    <n v="0"/>
    <n v="1"/>
    <n v="0"/>
    <n v="1"/>
    <n v="0"/>
    <x v="13"/>
    <x v="85"/>
    <n v="383.71"/>
    <n v="84.7"/>
    <x v="909"/>
    <n v="61.5"/>
    <n v="0"/>
  </r>
  <r>
    <n v="379484009"/>
    <n v="944151"/>
    <n v="6855396"/>
    <n v="8574"/>
    <x v="9"/>
    <n v="56255"/>
    <x v="8"/>
    <x v="333"/>
    <x v="333"/>
    <x v="918"/>
    <x v="927"/>
    <x v="926"/>
    <x v="334"/>
    <s v="CA"/>
    <s v="San Diego"/>
    <s v="NJ"/>
    <s v="Paterson"/>
    <x v="3"/>
    <n v="781663"/>
    <s v="101-300"/>
    <n v="266"/>
    <x v="466"/>
    <x v="385"/>
    <n v="267"/>
    <n v="312.3"/>
    <x v="3"/>
    <s v="6.33"/>
    <s v="00:00-05:59"/>
    <x v="1"/>
    <x v="0"/>
    <n v="-17"/>
    <n v="0"/>
    <n v="0"/>
    <n v="59.4"/>
    <n v="0"/>
    <n v="0.82899999999999996"/>
    <n v="0.61"/>
    <n v="3197.63"/>
    <x v="0"/>
    <n v="1"/>
    <n v="1"/>
    <n v="0"/>
    <n v="1"/>
    <n v="0"/>
    <n v="1"/>
    <n v="0"/>
    <x v="81"/>
    <x v="16"/>
    <n v="254.12"/>
    <n v="57.15"/>
    <x v="910"/>
    <n v="12.8"/>
    <n v="36.299999999999997"/>
  </r>
  <r>
    <n v="855954847"/>
    <n v="787277"/>
    <n v="6022741"/>
    <n v="3693"/>
    <x v="4"/>
    <n v="57441"/>
    <x v="2"/>
    <x v="265"/>
    <x v="264"/>
    <x v="919"/>
    <x v="928"/>
    <x v="927"/>
    <x v="335"/>
    <s v="TN"/>
    <s v="Clarksville"/>
    <s v="OH"/>
    <s v="Cincinnati"/>
    <x v="0"/>
    <n v="752235"/>
    <s v="501-1000"/>
    <n v="559"/>
    <x v="302"/>
    <x v="213"/>
    <n v="556.79999999999995"/>
    <n v="609.29999999999995"/>
    <x v="0"/>
    <s v="12.17"/>
    <s v="06:00-09:59"/>
    <x v="2"/>
    <x v="0"/>
    <n v="-8"/>
    <n v="0"/>
    <n v="0"/>
    <n v="33.6"/>
    <n v="0"/>
    <n v="0.77600000000000002"/>
    <n v="0.628"/>
    <n v="9656.07"/>
    <x v="1"/>
    <n v="1"/>
    <n v="1"/>
    <n v="0"/>
    <n v="1"/>
    <n v="0"/>
    <n v="1"/>
    <n v="0"/>
    <x v="24"/>
    <x v="24"/>
    <n v="427.23"/>
    <n v="112.24"/>
    <x v="911"/>
    <n v="3.4"/>
    <n v="20"/>
  </r>
  <r>
    <n v="579182105"/>
    <n v="391476"/>
    <n v="8999183"/>
    <n v="6618"/>
    <x v="2"/>
    <n v="54692"/>
    <x v="13"/>
    <x v="12"/>
    <x v="12"/>
    <x v="920"/>
    <x v="929"/>
    <x v="928"/>
    <x v="138"/>
    <s v="NJ"/>
    <s v="Newark"/>
    <s v="MO"/>
    <s v="St. Louis"/>
    <x v="0"/>
    <n v="712499"/>
    <s v="0-100"/>
    <n v="51"/>
    <x v="77"/>
    <x v="334"/>
    <n v="59"/>
    <n v="113"/>
    <x v="2"/>
    <s v="1.17 hrs"/>
    <s v="06:00-09:59"/>
    <x v="1"/>
    <x v="0"/>
    <n v="-20"/>
    <n v="0"/>
    <n v="0.8"/>
    <n v="12.8"/>
    <n v="0"/>
    <n v="0.872"/>
    <n v="0.38700000000000001"/>
    <n v="12408.5"/>
    <x v="1"/>
    <n v="1"/>
    <n v="1"/>
    <n v="0"/>
    <n v="1"/>
    <n v="0"/>
    <n v="1"/>
    <n v="0"/>
    <x v="90"/>
    <x v="39"/>
    <n v="83.08"/>
    <n v="13.48"/>
    <x v="912"/>
    <n v="51.7"/>
    <n v="43.2"/>
  </r>
  <r>
    <n v="330393232"/>
    <n v="198246"/>
    <n v="9626108"/>
    <n v="5555"/>
    <x v="0"/>
    <n v="54419"/>
    <x v="7"/>
    <x v="116"/>
    <x v="115"/>
    <x v="921"/>
    <x v="930"/>
    <x v="929"/>
    <x v="172"/>
    <s v="TN"/>
    <s v="Knoxville"/>
    <s v="TN"/>
    <s v="Memphis"/>
    <x v="1"/>
    <n v="733303"/>
    <s v="501-1000"/>
    <n v="702"/>
    <x v="467"/>
    <x v="321"/>
    <n v="710.2"/>
    <n v="785.9"/>
    <x v="1"/>
    <s v="12.12"/>
    <s v="18:00-23:59"/>
    <x v="6"/>
    <x v="0"/>
    <n v="-38"/>
    <n v="0"/>
    <n v="0"/>
    <n v="45"/>
    <n v="0"/>
    <n v="0.69899999999999995"/>
    <n v="0.40100000000000002"/>
    <n v="6882.26"/>
    <x v="1"/>
    <n v="1"/>
    <n v="1"/>
    <n v="0"/>
    <n v="1"/>
    <n v="0"/>
    <n v="1"/>
    <n v="0"/>
    <x v="33"/>
    <x v="31"/>
    <n v="546.23"/>
    <n v="168.25"/>
    <x v="913"/>
    <n v="11.5"/>
    <n v="0"/>
  </r>
  <r>
    <n v="756998124"/>
    <n v="197251"/>
    <n v="4078418"/>
    <n v="2585"/>
    <x v="4"/>
    <n v="57960"/>
    <x v="6"/>
    <x v="318"/>
    <x v="318"/>
    <x v="922"/>
    <x v="931"/>
    <x v="930"/>
    <x v="313"/>
    <s v="PA"/>
    <s v="Harrisburg"/>
    <s v="PA"/>
    <s v="Pittsburgh"/>
    <x v="3"/>
    <n v="739365"/>
    <s v="301-500"/>
    <n v="407"/>
    <x v="6"/>
    <x v="282"/>
    <n v="402.9"/>
    <n v="435.2"/>
    <x v="0"/>
    <s v="8.44"/>
    <s v="14:00-17:59"/>
    <x v="0"/>
    <x v="0"/>
    <n v="5"/>
    <n v="0"/>
    <n v="0"/>
    <n v="56.9"/>
    <n v="0"/>
    <n v="0.77"/>
    <n v="0.51100000000000001"/>
    <n v="115691.39"/>
    <x v="2"/>
    <n v="1"/>
    <n v="1"/>
    <n v="0"/>
    <n v="1"/>
    <n v="0"/>
    <n v="1"/>
    <n v="0"/>
    <x v="33"/>
    <x v="49"/>
    <n v="287.45999999999998"/>
    <n v="54.26"/>
    <x v="914"/>
    <n v="11.9"/>
    <n v="24.5"/>
  </r>
  <r>
    <n v="406635834"/>
    <n v="653306"/>
    <n v="6188935"/>
    <n v="7944"/>
    <x v="1"/>
    <n v="56078"/>
    <x v="6"/>
    <x v="307"/>
    <x v="307"/>
    <x v="923"/>
    <x v="932"/>
    <x v="931"/>
    <x v="181"/>
    <s v="NC"/>
    <s v="Wilmington"/>
    <s v="NY"/>
    <s v="New York"/>
    <x v="3"/>
    <n v="789831"/>
    <s v="301-500"/>
    <n v="503"/>
    <x v="411"/>
    <x v="20"/>
    <n v="503.5"/>
    <n v="563.6"/>
    <x v="2"/>
    <s v="13.36"/>
    <s v="06:00-09:59"/>
    <x v="2"/>
    <x v="0"/>
    <n v="23"/>
    <n v="0"/>
    <n v="0"/>
    <n v="66.099999999999994"/>
    <n v="0"/>
    <n v="0.748"/>
    <n v="0.79500000000000004"/>
    <n v="4185.57"/>
    <x v="0"/>
    <n v="1"/>
    <n v="0"/>
    <n v="1"/>
    <n v="0"/>
    <n v="1"/>
    <n v="0"/>
    <n v="1"/>
    <x v="113"/>
    <x v="92"/>
    <n v="423.16"/>
    <n v="79.959999999999994"/>
    <x v="157"/>
    <n v="23.9"/>
    <n v="60.7"/>
  </r>
  <r>
    <n v="845156039"/>
    <n v="816751"/>
    <n v="3011363"/>
    <n v="9996"/>
    <x v="7"/>
    <n v="51437"/>
    <x v="13"/>
    <x v="31"/>
    <x v="31"/>
    <x v="924"/>
    <x v="933"/>
    <x v="932"/>
    <x v="139"/>
    <s v="TN"/>
    <s v="Nashville"/>
    <s v="PA"/>
    <s v="Harrisburg"/>
    <x v="3"/>
    <n v="731760"/>
    <s v="501-1000"/>
    <n v="978"/>
    <x v="468"/>
    <x v="315"/>
    <n v="968.5"/>
    <n v="1042.7"/>
    <x v="0"/>
    <s v="19.81"/>
    <s v="06:00-09:59"/>
    <x v="0"/>
    <x v="0"/>
    <n v="13"/>
    <n v="0"/>
    <n v="0"/>
    <n v="42.5"/>
    <n v="0"/>
    <n v="0.47899999999999998"/>
    <n v="0.64200000000000002"/>
    <n v="4611.3500000000004"/>
    <x v="0"/>
    <n v="1"/>
    <n v="1"/>
    <n v="0"/>
    <n v="1"/>
    <n v="0"/>
    <n v="1"/>
    <n v="0"/>
    <x v="42"/>
    <x v="63"/>
    <n v="927.23"/>
    <n v="169.08"/>
    <x v="915"/>
    <n v="13.3"/>
    <n v="20.399999999999999"/>
  </r>
  <r>
    <n v="627422192"/>
    <n v="330283"/>
    <n v="6304573"/>
    <n v="8035"/>
    <x v="3"/>
    <n v="58620"/>
    <x v="6"/>
    <x v="86"/>
    <x v="86"/>
    <x v="925"/>
    <x v="934"/>
    <x v="933"/>
    <x v="85"/>
    <s v="IL"/>
    <s v="Chicago"/>
    <s v="CO"/>
    <s v="Colorado Springs"/>
    <x v="2"/>
    <n v="701092"/>
    <s v="301-500"/>
    <n v="320"/>
    <x v="316"/>
    <x v="194"/>
    <n v="325"/>
    <n v="352.1"/>
    <x v="0"/>
    <s v="4.85"/>
    <s v="06:00-09:59"/>
    <x v="2"/>
    <x v="0"/>
    <n v="-66"/>
    <n v="0"/>
    <n v="0"/>
    <n v="34.1"/>
    <n v="0"/>
    <n v="0.45100000000000001"/>
    <n v="0.78300000000000003"/>
    <n v="14212.63"/>
    <x v="1"/>
    <n v="1"/>
    <n v="1"/>
    <n v="0"/>
    <n v="1"/>
    <n v="0"/>
    <n v="1"/>
    <n v="0"/>
    <x v="37"/>
    <x v="42"/>
    <n v="296.87"/>
    <n v="40.54"/>
    <x v="916"/>
    <n v="36.299999999999997"/>
    <n v="35"/>
  </r>
  <r>
    <n v="314939857"/>
    <n v="207473"/>
    <n v="4694634"/>
    <n v="9322"/>
    <x v="1"/>
    <n v="57032"/>
    <x v="8"/>
    <x v="207"/>
    <x v="206"/>
    <x v="926"/>
    <x v="935"/>
    <x v="934"/>
    <x v="211"/>
    <s v="NJ"/>
    <s v="Jersey City"/>
    <s v="CA"/>
    <s v="Fresno"/>
    <x v="2"/>
    <n v="769672"/>
    <s v="101-300"/>
    <n v="142"/>
    <x v="85"/>
    <x v="397"/>
    <n v="150"/>
    <n v="208.1"/>
    <x v="0"/>
    <s v="3.57"/>
    <s v="14:00-17:59"/>
    <x v="5"/>
    <x v="0"/>
    <n v="7"/>
    <n v="0"/>
    <n v="1.2"/>
    <n v="41.2"/>
    <n v="0"/>
    <n v="0.52"/>
    <n v="0.628"/>
    <n v="18323.150000000001"/>
    <x v="1"/>
    <n v="1"/>
    <n v="1"/>
    <n v="0"/>
    <n v="1"/>
    <n v="0"/>
    <n v="1"/>
    <n v="0"/>
    <x v="9"/>
    <x v="38"/>
    <n v="190.51"/>
    <n v="35.630000000000003"/>
    <x v="917"/>
    <n v="26.9"/>
    <n v="27"/>
  </r>
  <r>
    <n v="231680929"/>
    <n v="246316"/>
    <n v="1352896"/>
    <n v="5426"/>
    <x v="7"/>
    <n v="55731"/>
    <x v="6"/>
    <x v="334"/>
    <x v="334"/>
    <x v="927"/>
    <x v="936"/>
    <x v="935"/>
    <x v="336"/>
    <s v="TN"/>
    <s v="Knoxville"/>
    <s v="TN"/>
    <s v="Chattanooga"/>
    <x v="1"/>
    <n v="733303"/>
    <s v="101-300"/>
    <n v="181"/>
    <x v="215"/>
    <x v="18"/>
    <n v="183.3"/>
    <n v="218.2"/>
    <x v="0"/>
    <s v="7.49"/>
    <s v="14:00-17:59"/>
    <x v="2"/>
    <x v="4"/>
    <n v="200"/>
    <n v="193"/>
    <n v="0"/>
    <n v="30.3"/>
    <n v="0"/>
    <n v="0.69299999999999995"/>
    <n v="0.33700000000000002"/>
    <n v="14545.45"/>
    <x v="1"/>
    <n v="1"/>
    <n v="0"/>
    <n v="1"/>
    <n v="0"/>
    <n v="1"/>
    <n v="0"/>
    <n v="1"/>
    <x v="46"/>
    <x v="33"/>
    <n v="148.04"/>
    <n v="26.6"/>
    <x v="918"/>
    <n v="28.1"/>
    <n v="12.2"/>
  </r>
  <r>
    <n v="245737277"/>
    <n v="220116"/>
    <n v="6933742"/>
    <n v="5218"/>
    <x v="0"/>
    <n v="53378"/>
    <x v="3"/>
    <x v="164"/>
    <x v="164"/>
    <x v="928"/>
    <x v="937"/>
    <x v="936"/>
    <x v="170"/>
    <s v="TN"/>
    <s v="Memphis"/>
    <s v="IL"/>
    <s v="Peoria"/>
    <x v="0"/>
    <n v="763246"/>
    <s v="0-100"/>
    <n v="46"/>
    <x v="356"/>
    <x v="162"/>
    <n v="39.799999999999997"/>
    <n v="86.9"/>
    <x v="0"/>
    <s v="1.25"/>
    <s v="14:00-17:59"/>
    <x v="6"/>
    <x v="0"/>
    <n v="-32"/>
    <n v="0"/>
    <n v="0"/>
    <n v="68.5"/>
    <n v="0"/>
    <n v="0.438"/>
    <n v="0.59499999999999997"/>
    <n v="17224.71"/>
    <x v="1"/>
    <n v="1"/>
    <n v="1"/>
    <n v="0"/>
    <n v="1"/>
    <n v="0"/>
    <n v="1"/>
    <n v="0"/>
    <x v="34"/>
    <x v="51"/>
    <n v="66.930000000000007"/>
    <n v="18.32"/>
    <x v="919"/>
    <n v="31.9"/>
    <n v="44.6"/>
  </r>
  <r>
    <n v="179512774"/>
    <n v="429963"/>
    <n v="9874152"/>
    <n v="4157"/>
    <x v="4"/>
    <n v="58584"/>
    <x v="9"/>
    <x v="274"/>
    <x v="273"/>
    <x v="929"/>
    <x v="938"/>
    <x v="937"/>
    <x v="267"/>
    <s v="CO"/>
    <s v="Pueblo"/>
    <s v="GA"/>
    <s v="Savannah"/>
    <x v="1"/>
    <n v="714585"/>
    <s v="101-300"/>
    <n v="237"/>
    <x v="300"/>
    <x v="311"/>
    <n v="246.7"/>
    <n v="289.2"/>
    <x v="3"/>
    <s v="3.23"/>
    <s v="18:00-23:59"/>
    <x v="6"/>
    <x v="0"/>
    <n v="-61"/>
    <n v="0"/>
    <n v="0"/>
    <n v="63.3"/>
    <n v="0"/>
    <n v="0.754"/>
    <n v="0.80900000000000005"/>
    <n v="16956.82"/>
    <x v="1"/>
    <n v="1"/>
    <n v="1"/>
    <n v="0"/>
    <n v="1"/>
    <n v="0"/>
    <n v="1"/>
    <n v="0"/>
    <x v="6"/>
    <x v="8"/>
    <n v="248.11"/>
    <n v="59.76"/>
    <x v="920"/>
    <n v="14.3"/>
    <n v="74.8"/>
  </r>
  <r>
    <n v="585377142"/>
    <n v="944151"/>
    <n v="6855396"/>
    <n v="8574"/>
    <x v="9"/>
    <n v="56347"/>
    <x v="8"/>
    <x v="294"/>
    <x v="294"/>
    <x v="930"/>
    <x v="939"/>
    <x v="938"/>
    <x v="298"/>
    <s v="TX"/>
    <s v="Houston"/>
    <s v="TN"/>
    <s v="Clarksville"/>
    <x v="1"/>
    <n v="700860"/>
    <s v="301-500"/>
    <n v="497"/>
    <x v="469"/>
    <x v="359"/>
    <n v="509.2"/>
    <n v="556.9"/>
    <x v="3"/>
    <s v="11.81"/>
    <s v="06:00-09:59"/>
    <x v="3"/>
    <x v="0"/>
    <n v="-21"/>
    <n v="0"/>
    <n v="0"/>
    <n v="38.700000000000003"/>
    <n v="0"/>
    <n v="0.627"/>
    <n v="0.29599999999999999"/>
    <n v="74289.17"/>
    <x v="2"/>
    <n v="1"/>
    <n v="1"/>
    <n v="0"/>
    <n v="1"/>
    <n v="0"/>
    <n v="1"/>
    <n v="0"/>
    <x v="55"/>
    <x v="18"/>
    <n v="422.21"/>
    <n v="92.07"/>
    <x v="921"/>
    <n v="12.8"/>
    <n v="43"/>
  </r>
  <r>
    <n v="285388355"/>
    <n v="946335"/>
    <n v="1247595"/>
    <n v="6675"/>
    <x v="1"/>
    <n v="56401"/>
    <x v="1"/>
    <x v="25"/>
    <x v="25"/>
    <x v="931"/>
    <x v="940"/>
    <x v="939"/>
    <x v="25"/>
    <s v="TX"/>
    <s v="El Paso"/>
    <s v="CO"/>
    <s v="Denver"/>
    <x v="2"/>
    <n v="718141"/>
    <s v="101-300"/>
    <n v="311"/>
    <x v="258"/>
    <x v="270"/>
    <n v="308.39999999999998"/>
    <n v="326.5"/>
    <x v="0"/>
    <s v="6.69"/>
    <s v="06:00-09:59"/>
    <x v="4"/>
    <x v="0"/>
    <n v="-10"/>
    <n v="0"/>
    <n v="0"/>
    <n v="57.6"/>
    <n v="0"/>
    <n v="0.81"/>
    <n v="0.35899999999999999"/>
    <n v="9689.39"/>
    <x v="1"/>
    <n v="1"/>
    <n v="1"/>
    <n v="0"/>
    <n v="1"/>
    <n v="0"/>
    <n v="1"/>
    <n v="0"/>
    <x v="21"/>
    <x v="75"/>
    <n v="237.21"/>
    <n v="50.26"/>
    <x v="922"/>
    <n v="32.6"/>
    <n v="3.1"/>
  </r>
  <r>
    <n v="865975088"/>
    <n v="555884"/>
    <n v="7907400"/>
    <n v="7287"/>
    <x v="5"/>
    <n v="56629"/>
    <x v="6"/>
    <x v="314"/>
    <x v="314"/>
    <x v="932"/>
    <x v="941"/>
    <x v="940"/>
    <x v="316"/>
    <s v="WA"/>
    <s v="Vancouver"/>
    <s v="TN"/>
    <s v="Memphis"/>
    <x v="1"/>
    <n v="715799"/>
    <s v="101-300"/>
    <n v="245"/>
    <x v="27"/>
    <x v="398"/>
    <n v="247.7"/>
    <n v="289.7"/>
    <x v="0"/>
    <s v="4.45"/>
    <s v="06:00-09:59"/>
    <x v="2"/>
    <x v="0"/>
    <n v="-42"/>
    <n v="38"/>
    <n v="0"/>
    <n v="25.7"/>
    <n v="0"/>
    <n v="0.92700000000000005"/>
    <n v="0.20699999999999999"/>
    <n v="1901.61"/>
    <x v="0"/>
    <n v="1"/>
    <n v="1"/>
    <n v="0"/>
    <n v="1"/>
    <n v="0"/>
    <n v="1"/>
    <n v="0"/>
    <x v="25"/>
    <x v="24"/>
    <n v="250.52"/>
    <n v="32.54"/>
    <x v="923"/>
    <n v="19.5"/>
    <n v="61.5"/>
  </r>
  <r>
    <n v="577934499"/>
    <n v="325772"/>
    <n v="9997381"/>
    <n v="8099"/>
    <x v="8"/>
    <n v="54541"/>
    <x v="7"/>
    <x v="288"/>
    <x v="288"/>
    <x v="933"/>
    <x v="942"/>
    <x v="941"/>
    <x v="105"/>
    <s v="AZ"/>
    <s v="Mesa"/>
    <s v="CO"/>
    <s v="Denver"/>
    <x v="2"/>
    <n v="795199"/>
    <s v="101-300"/>
    <n v="285"/>
    <x v="138"/>
    <x v="262"/>
    <n v="289.89999999999998"/>
    <n v="351.3"/>
    <x v="2"/>
    <s v="5.55"/>
    <s v="10:00-13:59"/>
    <x v="3"/>
    <x v="0"/>
    <n v="9"/>
    <n v="0"/>
    <n v="0"/>
    <n v="39.700000000000003"/>
    <n v="0"/>
    <n v="0.71399999999999997"/>
    <n v="0.69599999999999995"/>
    <n v="21466.91"/>
    <x v="1"/>
    <n v="1"/>
    <n v="1"/>
    <n v="0"/>
    <n v="1"/>
    <n v="0"/>
    <n v="1"/>
    <n v="0"/>
    <x v="13"/>
    <x v="75"/>
    <n v="263.16000000000003"/>
    <n v="69.84"/>
    <x v="924"/>
    <n v="4.7"/>
    <n v="26"/>
  </r>
  <r>
    <n v="194264587"/>
    <n v="197251"/>
    <n v="4078418"/>
    <n v="2585"/>
    <x v="4"/>
    <n v="57876"/>
    <x v="6"/>
    <x v="48"/>
    <x v="48"/>
    <x v="934"/>
    <x v="943"/>
    <x v="942"/>
    <x v="276"/>
    <s v="GA"/>
    <s v="Augusta"/>
    <s v="PA"/>
    <s v="Allentown"/>
    <x v="3"/>
    <n v="770517"/>
    <s v="301-500"/>
    <n v="410"/>
    <x v="318"/>
    <x v="81"/>
    <n v="414.7"/>
    <n v="437.7"/>
    <x v="0"/>
    <s v="13.79"/>
    <s v="18:00-23:59"/>
    <x v="6"/>
    <x v="4"/>
    <n v="245"/>
    <n v="326"/>
    <n v="0"/>
    <n v="86.3"/>
    <n v="0"/>
    <n v="0.755"/>
    <n v="0.503"/>
    <n v="1427.57"/>
    <x v="0"/>
    <n v="1"/>
    <n v="0"/>
    <n v="1"/>
    <n v="0"/>
    <n v="1"/>
    <n v="0"/>
    <n v="1"/>
    <x v="3"/>
    <x v="35"/>
    <n v="391.26"/>
    <n v="63.7"/>
    <x v="925"/>
    <n v="11.9"/>
    <n v="23.4"/>
  </r>
  <r>
    <n v="970281936"/>
    <n v="497887"/>
    <n v="5456272"/>
    <n v="5488"/>
    <x v="9"/>
    <n v="58533"/>
    <x v="4"/>
    <x v="92"/>
    <x v="92"/>
    <x v="935"/>
    <x v="944"/>
    <x v="943"/>
    <x v="91"/>
    <s v="MO"/>
    <s v="St. Louis"/>
    <s v="MO"/>
    <s v="Springfield"/>
    <x v="0"/>
    <n v="774798"/>
    <s v="0-100"/>
    <n v="38"/>
    <x v="470"/>
    <x v="261"/>
    <n v="38.299999999999997"/>
    <n v="59.3"/>
    <x v="2"/>
    <s v="1.71"/>
    <s v="10:00-13:59"/>
    <x v="0"/>
    <x v="0"/>
    <n v="-8"/>
    <n v="0"/>
    <n v="0"/>
    <n v="59.6"/>
    <n v="0"/>
    <n v="0.82499999999999996"/>
    <n v="0.60899999999999999"/>
    <n v="4598.22"/>
    <x v="0"/>
    <n v="1"/>
    <n v="1"/>
    <n v="0"/>
    <n v="1"/>
    <n v="0"/>
    <n v="1"/>
    <n v="0"/>
    <x v="51"/>
    <x v="61"/>
    <n v="41.54"/>
    <n v="7.68"/>
    <x v="926"/>
    <n v="34.9"/>
    <n v="63.2"/>
  </r>
  <r>
    <n v="832215964"/>
    <n v="479201"/>
    <n v="7550190"/>
    <n v="5887"/>
    <x v="4"/>
    <n v="58324"/>
    <x v="8"/>
    <x v="313"/>
    <x v="313"/>
    <x v="936"/>
    <x v="945"/>
    <x v="944"/>
    <x v="321"/>
    <s v="GA"/>
    <s v="Atlanta"/>
    <s v="GA"/>
    <s v="Augusta"/>
    <x v="1"/>
    <n v="783084"/>
    <s v="101-300"/>
    <n v="217"/>
    <x v="471"/>
    <x v="64"/>
    <n v="227.8"/>
    <n v="309.60000000000002"/>
    <x v="3"/>
    <s v="4.46"/>
    <s v="14:00-17:59"/>
    <x v="2"/>
    <x v="0"/>
    <n v="-48"/>
    <n v="0"/>
    <n v="0"/>
    <n v="53.2"/>
    <n v="0"/>
    <n v="0.44400000000000001"/>
    <n v="0.69699999999999995"/>
    <n v="14040.56"/>
    <x v="1"/>
    <n v="1"/>
    <n v="1"/>
    <n v="0"/>
    <n v="1"/>
    <n v="0"/>
    <n v="1"/>
    <n v="0"/>
    <x v="63"/>
    <x v="56"/>
    <n v="275.20999999999998"/>
    <n v="67.94"/>
    <x v="927"/>
    <n v="13.1"/>
    <n v="53.9"/>
  </r>
  <r>
    <n v="443154754"/>
    <n v="145561"/>
    <n v="2564689"/>
    <n v="1161"/>
    <x v="3"/>
    <n v="50264"/>
    <x v="9"/>
    <x v="178"/>
    <x v="177"/>
    <x v="937"/>
    <x v="946"/>
    <x v="945"/>
    <x v="183"/>
    <s v="FL"/>
    <s v="Miami"/>
    <s v="CA"/>
    <s v="San Diego"/>
    <x v="2"/>
    <n v="761759"/>
    <s v="0-100"/>
    <n v="69"/>
    <x v="290"/>
    <x v="399"/>
    <n v="59.6"/>
    <n v="95"/>
    <x v="0"/>
    <s v="1.56"/>
    <s v="10:00-13:59"/>
    <x v="1"/>
    <x v="0"/>
    <n v="-24"/>
    <n v="0"/>
    <n v="0"/>
    <n v="41.5"/>
    <n v="0"/>
    <n v="0.36599999999999999"/>
    <n v="0.70599999999999996"/>
    <n v="4951.68"/>
    <x v="0"/>
    <n v="1"/>
    <n v="1"/>
    <n v="0"/>
    <n v="1"/>
    <n v="0"/>
    <n v="1"/>
    <n v="0"/>
    <x v="17"/>
    <x v="63"/>
    <n v="66.84"/>
    <n v="17.12"/>
    <x v="928"/>
    <n v="5.6"/>
    <n v="0"/>
  </r>
  <r>
    <n v="817087513"/>
    <n v="195325"/>
    <n v="3194789"/>
    <n v="7585"/>
    <x v="7"/>
    <n v="59877"/>
    <x v="10"/>
    <x v="141"/>
    <x v="141"/>
    <x v="938"/>
    <x v="947"/>
    <x v="946"/>
    <x v="337"/>
    <s v="NJ"/>
    <s v="Elizabeth"/>
    <s v="IL"/>
    <s v="Peoria"/>
    <x v="0"/>
    <n v="755514"/>
    <s v="301-500"/>
    <n v="460"/>
    <x v="123"/>
    <x v="70"/>
    <n v="450.7"/>
    <n v="491.8"/>
    <x v="0"/>
    <s v="10.41"/>
    <s v="00:00-05:59"/>
    <x v="1"/>
    <x v="0"/>
    <n v="-2"/>
    <n v="0"/>
    <n v="0"/>
    <n v="47.2"/>
    <n v="0"/>
    <n v="0.78"/>
    <n v="0.53500000000000003"/>
    <n v="1504.04"/>
    <x v="0"/>
    <n v="1"/>
    <n v="1"/>
    <n v="0"/>
    <n v="1"/>
    <n v="0"/>
    <n v="1"/>
    <n v="0"/>
    <x v="65"/>
    <x v="58"/>
    <n v="347.64"/>
    <n v="53.54"/>
    <x v="929"/>
    <n v="15"/>
    <n v="30.2"/>
  </r>
  <r>
    <n v="473045064"/>
    <n v="930555"/>
    <n v="2262382"/>
    <n v="1698"/>
    <x v="0"/>
    <n v="51434"/>
    <x v="4"/>
    <x v="91"/>
    <x v="91"/>
    <x v="939"/>
    <x v="948"/>
    <x v="947"/>
    <x v="90"/>
    <s v="MO"/>
    <s v="Kansas City"/>
    <s v="MO"/>
    <s v="Columbia"/>
    <x v="0"/>
    <n v="774798"/>
    <s v="0-100"/>
    <n v="39"/>
    <x v="451"/>
    <x v="237"/>
    <n v="38.9"/>
    <n v="98.8"/>
    <x v="2"/>
    <s v="2.02"/>
    <s v="00:00-05:59"/>
    <x v="6"/>
    <x v="0"/>
    <n v="-4"/>
    <n v="0"/>
    <n v="0"/>
    <n v="21.6"/>
    <n v="0"/>
    <n v="0.221"/>
    <n v="0.82299999999999995"/>
    <n v="5678.24"/>
    <x v="0"/>
    <n v="1"/>
    <n v="1"/>
    <n v="0"/>
    <n v="1"/>
    <n v="0"/>
    <n v="1"/>
    <n v="0"/>
    <x v="17"/>
    <x v="77"/>
    <n v="73.72"/>
    <n v="19.38"/>
    <x v="930"/>
    <n v="25.4"/>
    <n v="35.5"/>
  </r>
  <r>
    <n v="861863296"/>
    <n v="100599"/>
    <n v="6555772"/>
    <n v="1262"/>
    <x v="0"/>
    <n v="55327"/>
    <x v="2"/>
    <x v="10"/>
    <x v="10"/>
    <x v="940"/>
    <x v="949"/>
    <x v="948"/>
    <x v="10"/>
    <s v="NJ"/>
    <s v="Paterson"/>
    <s v="WA"/>
    <s v="Spokane"/>
    <x v="2"/>
    <n v="791471"/>
    <s v="301-500"/>
    <n v="374"/>
    <x v="36"/>
    <x v="400"/>
    <n v="384.5"/>
    <n v="411.4"/>
    <x v="0"/>
    <s v="7.86"/>
    <s v="10:00-13:59"/>
    <x v="4"/>
    <x v="0"/>
    <n v="-33"/>
    <n v="0"/>
    <n v="0"/>
    <n v="42.2"/>
    <n v="0"/>
    <n v="0.49299999999999999"/>
    <n v="0.86"/>
    <n v="3950.43"/>
    <x v="0"/>
    <n v="1"/>
    <n v="1"/>
    <n v="0"/>
    <n v="1"/>
    <n v="0"/>
    <n v="1"/>
    <n v="0"/>
    <x v="58"/>
    <x v="25"/>
    <n v="318.73"/>
    <n v="78.19"/>
    <x v="931"/>
    <n v="8.6999999999999993"/>
    <n v="37.700000000000003"/>
  </r>
  <r>
    <n v="169727803"/>
    <n v="779514"/>
    <n v="5130808"/>
    <n v="3731"/>
    <x v="4"/>
    <n v="55097"/>
    <x v="8"/>
    <x v="175"/>
    <x v="174"/>
    <x v="941"/>
    <x v="950"/>
    <x v="949"/>
    <x v="296"/>
    <s v="AZ"/>
    <s v="Flagstaff"/>
    <s v="OH"/>
    <s v="Cleveland"/>
    <x v="0"/>
    <n v="774885"/>
    <s v="101-300"/>
    <n v="183"/>
    <x v="50"/>
    <x v="76"/>
    <n v="190"/>
    <n v="251.3"/>
    <x v="0"/>
    <s v="3.56"/>
    <s v="14:00-17:59"/>
    <x v="3"/>
    <x v="0"/>
    <n v="-30"/>
    <n v="0"/>
    <n v="0"/>
    <n v="54.8"/>
    <n v="0"/>
    <n v="0.88100000000000001"/>
    <n v="0.33300000000000002"/>
    <n v="17219.14"/>
    <x v="1"/>
    <n v="1"/>
    <n v="1"/>
    <n v="0"/>
    <n v="1"/>
    <n v="0"/>
    <n v="1"/>
    <n v="0"/>
    <x v="46"/>
    <x v="14"/>
    <n v="187.34"/>
    <n v="37.229999999999997"/>
    <x v="181"/>
    <n v="38.9"/>
    <n v="62"/>
  </r>
  <r>
    <n v="690554938"/>
    <n v="133326"/>
    <n v="6543670"/>
    <n v="7420"/>
    <x v="1"/>
    <n v="51660"/>
    <x v="6"/>
    <x v="238"/>
    <x v="237"/>
    <x v="942"/>
    <x v="951"/>
    <x v="950"/>
    <x v="238"/>
    <s v="TX"/>
    <s v="El Paso"/>
    <s v="NJ"/>
    <s v="Elizabeth"/>
    <x v="3"/>
    <n v="739992"/>
    <s v="101-300"/>
    <n v="311"/>
    <x v="453"/>
    <x v="213"/>
    <n v="302"/>
    <n v="338.8"/>
    <x v="2"/>
    <s v="7.63"/>
    <s v="06:00-09:59"/>
    <x v="0"/>
    <x v="0"/>
    <n v="-34"/>
    <n v="0"/>
    <n v="0"/>
    <n v="59.5"/>
    <n v="0"/>
    <n v="0.53200000000000003"/>
    <n v="0.67500000000000004"/>
    <n v="5015.34"/>
    <x v="0"/>
    <n v="1"/>
    <n v="1"/>
    <n v="0"/>
    <n v="1"/>
    <n v="0"/>
    <n v="1"/>
    <n v="0"/>
    <x v="75"/>
    <x v="5"/>
    <n v="297.68"/>
    <n v="38.909999999999997"/>
    <x v="932"/>
    <n v="28.4"/>
    <n v="72.8"/>
  </r>
  <r>
    <n v="682152066"/>
    <n v="496922"/>
    <n v="9075854"/>
    <n v="8869"/>
    <x v="1"/>
    <n v="55692"/>
    <x v="2"/>
    <x v="201"/>
    <x v="200"/>
    <x v="943"/>
    <x v="952"/>
    <x v="951"/>
    <x v="239"/>
    <s v="IL"/>
    <s v="Aurora"/>
    <s v="WA"/>
    <s v="Spokane"/>
    <x v="2"/>
    <n v="749362"/>
    <s v="501-1000"/>
    <n v="733"/>
    <x v="104"/>
    <x v="69"/>
    <n v="750.1"/>
    <n v="796.2"/>
    <x v="3"/>
    <s v="15.43"/>
    <s v="14:00-17:59"/>
    <x v="4"/>
    <x v="0"/>
    <n v="-24"/>
    <n v="0"/>
    <n v="0"/>
    <n v="47.5"/>
    <n v="0"/>
    <n v="0.67800000000000005"/>
    <n v="0.499"/>
    <n v="15000.76"/>
    <x v="1"/>
    <n v="1"/>
    <n v="1"/>
    <n v="0"/>
    <n v="1"/>
    <n v="0"/>
    <n v="1"/>
    <n v="0"/>
    <x v="39"/>
    <x v="17"/>
    <n v="683.67"/>
    <n v="127.15"/>
    <x v="933"/>
    <n v="9.3000000000000007"/>
    <n v="32.799999999999997"/>
  </r>
  <r>
    <n v="411774120"/>
    <n v="847581"/>
    <n v="3919694"/>
    <n v="9050"/>
    <x v="7"/>
    <n v="52354"/>
    <x v="2"/>
    <x v="139"/>
    <x v="139"/>
    <x v="944"/>
    <x v="953"/>
    <x v="952"/>
    <x v="143"/>
    <s v="IL"/>
    <s v="Aurora"/>
    <s v="IL"/>
    <s v="Aurora"/>
    <x v="0"/>
    <n v="725966"/>
    <s v="0-100"/>
    <n v="87"/>
    <x v="110"/>
    <x v="230"/>
    <n v="90.3"/>
    <n v="129.19999999999999"/>
    <x v="0"/>
    <s v="1.87"/>
    <s v="14:00-17:59"/>
    <x v="1"/>
    <x v="0"/>
    <n v="-29"/>
    <n v="0"/>
    <n v="0"/>
    <n v="36.200000000000003"/>
    <n v="0"/>
    <n v="0.79400000000000004"/>
    <n v="0.52300000000000002"/>
    <n v="5616.59"/>
    <x v="0"/>
    <n v="1"/>
    <n v="1"/>
    <n v="0"/>
    <n v="1"/>
    <n v="0"/>
    <n v="1"/>
    <n v="0"/>
    <x v="28"/>
    <x v="31"/>
    <n v="92.11"/>
    <n v="24.75"/>
    <x v="934"/>
    <n v="12.5"/>
    <n v="21.2"/>
  </r>
  <r>
    <n v="422076028"/>
    <n v="358607"/>
    <n v="5727085"/>
    <n v="6864"/>
    <x v="1"/>
    <n v="58457"/>
    <x v="13"/>
    <x v="203"/>
    <x v="202"/>
    <x v="945"/>
    <x v="954"/>
    <x v="953"/>
    <x v="13"/>
    <s v="NY"/>
    <s v="Buffalo"/>
    <s v="NY"/>
    <s v="Albany"/>
    <x v="3"/>
    <n v="742838"/>
    <s v="101-300"/>
    <n v="266"/>
    <x v="216"/>
    <x v="91"/>
    <n v="259.10000000000002"/>
    <n v="319.5"/>
    <x v="0"/>
    <s v="5.08"/>
    <s v="10:00-13:59"/>
    <x v="4"/>
    <x v="0"/>
    <n v="-33"/>
    <n v="0"/>
    <n v="0"/>
    <n v="43.7"/>
    <n v="0"/>
    <n v="0.61299999999999999"/>
    <n v="0.27600000000000002"/>
    <n v="2613.02"/>
    <x v="0"/>
    <n v="1"/>
    <n v="1"/>
    <n v="0"/>
    <n v="1"/>
    <n v="0"/>
    <n v="1"/>
    <n v="0"/>
    <x v="61"/>
    <x v="29"/>
    <n v="247.12"/>
    <n v="34.86"/>
    <x v="935"/>
    <n v="7.3"/>
    <n v="43.6"/>
  </r>
  <r>
    <n v="269119969"/>
    <n v="855731"/>
    <n v="2724590"/>
    <n v="1202"/>
    <x v="8"/>
    <n v="56461"/>
    <x v="9"/>
    <x v="275"/>
    <x v="274"/>
    <x v="946"/>
    <x v="955"/>
    <x v="954"/>
    <x v="254"/>
    <s v="IL"/>
    <s v="Springfield"/>
    <s v="NJ"/>
    <s v="Jersey City"/>
    <x v="3"/>
    <n v="766155"/>
    <s v="0-100"/>
    <n v="43"/>
    <x v="464"/>
    <x v="312"/>
    <n v="42.4"/>
    <n v="119.7"/>
    <x v="0"/>
    <s v="1.68"/>
    <s v="14:00-17:59"/>
    <x v="0"/>
    <x v="0"/>
    <n v="-21"/>
    <n v="0"/>
    <n v="1.6"/>
    <n v="42"/>
    <n v="0"/>
    <n v="0.72399999999999998"/>
    <n v="0.68200000000000005"/>
    <n v="1760.38"/>
    <x v="0"/>
    <n v="1"/>
    <n v="1"/>
    <n v="0"/>
    <n v="1"/>
    <n v="0"/>
    <n v="1"/>
    <n v="0"/>
    <x v="17"/>
    <x v="17"/>
    <n v="89.69"/>
    <n v="14.32"/>
    <x v="936"/>
    <n v="32.200000000000003"/>
    <n v="71.7"/>
  </r>
  <r>
    <n v="864299201"/>
    <n v="770487"/>
    <n v="9683481"/>
    <n v="8270"/>
    <x v="8"/>
    <n v="59328"/>
    <x v="1"/>
    <x v="259"/>
    <x v="258"/>
    <x v="947"/>
    <x v="956"/>
    <x v="955"/>
    <x v="259"/>
    <s v="NC"/>
    <s v="Greensboro"/>
    <s v="MI"/>
    <s v="Lansing"/>
    <x v="0"/>
    <n v="733483"/>
    <s v="101-300"/>
    <n v="227"/>
    <x v="73"/>
    <x v="202"/>
    <n v="232.8"/>
    <n v="236.7"/>
    <x v="4"/>
    <s v="4.47"/>
    <s v="10:00-13:59"/>
    <x v="6"/>
    <x v="0"/>
    <n v="-17"/>
    <n v="52"/>
    <n v="0"/>
    <n v="43.5"/>
    <n v="0"/>
    <n v="0.39300000000000002"/>
    <n v="0.51700000000000002"/>
    <n v="4936.1099999999997"/>
    <x v="0"/>
    <n v="1"/>
    <n v="1"/>
    <n v="0"/>
    <n v="1"/>
    <n v="0"/>
    <n v="1"/>
    <n v="0"/>
    <x v="53"/>
    <x v="61"/>
    <n v="150.74"/>
    <n v="41.25"/>
    <x v="937"/>
    <n v="20"/>
    <n v="0.4"/>
  </r>
  <r>
    <n v="861888313"/>
    <n v="380746"/>
    <n v="7199635"/>
    <n v="2678"/>
    <x v="1"/>
    <n v="57044"/>
    <x v="7"/>
    <x v="94"/>
    <x v="94"/>
    <x v="948"/>
    <x v="957"/>
    <x v="956"/>
    <x v="93"/>
    <s v="PA"/>
    <s v="Erie"/>
    <s v="WA"/>
    <s v="Seattle"/>
    <x v="2"/>
    <n v="739373"/>
    <s v="101-300"/>
    <n v="297"/>
    <x v="345"/>
    <x v="67"/>
    <n v="304.5"/>
    <n v="326.89999999999998"/>
    <x v="1"/>
    <s v="7.05"/>
    <s v="14:00-17:59"/>
    <x v="2"/>
    <x v="0"/>
    <n v="6"/>
    <n v="0"/>
    <n v="0"/>
    <n v="61.2"/>
    <n v="0"/>
    <n v="0.504"/>
    <n v="0.56200000000000006"/>
    <n v="8075.06"/>
    <x v="1"/>
    <n v="1"/>
    <n v="1"/>
    <n v="0"/>
    <n v="1"/>
    <n v="0"/>
    <n v="1"/>
    <n v="0"/>
    <x v="2"/>
    <x v="8"/>
    <n v="276.05"/>
    <n v="54.64"/>
    <x v="938"/>
    <n v="22.1"/>
    <n v="69.3"/>
  </r>
  <r>
    <n v="851854702"/>
    <n v="246316"/>
    <n v="1352896"/>
    <n v="5426"/>
    <x v="7"/>
    <n v="55497"/>
    <x v="2"/>
    <x v="78"/>
    <x v="78"/>
    <x v="949"/>
    <x v="958"/>
    <x v="957"/>
    <x v="77"/>
    <s v="GA"/>
    <s v="Augusta"/>
    <s v="NJ"/>
    <s v="Trenton"/>
    <x v="3"/>
    <n v="706957"/>
    <s v="101-300"/>
    <n v="207"/>
    <x v="101"/>
    <x v="401"/>
    <n v="206.6"/>
    <n v="259.60000000000002"/>
    <x v="0"/>
    <s v="3.29"/>
    <s v="14:00-17:59"/>
    <x v="3"/>
    <x v="0"/>
    <n v="-57"/>
    <n v="0"/>
    <n v="0"/>
    <n v="44.5"/>
    <n v="0"/>
    <n v="0.80200000000000005"/>
    <n v="0.60499999999999998"/>
    <n v="4334.5600000000004"/>
    <x v="0"/>
    <n v="1"/>
    <n v="1"/>
    <n v="0"/>
    <n v="1"/>
    <n v="0"/>
    <n v="1"/>
    <n v="0"/>
    <x v="16"/>
    <x v="95"/>
    <n v="175.1"/>
    <n v="54.16"/>
    <x v="657"/>
    <n v="28.1"/>
    <n v="5.9"/>
  </r>
  <r>
    <n v="784725186"/>
    <n v="623481"/>
    <n v="2737893"/>
    <n v="4627"/>
    <x v="3"/>
    <n v="54549"/>
    <x v="8"/>
    <x v="14"/>
    <x v="14"/>
    <x v="950"/>
    <x v="959"/>
    <x v="958"/>
    <x v="14"/>
    <s v="IL"/>
    <s v="Aurora"/>
    <s v="MO"/>
    <s v="St. Louis"/>
    <x v="0"/>
    <n v="754209"/>
    <s v="0-100"/>
    <n v="105"/>
    <x v="385"/>
    <x v="110"/>
    <n v="108.1"/>
    <n v="130.1"/>
    <x v="0"/>
    <s v="3.14"/>
    <s v="18:00-23:59"/>
    <x v="0"/>
    <x v="0"/>
    <n v="9"/>
    <n v="0"/>
    <n v="0"/>
    <n v="48.7"/>
    <n v="0"/>
    <n v="0.48499999999999999"/>
    <n v="0.78800000000000003"/>
    <n v="3657.71"/>
    <x v="0"/>
    <n v="1"/>
    <n v="1"/>
    <n v="0"/>
    <n v="1"/>
    <n v="0"/>
    <n v="1"/>
    <n v="0"/>
    <x v="102"/>
    <x v="63"/>
    <n v="117.12"/>
    <n v="25.73"/>
    <x v="939"/>
    <n v="22.3"/>
    <n v="65.7"/>
  </r>
  <r>
    <n v="286928799"/>
    <n v="903035"/>
    <n v="7110622"/>
    <n v="3200"/>
    <x v="2"/>
    <n v="56334"/>
    <x v="6"/>
    <x v="326"/>
    <x v="326"/>
    <x v="951"/>
    <x v="960"/>
    <x v="959"/>
    <x v="234"/>
    <s v="OH"/>
    <s v="Dayton"/>
    <s v="NY"/>
    <s v="Albany"/>
    <x v="3"/>
    <n v="785820"/>
    <s v="101-300"/>
    <n v="151"/>
    <x v="472"/>
    <x v="283"/>
    <n v="150.30000000000001"/>
    <n v="211.4"/>
    <x v="2"/>
    <s v="2.36"/>
    <s v="10:00-13:59"/>
    <x v="4"/>
    <x v="0"/>
    <n v="-34"/>
    <n v="0"/>
    <n v="0"/>
    <n v="60.3"/>
    <n v="0"/>
    <n v="0.504"/>
    <n v="0.74"/>
    <n v="1605.2"/>
    <x v="0"/>
    <n v="1"/>
    <n v="1"/>
    <n v="0"/>
    <n v="1"/>
    <n v="0"/>
    <n v="1"/>
    <n v="0"/>
    <x v="50"/>
    <x v="22"/>
    <n v="156.30000000000001"/>
    <n v="44.45"/>
    <x v="940"/>
    <n v="26.8"/>
    <n v="2.5"/>
  </r>
  <r>
    <n v="952225000"/>
    <n v="865388"/>
    <n v="4218542"/>
    <n v="5496"/>
    <x v="2"/>
    <n v="56010"/>
    <x v="11"/>
    <x v="144"/>
    <x v="144"/>
    <x v="952"/>
    <x v="961"/>
    <x v="960"/>
    <x v="247"/>
    <s v="CO"/>
    <s v="Colorado Springs"/>
    <s v="TN"/>
    <s v="Nashville"/>
    <x v="1"/>
    <n v="719400"/>
    <s v="301-500"/>
    <n v="307"/>
    <x v="390"/>
    <x v="39"/>
    <n v="306.60000000000002"/>
    <n v="343.1"/>
    <x v="0"/>
    <s v="12.2"/>
    <s v="10:00-13:59"/>
    <x v="5"/>
    <x v="4"/>
    <n v="290"/>
    <n v="314"/>
    <n v="0"/>
    <n v="64.7"/>
    <n v="0"/>
    <n v="0.83"/>
    <n v="0.38900000000000001"/>
    <n v="9837.7999999999993"/>
    <x v="1"/>
    <n v="1"/>
    <n v="0"/>
    <n v="1"/>
    <n v="0"/>
    <n v="1"/>
    <n v="0"/>
    <n v="1"/>
    <x v="86"/>
    <x v="87"/>
    <n v="276.77"/>
    <n v="53.49"/>
    <x v="941"/>
    <n v="10.3"/>
    <n v="0.3"/>
  </r>
  <r>
    <n v="488149273"/>
    <n v="322955"/>
    <n v="1131249"/>
    <n v="6915"/>
    <x v="0"/>
    <n v="54926"/>
    <x v="0"/>
    <x v="100"/>
    <x v="100"/>
    <x v="116"/>
    <x v="962"/>
    <x v="961"/>
    <x v="98"/>
    <s v="NJ"/>
    <s v="Elizabeth"/>
    <s v="WA"/>
    <s v="Vancouver"/>
    <x v="2"/>
    <n v="791471"/>
    <s v="301-500"/>
    <n v="495"/>
    <x v="453"/>
    <x v="402"/>
    <n v="499.3"/>
    <n v="540.6"/>
    <x v="0"/>
    <s v="8.83"/>
    <s v="06:00-09:59"/>
    <x v="6"/>
    <x v="0"/>
    <n v="-3"/>
    <n v="0"/>
    <n v="0.2"/>
    <n v="48.2"/>
    <n v="0"/>
    <n v="0.54300000000000004"/>
    <n v="0.35899999999999999"/>
    <n v="13934.46"/>
    <x v="1"/>
    <n v="1"/>
    <n v="1"/>
    <n v="0"/>
    <n v="1"/>
    <n v="0"/>
    <n v="1"/>
    <n v="0"/>
    <x v="65"/>
    <x v="31"/>
    <n v="467.88"/>
    <n v="105.17"/>
    <x v="942"/>
    <n v="31.4"/>
    <n v="46.5"/>
  </r>
  <r>
    <n v="646272321"/>
    <n v="584714"/>
    <n v="5004485"/>
    <n v="7938"/>
    <x v="1"/>
    <n v="59582"/>
    <x v="9"/>
    <x v="184"/>
    <x v="183"/>
    <x v="953"/>
    <x v="963"/>
    <x v="962"/>
    <x v="305"/>
    <s v="IL"/>
    <s v="Chicago"/>
    <s v="TN"/>
    <s v="Chattanooga"/>
    <x v="1"/>
    <n v="758407"/>
    <s v="101-300"/>
    <n v="287"/>
    <x v="422"/>
    <x v="251"/>
    <n v="295.60000000000002"/>
    <n v="350.3"/>
    <x v="0"/>
    <s v="12.02"/>
    <s v="06:00-09:59"/>
    <x v="4"/>
    <x v="4"/>
    <n v="198"/>
    <n v="223"/>
    <n v="0"/>
    <n v="21.2"/>
    <n v="0"/>
    <n v="0.40799999999999997"/>
    <n v="0.26400000000000001"/>
    <n v="11275.44"/>
    <x v="1"/>
    <n v="1"/>
    <n v="0"/>
    <n v="1"/>
    <n v="0"/>
    <n v="1"/>
    <n v="0"/>
    <n v="1"/>
    <x v="13"/>
    <x v="68"/>
    <n v="236.13"/>
    <n v="37.08"/>
    <x v="943"/>
    <n v="0.2"/>
    <n v="53.1"/>
  </r>
  <r>
    <n v="340777602"/>
    <n v="377932"/>
    <n v="9508103"/>
    <n v="6699"/>
    <x v="2"/>
    <n v="59304"/>
    <x v="6"/>
    <x v="254"/>
    <x v="253"/>
    <x v="954"/>
    <x v="964"/>
    <x v="963"/>
    <x v="179"/>
    <s v="NY"/>
    <s v="Syracuse"/>
    <s v="IL"/>
    <s v="Aurora"/>
    <x v="0"/>
    <n v="713055"/>
    <s v="101-300"/>
    <n v="318"/>
    <x v="236"/>
    <x v="403"/>
    <n v="311.2"/>
    <n v="360.6"/>
    <x v="3"/>
    <s v="10.37"/>
    <s v="14:00-17:59"/>
    <x v="0"/>
    <x v="4"/>
    <n v="153"/>
    <n v="159"/>
    <n v="0"/>
    <n v="86.2"/>
    <n v="0"/>
    <n v="0.82399999999999995"/>
    <n v="0.85899999999999999"/>
    <n v="3019.84"/>
    <x v="0"/>
    <n v="1"/>
    <n v="0"/>
    <n v="1"/>
    <n v="0"/>
    <n v="1"/>
    <n v="0"/>
    <n v="1"/>
    <x v="61"/>
    <x v="56"/>
    <n v="282.11"/>
    <n v="48.8"/>
    <x v="944"/>
    <n v="13.9"/>
    <n v="26.5"/>
  </r>
  <r>
    <n v="230311939"/>
    <n v="500156"/>
    <n v="3138181"/>
    <n v="7528"/>
    <x v="0"/>
    <n v="56065"/>
    <x v="5"/>
    <x v="133"/>
    <x v="133"/>
    <x v="955"/>
    <x v="965"/>
    <x v="964"/>
    <x v="293"/>
    <s v="AZ"/>
    <s v="Phoenix"/>
    <s v="FL"/>
    <s v="Tampa"/>
    <x v="1"/>
    <n v="704898"/>
    <s v="101-300"/>
    <n v="251"/>
    <x v="450"/>
    <x v="404"/>
    <n v="249.6"/>
    <n v="309.7"/>
    <x v="0"/>
    <s v="12.56"/>
    <s v="18:00-23:59"/>
    <x v="1"/>
    <x v="2"/>
    <n v="458"/>
    <n v="0"/>
    <n v="3.3"/>
    <n v="65.5"/>
    <n v="0"/>
    <n v="0.88900000000000001"/>
    <n v="0.80100000000000005"/>
    <n v="15620.32"/>
    <x v="1"/>
    <n v="1"/>
    <n v="0"/>
    <n v="1"/>
    <n v="0"/>
    <n v="1"/>
    <n v="0"/>
    <n v="1"/>
    <x v="68"/>
    <x v="29"/>
    <n v="214.07"/>
    <n v="54.91"/>
    <x v="945"/>
    <n v="24.1"/>
    <n v="30.7"/>
  </r>
  <r>
    <n v="315801027"/>
    <n v="719176"/>
    <n v="2130789"/>
    <n v="6311"/>
    <x v="8"/>
    <n v="52179"/>
    <x v="13"/>
    <x v="152"/>
    <x v="152"/>
    <x v="956"/>
    <x v="966"/>
    <x v="965"/>
    <x v="157"/>
    <s v="MI"/>
    <s v="Lansing"/>
    <s v="WA"/>
    <s v="Seattle"/>
    <x v="2"/>
    <n v="722324"/>
    <s v="101-300"/>
    <n v="306"/>
    <x v="473"/>
    <x v="138"/>
    <n v="302.39999999999998"/>
    <n v="397.5"/>
    <x v="0"/>
    <s v="9.37"/>
    <s v="10:00-13:59"/>
    <x v="2"/>
    <x v="4"/>
    <n v="158"/>
    <n v="79"/>
    <n v="2.8"/>
    <n v="56.7"/>
    <n v="0"/>
    <n v="0.57999999999999996"/>
    <n v="0.68200000000000005"/>
    <n v="4600.29"/>
    <x v="0"/>
    <n v="1"/>
    <n v="0"/>
    <n v="1"/>
    <n v="0"/>
    <n v="1"/>
    <n v="0"/>
    <n v="1"/>
    <x v="110"/>
    <x v="106"/>
    <n v="307.23"/>
    <n v="76.180000000000007"/>
    <x v="946"/>
    <n v="17"/>
    <n v="48.4"/>
  </r>
  <r>
    <n v="950474042"/>
    <n v="330283"/>
    <n v="6304573"/>
    <n v="8035"/>
    <x v="3"/>
    <n v="54967"/>
    <x v="2"/>
    <x v="53"/>
    <x v="53"/>
    <x v="957"/>
    <x v="967"/>
    <x v="966"/>
    <x v="53"/>
    <s v="FL"/>
    <s v="Jacksonville"/>
    <s v="IL"/>
    <s v="Rockford"/>
    <x v="0"/>
    <n v="774588"/>
    <s v="0-100"/>
    <n v="94"/>
    <x v="426"/>
    <x v="170"/>
    <n v="88"/>
    <n v="101.6"/>
    <x v="0"/>
    <s v="2.08"/>
    <s v="06:00-09:59"/>
    <x v="5"/>
    <x v="0"/>
    <n v="15"/>
    <n v="0"/>
    <n v="0"/>
    <n v="37.6"/>
    <n v="0"/>
    <n v="0.32300000000000001"/>
    <n v="0.55600000000000005"/>
    <n v="36818.33"/>
    <x v="2"/>
    <n v="1"/>
    <n v="1"/>
    <n v="0"/>
    <n v="1"/>
    <n v="0"/>
    <n v="1"/>
    <n v="0"/>
    <x v="32"/>
    <x v="29"/>
    <n v="80.650000000000006"/>
    <n v="17.12"/>
    <x v="947"/>
    <n v="36.299999999999997"/>
    <n v="36.799999999999997"/>
  </r>
  <r>
    <n v="249117905"/>
    <n v="946335"/>
    <n v="1247595"/>
    <n v="6675"/>
    <x v="1"/>
    <n v="50634"/>
    <x v="8"/>
    <x v="314"/>
    <x v="314"/>
    <x v="958"/>
    <x v="968"/>
    <x v="967"/>
    <x v="316"/>
    <s v="FL"/>
    <s v="Miami"/>
    <s v="FL"/>
    <s v="Orlando"/>
    <x v="1"/>
    <n v="758654"/>
    <s v="101-300"/>
    <n v="286"/>
    <x v="150"/>
    <x v="405"/>
    <n v="279.60000000000002"/>
    <n v="319.5"/>
    <x v="0"/>
    <s v="5.93"/>
    <s v="06:00-09:59"/>
    <x v="2"/>
    <x v="0"/>
    <n v="-31"/>
    <n v="0"/>
    <n v="0"/>
    <n v="42.3"/>
    <n v="0"/>
    <n v="0.74299999999999999"/>
    <n v="0.49"/>
    <n v="10526.6"/>
    <x v="1"/>
    <n v="1"/>
    <n v="1"/>
    <n v="0"/>
    <n v="1"/>
    <n v="0"/>
    <n v="1"/>
    <n v="0"/>
    <x v="27"/>
    <x v="49"/>
    <n v="214.3"/>
    <n v="50.38"/>
    <x v="948"/>
    <n v="32.6"/>
    <n v="9.8000000000000007"/>
  </r>
  <r>
    <n v="354193540"/>
    <n v="440035"/>
    <n v="1156287"/>
    <n v="8858"/>
    <x v="0"/>
    <n v="53631"/>
    <x v="3"/>
    <x v="96"/>
    <x v="96"/>
    <x v="959"/>
    <x v="969"/>
    <x v="968"/>
    <x v="95"/>
    <s v="TX"/>
    <s v="Houston"/>
    <s v="PA"/>
    <s v="Philadelphia"/>
    <x v="3"/>
    <n v="785119"/>
    <s v="101-300"/>
    <n v="227"/>
    <x v="49"/>
    <x v="54"/>
    <n v="227.1"/>
    <n v="263"/>
    <x v="0"/>
    <s v="4.38"/>
    <s v="10:00-13:59"/>
    <x v="4"/>
    <x v="0"/>
    <n v="-2"/>
    <n v="0"/>
    <n v="0"/>
    <n v="34.4"/>
    <n v="0"/>
    <n v="0.80900000000000005"/>
    <n v="0.53600000000000003"/>
    <n v="4109.75"/>
    <x v="0"/>
    <n v="1"/>
    <n v="1"/>
    <n v="0"/>
    <n v="1"/>
    <n v="0"/>
    <n v="1"/>
    <n v="0"/>
    <x v="1"/>
    <x v="22"/>
    <n v="208.89"/>
    <n v="33.659999999999997"/>
    <x v="949"/>
    <n v="8.3000000000000007"/>
    <n v="28.4"/>
  </r>
  <r>
    <n v="948656610"/>
    <n v="356702"/>
    <n v="4426900"/>
    <n v="1502"/>
    <x v="1"/>
    <n v="59591"/>
    <x v="2"/>
    <x v="37"/>
    <x v="37"/>
    <x v="960"/>
    <x v="970"/>
    <x v="969"/>
    <x v="36"/>
    <s v="CO"/>
    <s v="Colorado Springs"/>
    <s v="NC"/>
    <s v="Durham"/>
    <x v="1"/>
    <n v="743499"/>
    <s v="101-300"/>
    <n v="187"/>
    <x v="278"/>
    <x v="149"/>
    <n v="180.6"/>
    <n v="218.1"/>
    <x v="0"/>
    <s v="4.99"/>
    <s v="06:00-09:59"/>
    <x v="6"/>
    <x v="0"/>
    <n v="24"/>
    <n v="0"/>
    <n v="0"/>
    <n v="42"/>
    <n v="0"/>
    <n v="0.48799999999999999"/>
    <n v="0.70399999999999996"/>
    <n v="15415.05"/>
    <x v="1"/>
    <n v="1"/>
    <n v="0"/>
    <n v="1"/>
    <n v="0"/>
    <n v="1"/>
    <n v="0"/>
    <n v="1"/>
    <x v="76"/>
    <x v="38"/>
    <n v="164.99"/>
    <n v="26.37"/>
    <x v="950"/>
    <n v="47.2"/>
    <n v="0"/>
  </r>
  <r>
    <n v="630452018"/>
    <n v="249811"/>
    <n v="2795765"/>
    <n v="8392"/>
    <x v="2"/>
    <n v="54677"/>
    <x v="10"/>
    <x v="45"/>
    <x v="45"/>
    <x v="961"/>
    <x v="971"/>
    <x v="970"/>
    <x v="44"/>
    <s v="IL"/>
    <s v="Peoria"/>
    <s v="NJ"/>
    <s v="Paterson"/>
    <x v="3"/>
    <n v="766155"/>
    <s v="101-300"/>
    <n v="305"/>
    <x v="474"/>
    <x v="201"/>
    <n v="298.39999999999998"/>
    <n v="347.5"/>
    <x v="0"/>
    <s v="5.62"/>
    <s v="06:00-09:59"/>
    <x v="2"/>
    <x v="0"/>
    <n v="-37"/>
    <n v="0"/>
    <n v="0"/>
    <n v="63.2"/>
    <n v="0"/>
    <n v="0.621"/>
    <n v="0.65700000000000003"/>
    <n v="4631.6099999999997"/>
    <x v="0"/>
    <n v="1"/>
    <n v="1"/>
    <n v="0"/>
    <n v="1"/>
    <n v="0"/>
    <n v="1"/>
    <n v="0"/>
    <x v="50"/>
    <x v="18"/>
    <n v="269.87"/>
    <n v="71.260000000000005"/>
    <x v="951"/>
    <n v="11.1"/>
    <n v="15.6"/>
  </r>
  <r>
    <n v="128222260"/>
    <n v="391476"/>
    <n v="8999183"/>
    <n v="6618"/>
    <x v="2"/>
    <n v="52218"/>
    <x v="2"/>
    <x v="134"/>
    <x v="134"/>
    <x v="962"/>
    <x v="972"/>
    <x v="971"/>
    <x v="136"/>
    <s v="TN"/>
    <s v="Knoxville"/>
    <s v="PA"/>
    <s v="Philadelphia"/>
    <x v="3"/>
    <n v="731760"/>
    <s v="501-1000"/>
    <n v="726"/>
    <x v="475"/>
    <x v="396"/>
    <n v="724.9"/>
    <n v="829.4"/>
    <x v="2"/>
    <s v="16.0"/>
    <s v="14:00-17:59"/>
    <x v="1"/>
    <x v="0"/>
    <n v="-7"/>
    <n v="10"/>
    <n v="0"/>
    <n v="59.5"/>
    <n v="0"/>
    <n v="0.68500000000000005"/>
    <n v="0.49"/>
    <n v="5922.59"/>
    <x v="0"/>
    <n v="1"/>
    <n v="1"/>
    <n v="0"/>
    <n v="1"/>
    <n v="0"/>
    <n v="1"/>
    <n v="0"/>
    <x v="49"/>
    <x v="14"/>
    <n v="739.4"/>
    <n v="97.09"/>
    <x v="952"/>
    <n v="51.7"/>
    <n v="46.1"/>
  </r>
  <r>
    <n v="487509692"/>
    <n v="263032"/>
    <n v="4191175"/>
    <n v="6486"/>
    <x v="9"/>
    <n v="51389"/>
    <x v="8"/>
    <x v="180"/>
    <x v="179"/>
    <x v="963"/>
    <x v="973"/>
    <x v="972"/>
    <x v="184"/>
    <s v="NJ"/>
    <s v="Elizabeth"/>
    <s v="NC"/>
    <s v="Charlotte"/>
    <x v="1"/>
    <n v="724967"/>
    <s v="101-300"/>
    <n v="220"/>
    <x v="404"/>
    <x v="30"/>
    <n v="214.1"/>
    <n v="264.8"/>
    <x v="4"/>
    <s v="5.45"/>
    <s v="00:00-05:59"/>
    <x v="4"/>
    <x v="0"/>
    <n v="-34"/>
    <n v="54"/>
    <n v="0"/>
    <n v="79.5"/>
    <n v="0"/>
    <n v="0.86899999999999999"/>
    <n v="0.86399999999999999"/>
    <n v="11282.41"/>
    <x v="1"/>
    <n v="1"/>
    <n v="1"/>
    <n v="0"/>
    <n v="1"/>
    <n v="0"/>
    <n v="1"/>
    <n v="0"/>
    <x v="56"/>
    <x v="31"/>
    <n v="202.61"/>
    <n v="40.31"/>
    <x v="953"/>
    <n v="13.2"/>
    <n v="24.9"/>
  </r>
  <r>
    <n v="694875990"/>
    <n v="944151"/>
    <n v="6855396"/>
    <n v="8574"/>
    <x v="9"/>
    <n v="54276"/>
    <x v="6"/>
    <x v="15"/>
    <x v="15"/>
    <x v="964"/>
    <x v="974"/>
    <x v="973"/>
    <x v="15"/>
    <s v="NJ"/>
    <s v="Trenton"/>
    <s v="MO"/>
    <s v="Kansas City"/>
    <x v="0"/>
    <n v="712499"/>
    <s v="301-500"/>
    <n v="392"/>
    <x v="476"/>
    <x v="96"/>
    <n v="395.1"/>
    <n v="491"/>
    <x v="3"/>
    <s v="9.87"/>
    <s v="10:00-13:59"/>
    <x v="6"/>
    <x v="0"/>
    <n v="-9"/>
    <n v="0"/>
    <n v="0"/>
    <n v="60.1"/>
    <n v="0"/>
    <n v="0.47899999999999998"/>
    <n v="0.65500000000000003"/>
    <n v="3396.03"/>
    <x v="0"/>
    <n v="1"/>
    <n v="1"/>
    <n v="0"/>
    <n v="1"/>
    <n v="0"/>
    <n v="1"/>
    <n v="0"/>
    <x v="108"/>
    <x v="39"/>
    <n v="374.56"/>
    <n v="101.45"/>
    <x v="954"/>
    <n v="12.8"/>
    <n v="39.700000000000003"/>
  </r>
  <r>
    <n v="714478186"/>
    <n v="728038"/>
    <n v="1463060"/>
    <n v="7287"/>
    <x v="0"/>
    <n v="51249"/>
    <x v="5"/>
    <x v="82"/>
    <x v="82"/>
    <x v="965"/>
    <x v="975"/>
    <x v="974"/>
    <x v="81"/>
    <s v="MI"/>
    <s v="Grand Rapids"/>
    <s v="MO"/>
    <s v="St. Louis"/>
    <x v="0"/>
    <n v="750940"/>
    <s v="301-500"/>
    <n v="419"/>
    <x v="390"/>
    <x v="38"/>
    <n v="416.1"/>
    <n v="437.5"/>
    <x v="0"/>
    <s v="7.59"/>
    <s v="14:00-17:59"/>
    <x v="3"/>
    <x v="0"/>
    <n v="24"/>
    <n v="0"/>
    <n v="0"/>
    <n v="65.5"/>
    <n v="0"/>
    <n v="0.75600000000000001"/>
    <n v="0.63400000000000001"/>
    <n v="5400.66"/>
    <x v="0"/>
    <n v="1"/>
    <n v="0"/>
    <n v="1"/>
    <n v="0"/>
    <n v="1"/>
    <n v="0"/>
    <n v="1"/>
    <x v="54"/>
    <x v="69"/>
    <n v="332.99"/>
    <n v="51.5"/>
    <x v="955"/>
    <n v="13.6"/>
    <n v="36.9"/>
  </r>
  <r>
    <n v="496115351"/>
    <n v="542666"/>
    <n v="1604451"/>
    <n v="1854"/>
    <x v="6"/>
    <n v="57640"/>
    <x v="4"/>
    <x v="161"/>
    <x v="161"/>
    <x v="966"/>
    <x v="976"/>
    <x v="975"/>
    <x v="187"/>
    <s v="GA"/>
    <s v="Columbus"/>
    <s v="TN"/>
    <s v="Nashville"/>
    <x v="1"/>
    <n v="780997"/>
    <s v="101-300"/>
    <n v="206"/>
    <x v="406"/>
    <x v="154"/>
    <n v="198.8"/>
    <n v="234.9"/>
    <x v="3"/>
    <s v="3.45"/>
    <s v="06:00-09:59"/>
    <x v="2"/>
    <x v="0"/>
    <n v="-39"/>
    <n v="0"/>
    <n v="0"/>
    <n v="57.7"/>
    <n v="0"/>
    <n v="0.70099999999999996"/>
    <n v="0.80100000000000005"/>
    <n v="1767.67"/>
    <x v="0"/>
    <n v="1"/>
    <n v="1"/>
    <n v="0"/>
    <n v="1"/>
    <n v="0"/>
    <n v="1"/>
    <n v="0"/>
    <x v="11"/>
    <x v="71"/>
    <n v="189.55"/>
    <n v="27.09"/>
    <x v="956"/>
    <n v="8"/>
    <n v="30.8"/>
  </r>
  <r>
    <n v="601873197"/>
    <n v="910620"/>
    <n v="5977931"/>
    <n v="1064"/>
    <x v="3"/>
    <n v="55712"/>
    <x v="12"/>
    <x v="180"/>
    <x v="179"/>
    <x v="967"/>
    <x v="977"/>
    <x v="976"/>
    <x v="184"/>
    <s v="FL"/>
    <s v="Jacksonville"/>
    <s v="AZ"/>
    <s v="Tempe"/>
    <x v="2"/>
    <n v="756949"/>
    <s v="101-300"/>
    <n v="115"/>
    <x v="55"/>
    <x v="0"/>
    <n v="129"/>
    <n v="154"/>
    <x v="0"/>
    <s v="1.25"/>
    <s v="10:00-13:59"/>
    <x v="4"/>
    <x v="0"/>
    <n v="-15"/>
    <n v="49"/>
    <n v="0"/>
    <n v="50.9"/>
    <n v="0"/>
    <n v="0.68899999999999995"/>
    <n v="0.48599999999999999"/>
    <n v="12027.92"/>
    <x v="1"/>
    <n v="1"/>
    <n v="1"/>
    <n v="0"/>
    <n v="1"/>
    <n v="0"/>
    <n v="1"/>
    <n v="0"/>
    <x v="18"/>
    <x v="18"/>
    <n v="112.46"/>
    <n v="28.2"/>
    <x v="957"/>
    <n v="7"/>
    <n v="68.599999999999994"/>
  </r>
  <r>
    <n v="962925204"/>
    <n v="791798"/>
    <n v="6539837"/>
    <n v="5433"/>
    <x v="9"/>
    <n v="51245"/>
    <x v="7"/>
    <x v="278"/>
    <x v="277"/>
    <x v="968"/>
    <x v="978"/>
    <x v="977"/>
    <x v="22"/>
    <s v="TX"/>
    <s v="San Antonio"/>
    <s v="TX"/>
    <s v="Houston"/>
    <x v="1"/>
    <n v="710286"/>
    <s v="101-300"/>
    <n v="294"/>
    <x v="246"/>
    <x v="222"/>
    <n v="281.2"/>
    <n v="300.7"/>
    <x v="3"/>
    <s v="6.4"/>
    <s v="14:00-17:59"/>
    <x v="2"/>
    <x v="0"/>
    <n v="-36"/>
    <n v="0"/>
    <n v="0"/>
    <n v="56.2"/>
    <n v="0"/>
    <n v="0.622"/>
    <n v="0.69599999999999995"/>
    <n v="104489.42"/>
    <x v="2"/>
    <n v="1"/>
    <n v="1"/>
    <n v="0"/>
    <n v="1"/>
    <n v="0"/>
    <n v="1"/>
    <n v="0"/>
    <x v="22"/>
    <x v="30"/>
    <n v="258.72000000000003"/>
    <n v="42.03"/>
    <x v="958"/>
    <n v="11.5"/>
    <n v="13.2"/>
  </r>
  <r>
    <n v="692326390"/>
    <n v="903035"/>
    <n v="7110622"/>
    <n v="3200"/>
    <x v="2"/>
    <n v="58245"/>
    <x v="12"/>
    <x v="70"/>
    <x v="70"/>
    <x v="969"/>
    <x v="979"/>
    <x v="978"/>
    <x v="69"/>
    <s v="IL"/>
    <s v="Springfield"/>
    <s v="IL"/>
    <s v="Peoria"/>
    <x v="0"/>
    <n v="725966"/>
    <s v="0-100"/>
    <n v="59"/>
    <x v="9"/>
    <x v="267"/>
    <n v="64.099999999999994"/>
    <n v="94.9"/>
    <x v="2"/>
    <s v="2.07"/>
    <s v="14:00-17:59"/>
    <x v="1"/>
    <x v="0"/>
    <n v="-21"/>
    <n v="0"/>
    <n v="0"/>
    <n v="12.3"/>
    <n v="0"/>
    <n v="0.65100000000000002"/>
    <n v="0.60199999999999998"/>
    <n v="4674.62"/>
    <x v="0"/>
    <n v="1"/>
    <n v="1"/>
    <n v="0"/>
    <n v="1"/>
    <n v="0"/>
    <n v="1"/>
    <n v="0"/>
    <x v="43"/>
    <x v="26"/>
    <n v="66.98"/>
    <n v="14.45"/>
    <x v="959"/>
    <n v="26.8"/>
    <n v="19.8"/>
  </r>
  <r>
    <n v="239340792"/>
    <n v="733052"/>
    <n v="2642635"/>
    <n v="8989"/>
    <x v="1"/>
    <n v="50442"/>
    <x v="7"/>
    <x v="330"/>
    <x v="330"/>
    <x v="970"/>
    <x v="980"/>
    <x v="979"/>
    <x v="332"/>
    <s v="FL"/>
    <s v="Miami"/>
    <s v="AZ"/>
    <s v="Phoenix"/>
    <x v="2"/>
    <n v="756949"/>
    <s v="101-300"/>
    <n v="231"/>
    <x v="453"/>
    <x v="406"/>
    <n v="233.1"/>
    <n v="303.8"/>
    <x v="2"/>
    <s v="5.4"/>
    <s v="10:00-13:59"/>
    <x v="2"/>
    <x v="0"/>
    <n v="-4"/>
    <n v="0"/>
    <n v="0"/>
    <n v="43.3"/>
    <n v="0"/>
    <n v="0.77900000000000003"/>
    <n v="0.437"/>
    <n v="4851.6000000000004"/>
    <x v="0"/>
    <n v="1"/>
    <n v="1"/>
    <n v="0"/>
    <n v="1"/>
    <n v="0"/>
    <n v="1"/>
    <n v="0"/>
    <x v="108"/>
    <x v="49"/>
    <n v="215.66"/>
    <n v="53.19"/>
    <x v="960"/>
    <n v="11.9"/>
    <n v="11.7"/>
  </r>
  <r>
    <n v="757074545"/>
    <n v="246316"/>
    <n v="1352896"/>
    <n v="5426"/>
    <x v="7"/>
    <n v="56976"/>
    <x v="7"/>
    <x v="73"/>
    <x v="73"/>
    <x v="971"/>
    <x v="981"/>
    <x v="980"/>
    <x v="72"/>
    <s v="FL"/>
    <s v="Jacksonville"/>
    <s v="FL"/>
    <s v="Miami"/>
    <x v="1"/>
    <n v="758654"/>
    <s v="301-500"/>
    <n v="322"/>
    <x v="229"/>
    <x v="333"/>
    <n v="319.10000000000002"/>
    <n v="353.7"/>
    <x v="0"/>
    <s v="8.69"/>
    <s v="10:00-13:59"/>
    <x v="1"/>
    <x v="4"/>
    <n v="139"/>
    <n v="199"/>
    <n v="0"/>
    <n v="22.8"/>
    <n v="0"/>
    <n v="0.89700000000000002"/>
    <n v="0.60599999999999998"/>
    <n v="2459.96"/>
    <x v="0"/>
    <n v="1"/>
    <n v="0"/>
    <n v="1"/>
    <n v="0"/>
    <n v="1"/>
    <n v="0"/>
    <n v="1"/>
    <x v="56"/>
    <x v="3"/>
    <n v="281.77"/>
    <n v="51.46"/>
    <x v="961"/>
    <n v="28.1"/>
    <n v="12.9"/>
  </r>
  <r>
    <n v="192573170"/>
    <n v="555884"/>
    <n v="7907400"/>
    <n v="7287"/>
    <x v="5"/>
    <n v="54675"/>
    <x v="8"/>
    <x v="123"/>
    <x v="122"/>
    <x v="972"/>
    <x v="982"/>
    <x v="981"/>
    <x v="123"/>
    <s v="MO"/>
    <s v="Columbia"/>
    <s v="MO"/>
    <s v="Independence"/>
    <x v="0"/>
    <n v="774798"/>
    <s v="0-100"/>
    <n v="20"/>
    <x v="477"/>
    <x v="245"/>
    <n v="14.6"/>
    <n v="52.2"/>
    <x v="0"/>
    <s v="1.78"/>
    <s v="14:00-17:59"/>
    <x v="0"/>
    <x v="0"/>
    <n v="17"/>
    <n v="0"/>
    <n v="0"/>
    <n v="26.8"/>
    <n v="0"/>
    <n v="0.60799999999999998"/>
    <n v="0.83799999999999997"/>
    <n v="5477.53"/>
    <x v="0"/>
    <n v="1"/>
    <n v="0"/>
    <n v="1"/>
    <n v="0"/>
    <n v="1"/>
    <n v="0"/>
    <n v="1"/>
    <x v="14"/>
    <x v="35"/>
    <n v="36.43"/>
    <n v="10.23"/>
    <x v="962"/>
    <n v="19.5"/>
    <n v="72.099999999999994"/>
  </r>
  <r>
    <n v="170596494"/>
    <n v="728038"/>
    <n v="1463060"/>
    <n v="7287"/>
    <x v="0"/>
    <n v="57953"/>
    <x v="10"/>
    <x v="108"/>
    <x v="107"/>
    <x v="973"/>
    <x v="983"/>
    <x v="982"/>
    <x v="107"/>
    <s v="MI"/>
    <s v="Lansing"/>
    <s v="TN"/>
    <s v="Memphis"/>
    <x v="1"/>
    <n v="756925"/>
    <s v="101-300"/>
    <n v="157"/>
    <x v="80"/>
    <x v="382"/>
    <n v="167.4"/>
    <n v="217.2"/>
    <x v="0"/>
    <s v="4.01"/>
    <s v="14:00-17:59"/>
    <x v="1"/>
    <x v="0"/>
    <n v="-7"/>
    <n v="0"/>
    <n v="0"/>
    <n v="69.5"/>
    <n v="0"/>
    <n v="0.69"/>
    <n v="0.90700000000000003"/>
    <n v="4249.37"/>
    <x v="0"/>
    <n v="1"/>
    <n v="1"/>
    <n v="0"/>
    <n v="1"/>
    <n v="0"/>
    <n v="1"/>
    <n v="0"/>
    <x v="92"/>
    <x v="24"/>
    <n v="140.52000000000001"/>
    <n v="46.98"/>
    <x v="963"/>
    <n v="13.6"/>
    <n v="25.6"/>
  </r>
  <r>
    <n v="432098383"/>
    <n v="865388"/>
    <n v="4218542"/>
    <n v="5496"/>
    <x v="2"/>
    <n v="54377"/>
    <x v="12"/>
    <x v="258"/>
    <x v="257"/>
    <x v="974"/>
    <x v="984"/>
    <x v="983"/>
    <x v="258"/>
    <s v="NJ"/>
    <s v="Newark"/>
    <s v="GA"/>
    <s v="Savannah"/>
    <x v="1"/>
    <n v="728499"/>
    <s v="301-500"/>
    <n v="452"/>
    <x v="264"/>
    <x v="203"/>
    <n v="464.7"/>
    <n v="510.3"/>
    <x v="0"/>
    <s v="8.89"/>
    <s v="06:00-09:59"/>
    <x v="0"/>
    <x v="0"/>
    <n v="-47"/>
    <n v="0"/>
    <n v="1.7"/>
    <n v="28.6"/>
    <n v="0"/>
    <n v="0.79300000000000004"/>
    <n v="0.504"/>
    <n v="1885.65"/>
    <x v="0"/>
    <n v="1"/>
    <n v="1"/>
    <n v="0"/>
    <n v="1"/>
    <n v="0"/>
    <n v="1"/>
    <n v="0"/>
    <x v="28"/>
    <x v="74"/>
    <n v="347.86"/>
    <n v="108.17"/>
    <x v="964"/>
    <n v="10.3"/>
    <n v="7.3"/>
  </r>
  <r>
    <n v="527521016"/>
    <n v="955662"/>
    <n v="8315831"/>
    <n v="9445"/>
    <x v="1"/>
    <n v="57058"/>
    <x v="7"/>
    <x v="173"/>
    <x v="172"/>
    <x v="975"/>
    <x v="985"/>
    <x v="984"/>
    <x v="179"/>
    <s v="IL"/>
    <s v="Peoria"/>
    <s v="PA"/>
    <s v="Harrisburg"/>
    <x v="3"/>
    <n v="738337"/>
    <s v="301-500"/>
    <n v="312"/>
    <x v="478"/>
    <x v="68"/>
    <n v="310.2"/>
    <n v="357.7"/>
    <x v="1"/>
    <s v="7.01"/>
    <s v="06:00-09:59"/>
    <x v="4"/>
    <x v="0"/>
    <n v="-11"/>
    <n v="0"/>
    <n v="0"/>
    <n v="36.200000000000003"/>
    <n v="0"/>
    <n v="0.60899999999999999"/>
    <n v="0.67900000000000005"/>
    <n v="17994.150000000001"/>
    <x v="1"/>
    <n v="1"/>
    <n v="1"/>
    <n v="0"/>
    <n v="1"/>
    <n v="0"/>
    <n v="1"/>
    <n v="0"/>
    <x v="37"/>
    <x v="58"/>
    <n v="319.82"/>
    <n v="59.18"/>
    <x v="965"/>
    <n v="18.100000000000001"/>
    <n v="28.9"/>
  </r>
  <r>
    <n v="869801588"/>
    <n v="688637"/>
    <n v="6752576"/>
    <n v="9901"/>
    <x v="1"/>
    <n v="50822"/>
    <x v="10"/>
    <x v="231"/>
    <x v="230"/>
    <x v="976"/>
    <x v="986"/>
    <x v="985"/>
    <x v="243"/>
    <s v="TN"/>
    <s v="Nashville"/>
    <s v="IL"/>
    <s v="Aurora"/>
    <x v="0"/>
    <n v="763246"/>
    <s v="101-300"/>
    <n v="300"/>
    <x v="478"/>
    <x v="6"/>
    <n v="297.39999999999998"/>
    <n v="322.2"/>
    <x v="1"/>
    <s v="6.64"/>
    <s v="00:00-05:59"/>
    <x v="1"/>
    <x v="0"/>
    <n v="14"/>
    <n v="0"/>
    <n v="0"/>
    <n v="55"/>
    <n v="0"/>
    <n v="0.73599999999999999"/>
    <n v="0.42699999999999999"/>
    <n v="1000.28"/>
    <x v="0"/>
    <n v="1"/>
    <n v="1"/>
    <n v="0"/>
    <n v="1"/>
    <n v="0"/>
    <n v="1"/>
    <n v="0"/>
    <x v="52"/>
    <x v="75"/>
    <n v="200.8"/>
    <n v="45.94"/>
    <x v="966"/>
    <n v="45.1"/>
    <n v="0"/>
  </r>
  <r>
    <n v="871880418"/>
    <n v="852787"/>
    <n v="6075395"/>
    <n v="7668"/>
    <x v="8"/>
    <n v="52939"/>
    <x v="6"/>
    <x v="299"/>
    <x v="299"/>
    <x v="977"/>
    <x v="987"/>
    <x v="986"/>
    <x v="280"/>
    <s v="CA"/>
    <s v="Los Angeles"/>
    <s v="OH"/>
    <s v="Columbus"/>
    <x v="0"/>
    <n v="752047"/>
    <s v="301-500"/>
    <n v="339"/>
    <x v="243"/>
    <x v="407"/>
    <n v="345.8"/>
    <n v="425.3"/>
    <x v="3"/>
    <s v="5.82"/>
    <s v="06:00-09:59"/>
    <x v="1"/>
    <x v="0"/>
    <n v="-6"/>
    <n v="0"/>
    <n v="0"/>
    <n v="46.8"/>
    <n v="0"/>
    <n v="0.58599999999999997"/>
    <n v="0.53700000000000003"/>
    <n v="2861.32"/>
    <x v="0"/>
    <n v="1"/>
    <n v="1"/>
    <n v="0"/>
    <n v="1"/>
    <n v="0"/>
    <n v="1"/>
    <n v="0"/>
    <x v="114"/>
    <x v="18"/>
    <n v="280.70999999999998"/>
    <n v="64.67"/>
    <x v="967"/>
    <n v="15.7"/>
    <n v="65.3"/>
  </r>
  <r>
    <n v="613962746"/>
    <n v="334053"/>
    <n v="6672134"/>
    <n v="1466"/>
    <x v="5"/>
    <n v="57096"/>
    <x v="0"/>
    <x v="335"/>
    <x v="335"/>
    <x v="978"/>
    <x v="988"/>
    <x v="987"/>
    <x v="34"/>
    <s v="TN"/>
    <s v="Nashville"/>
    <s v="NJ"/>
    <s v="Elizabeth"/>
    <x v="3"/>
    <n v="767844"/>
    <s v="101-300"/>
    <n v="148"/>
    <x v="479"/>
    <x v="361"/>
    <n v="146.5"/>
    <n v="172.3"/>
    <x v="0"/>
    <s v="4.33"/>
    <s v="10:00-13:59"/>
    <x v="5"/>
    <x v="0"/>
    <n v="-12"/>
    <n v="0"/>
    <n v="0"/>
    <n v="68"/>
    <n v="0"/>
    <n v="0.66600000000000004"/>
    <n v="0.85399999999999998"/>
    <n v="5530.8"/>
    <x v="0"/>
    <n v="1"/>
    <n v="1"/>
    <n v="0"/>
    <n v="1"/>
    <n v="0"/>
    <n v="1"/>
    <n v="0"/>
    <x v="1"/>
    <x v="52"/>
    <n v="146.01"/>
    <n v="24.06"/>
    <x v="968"/>
    <n v="28.7"/>
    <n v="49.6"/>
  </r>
  <r>
    <n v="664461415"/>
    <n v="145561"/>
    <n v="2564689"/>
    <n v="1161"/>
    <x v="3"/>
    <n v="55765"/>
    <x v="8"/>
    <x v="171"/>
    <x v="170"/>
    <x v="979"/>
    <x v="989"/>
    <x v="988"/>
    <x v="178"/>
    <s v="IL"/>
    <s v="Peoria"/>
    <s v="AZ"/>
    <s v="Tempe"/>
    <x v="2"/>
    <n v="775527"/>
    <s v="0-100"/>
    <n v="36"/>
    <x v="422"/>
    <x v="220"/>
    <n v="39.5"/>
    <n v="127.5"/>
    <x v="0"/>
    <s v="1.08"/>
    <s v="00:00-05:59"/>
    <x v="5"/>
    <x v="0"/>
    <n v="-25"/>
    <n v="0"/>
    <n v="0"/>
    <n v="79.599999999999994"/>
    <n v="0"/>
    <n v="0.72499999999999998"/>
    <n v="0.33900000000000002"/>
    <n v="4386.88"/>
    <x v="0"/>
    <n v="1"/>
    <n v="1"/>
    <n v="0"/>
    <n v="1"/>
    <n v="0"/>
    <n v="1"/>
    <n v="0"/>
    <x v="46"/>
    <x v="3"/>
    <n v="116.53"/>
    <n v="19.510000000000002"/>
    <x v="969"/>
    <n v="5.6"/>
    <n v="0"/>
  </r>
  <r>
    <n v="541087900"/>
    <n v="584714"/>
    <n v="5004485"/>
    <n v="7938"/>
    <x v="1"/>
    <n v="51031"/>
    <x v="4"/>
    <x v="31"/>
    <x v="31"/>
    <x v="980"/>
    <x v="990"/>
    <x v="989"/>
    <x v="30"/>
    <s v="PA"/>
    <s v="Philadelphia"/>
    <s v="PA"/>
    <s v="Pittsburgh"/>
    <x v="3"/>
    <n v="739365"/>
    <s v="101-300"/>
    <n v="108"/>
    <x v="76"/>
    <x v="135"/>
    <n v="111.3"/>
    <n v="126.4"/>
    <x v="0"/>
    <s v="5.02"/>
    <s v="06:00-09:59"/>
    <x v="0"/>
    <x v="3"/>
    <n v="91"/>
    <n v="0"/>
    <n v="0.8"/>
    <n v="92.9"/>
    <n v="0"/>
    <n v="0.70299999999999996"/>
    <n v="0.63600000000000001"/>
    <n v="4924.1000000000004"/>
    <x v="0"/>
    <n v="1"/>
    <n v="0"/>
    <n v="1"/>
    <n v="0"/>
    <n v="1"/>
    <n v="0"/>
    <n v="1"/>
    <x v="25"/>
    <x v="42"/>
    <n v="104.46"/>
    <n v="12.84"/>
    <x v="970"/>
    <n v="0.2"/>
    <n v="48.4"/>
  </r>
  <r>
    <n v="925884151"/>
    <n v="245051"/>
    <n v="1739653"/>
    <n v="4763"/>
    <x v="7"/>
    <n v="50562"/>
    <x v="1"/>
    <x v="89"/>
    <x v="89"/>
    <x v="981"/>
    <x v="991"/>
    <x v="990"/>
    <x v="88"/>
    <s v="FL"/>
    <s v="Orlando"/>
    <s v="FL"/>
    <s v="Fort Lauderdale"/>
    <x v="1"/>
    <n v="758654"/>
    <s v="101-300"/>
    <n v="270"/>
    <x v="282"/>
    <x v="182"/>
    <n v="270.2"/>
    <n v="334.1"/>
    <x v="0"/>
    <s v="5.64"/>
    <s v="14:00-17:59"/>
    <x v="1"/>
    <x v="0"/>
    <n v="-18"/>
    <n v="77"/>
    <n v="0"/>
    <n v="20.100000000000001"/>
    <n v="0"/>
    <n v="0.82499999999999996"/>
    <n v="0.67500000000000004"/>
    <n v="20901.04"/>
    <x v="1"/>
    <n v="1"/>
    <n v="1"/>
    <n v="0"/>
    <n v="1"/>
    <n v="0"/>
    <n v="1"/>
    <n v="0"/>
    <x v="63"/>
    <x v="23"/>
    <n v="299.58999999999997"/>
    <n v="35.619999999999997"/>
    <x v="971"/>
    <n v="12.9"/>
    <n v="70.2"/>
  </r>
  <r>
    <n v="539625898"/>
    <n v="623481"/>
    <n v="2737893"/>
    <n v="4627"/>
    <x v="3"/>
    <n v="50340"/>
    <x v="7"/>
    <x v="320"/>
    <x v="320"/>
    <x v="982"/>
    <x v="992"/>
    <x v="991"/>
    <x v="180"/>
    <s v="GA"/>
    <s v="Savannah"/>
    <s v="FL"/>
    <s v="Orlando"/>
    <x v="1"/>
    <n v="791104"/>
    <s v="501-1000"/>
    <n v="978"/>
    <x v="480"/>
    <x v="408"/>
    <n v="979"/>
    <n v="1040.2"/>
    <x v="0"/>
    <s v="16.55"/>
    <s v="06:00-09:59"/>
    <x v="4"/>
    <x v="0"/>
    <n v="-72"/>
    <n v="0"/>
    <n v="0"/>
    <n v="64.8"/>
    <n v="0"/>
    <n v="0.67600000000000005"/>
    <n v="0.58199999999999996"/>
    <n v="4827.67"/>
    <x v="0"/>
    <n v="1"/>
    <n v="1"/>
    <n v="0"/>
    <n v="1"/>
    <n v="0"/>
    <n v="1"/>
    <n v="0"/>
    <x v="61"/>
    <x v="50"/>
    <n v="911.81"/>
    <n v="200.3"/>
    <x v="972"/>
    <n v="22.3"/>
    <n v="67.5"/>
  </r>
  <r>
    <n v="984053945"/>
    <n v="555884"/>
    <n v="7907400"/>
    <n v="7287"/>
    <x v="5"/>
    <n v="54567"/>
    <x v="14"/>
    <x v="239"/>
    <x v="238"/>
    <x v="983"/>
    <x v="993"/>
    <x v="992"/>
    <x v="239"/>
    <s v="AZ"/>
    <s v="Flagstaff"/>
    <s v="NJ"/>
    <s v="Trenton"/>
    <x v="3"/>
    <n v="775534"/>
    <s v="0-100"/>
    <n v="75"/>
    <x v="112"/>
    <x v="296"/>
    <n v="77.2"/>
    <n v="109.7"/>
    <x v="0"/>
    <s v="1.37"/>
    <s v="14:00-17:59"/>
    <x v="5"/>
    <x v="0"/>
    <n v="-8"/>
    <n v="0"/>
    <n v="0"/>
    <n v="56"/>
    <n v="0"/>
    <n v="0.59299999999999997"/>
    <n v="0.69299999999999995"/>
    <n v="30681.23"/>
    <x v="2"/>
    <n v="1"/>
    <n v="1"/>
    <n v="0"/>
    <n v="1"/>
    <n v="0"/>
    <n v="1"/>
    <n v="0"/>
    <x v="44"/>
    <x v="100"/>
    <n v="83.81"/>
    <n v="15.38"/>
    <x v="973"/>
    <n v="19.5"/>
    <n v="61"/>
  </r>
  <r>
    <n v="717294720"/>
    <n v="678856"/>
    <n v="7728339"/>
    <n v="8892"/>
    <x v="0"/>
    <n v="57862"/>
    <x v="1"/>
    <x v="206"/>
    <x v="205"/>
    <x v="984"/>
    <x v="994"/>
    <x v="993"/>
    <x v="233"/>
    <s v="AZ"/>
    <s v="Tucson"/>
    <s v="AZ"/>
    <s v="Mesa"/>
    <x v="2"/>
    <n v="742558"/>
    <s v="101-300"/>
    <n v="145"/>
    <x v="481"/>
    <x v="384"/>
    <n v="138.5"/>
    <n v="210.8"/>
    <x v="2"/>
    <s v="6.91"/>
    <s v="14:00-17:59"/>
    <x v="2"/>
    <x v="4"/>
    <n v="230"/>
    <n v="251"/>
    <n v="0.5"/>
    <n v="51"/>
    <n v="0"/>
    <n v="0.878"/>
    <n v="0.65600000000000003"/>
    <n v="3548.36"/>
    <x v="0"/>
    <n v="1"/>
    <n v="0"/>
    <n v="1"/>
    <n v="0"/>
    <n v="1"/>
    <n v="0"/>
    <n v="1"/>
    <x v="51"/>
    <x v="25"/>
    <n v="151.79"/>
    <n v="41.18"/>
    <x v="974"/>
    <n v="8.5"/>
    <n v="0"/>
  </r>
  <r>
    <n v="179189225"/>
    <n v="623481"/>
    <n v="2737893"/>
    <n v="4627"/>
    <x v="3"/>
    <n v="52296"/>
    <x v="10"/>
    <x v="336"/>
    <x v="336"/>
    <x v="985"/>
    <x v="995"/>
    <x v="994"/>
    <x v="79"/>
    <s v="NC"/>
    <s v="Wilmington"/>
    <s v="NY"/>
    <s v="Rochester"/>
    <x v="3"/>
    <n v="789831"/>
    <s v="101-300"/>
    <n v="166"/>
    <x v="285"/>
    <x v="274"/>
    <n v="161.9"/>
    <n v="175.7"/>
    <x v="0"/>
    <s v="2.54"/>
    <s v="06:00-09:59"/>
    <x v="6"/>
    <x v="0"/>
    <n v="-34"/>
    <n v="0"/>
    <n v="1.4"/>
    <n v="30.2"/>
    <n v="0"/>
    <n v="0.65300000000000002"/>
    <n v="0.871"/>
    <n v="13999.91"/>
    <x v="1"/>
    <n v="1"/>
    <n v="1"/>
    <n v="0"/>
    <n v="1"/>
    <n v="0"/>
    <n v="1"/>
    <n v="0"/>
    <x v="13"/>
    <x v="56"/>
    <n v="142.26"/>
    <n v="27.69"/>
    <x v="975"/>
    <n v="22.3"/>
    <n v="80.599999999999994"/>
  </r>
  <r>
    <n v="234568604"/>
    <n v="198246"/>
    <n v="9626108"/>
    <n v="5555"/>
    <x v="0"/>
    <n v="50234"/>
    <x v="4"/>
    <x v="256"/>
    <x v="255"/>
    <x v="986"/>
    <x v="996"/>
    <x v="995"/>
    <x v="256"/>
    <s v="NC"/>
    <s v="Raleigh"/>
    <s v="TN"/>
    <s v="Chattanooga"/>
    <x v="1"/>
    <n v="758990"/>
    <s v="101-300"/>
    <n v="207"/>
    <x v="340"/>
    <x v="212"/>
    <n v="208.4"/>
    <n v="221.1"/>
    <x v="1"/>
    <s v="5.22"/>
    <s v="14:00-17:59"/>
    <x v="1"/>
    <x v="0"/>
    <n v="-13"/>
    <n v="0"/>
    <n v="0"/>
    <n v="57.1"/>
    <n v="0"/>
    <n v="0.71899999999999997"/>
    <n v="0.67600000000000005"/>
    <n v="6221.72"/>
    <x v="1"/>
    <n v="1"/>
    <n v="1"/>
    <n v="0"/>
    <n v="1"/>
    <n v="0"/>
    <n v="1"/>
    <n v="0"/>
    <x v="26"/>
    <x v="40"/>
    <n v="172.47"/>
    <n v="43.49"/>
    <x v="976"/>
    <n v="11.5"/>
    <n v="1.7"/>
  </r>
  <r>
    <n v="440405868"/>
    <n v="816751"/>
    <n v="3011363"/>
    <n v="9996"/>
    <x v="7"/>
    <n v="55202"/>
    <x v="7"/>
    <x v="321"/>
    <x v="321"/>
    <x v="987"/>
    <x v="997"/>
    <x v="996"/>
    <x v="324"/>
    <s v="MO"/>
    <s v="Springfield"/>
    <s v="MO"/>
    <s v="Springfield"/>
    <x v="0"/>
    <n v="774798"/>
    <s v="0-100"/>
    <n v="105"/>
    <x v="384"/>
    <x v="244"/>
    <n v="102.3"/>
    <n v="140.80000000000001"/>
    <x v="0"/>
    <s v="2.51"/>
    <s v="14:00-17:59"/>
    <x v="6"/>
    <x v="0"/>
    <n v="-10"/>
    <n v="86"/>
    <n v="0"/>
    <n v="24.6"/>
    <n v="0"/>
    <n v="0.80400000000000005"/>
    <n v="0.51700000000000002"/>
    <n v="4047.91"/>
    <x v="0"/>
    <n v="1"/>
    <n v="1"/>
    <n v="0"/>
    <n v="1"/>
    <n v="0"/>
    <n v="1"/>
    <n v="0"/>
    <x v="63"/>
    <x v="59"/>
    <n v="88.39"/>
    <n v="25.29"/>
    <x v="977"/>
    <n v="13.3"/>
    <n v="25.9"/>
  </r>
  <r>
    <n v="789705810"/>
    <n v="265840"/>
    <n v="5163555"/>
    <n v="9800"/>
    <x v="0"/>
    <n v="59308"/>
    <x v="11"/>
    <x v="85"/>
    <x v="85"/>
    <x v="988"/>
    <x v="998"/>
    <x v="997"/>
    <x v="84"/>
    <s v="MI"/>
    <s v="Ann Arbor"/>
    <s v="NJ"/>
    <s v="Paterson"/>
    <x v="3"/>
    <n v="742039"/>
    <s v="101-300"/>
    <n v="158"/>
    <x v="216"/>
    <x v="35"/>
    <n v="174.7"/>
    <n v="235.7"/>
    <x v="0"/>
    <s v="7.18"/>
    <s v="10:00-13:59"/>
    <x v="5"/>
    <x v="3"/>
    <n v="131"/>
    <n v="0"/>
    <n v="0"/>
    <n v="81.7"/>
    <n v="0"/>
    <n v="0.56299999999999994"/>
    <n v="0.76800000000000002"/>
    <n v="4217.67"/>
    <x v="0"/>
    <n v="1"/>
    <n v="0"/>
    <n v="1"/>
    <n v="0"/>
    <n v="1"/>
    <n v="0"/>
    <n v="1"/>
    <x v="67"/>
    <x v="67"/>
    <n v="213.82"/>
    <n v="29.26"/>
    <x v="978"/>
    <n v="14.9"/>
    <n v="0"/>
  </r>
  <r>
    <n v="179634081"/>
    <n v="590785"/>
    <n v="6171716"/>
    <n v="6172"/>
    <x v="6"/>
    <n v="59609"/>
    <x v="8"/>
    <x v="326"/>
    <x v="326"/>
    <x v="989"/>
    <x v="999"/>
    <x v="998"/>
    <x v="234"/>
    <s v="CA"/>
    <s v="San Diego"/>
    <s v="CO"/>
    <s v="Pueblo"/>
    <x v="2"/>
    <n v="728940"/>
    <s v="301-500"/>
    <n v="458"/>
    <x v="2"/>
    <x v="48"/>
    <n v="458.8"/>
    <n v="515.29999999999995"/>
    <x v="2"/>
    <s v="11.65"/>
    <s v="06:00-09:59"/>
    <x v="4"/>
    <x v="0"/>
    <n v="-18"/>
    <n v="0"/>
    <n v="1.5"/>
    <n v="35"/>
    <n v="0"/>
    <n v="0.76200000000000001"/>
    <n v="0.60499999999999998"/>
    <n v="6448.8"/>
    <x v="0"/>
    <n v="1"/>
    <n v="1"/>
    <n v="0"/>
    <n v="1"/>
    <n v="0"/>
    <n v="1"/>
    <n v="0"/>
    <x v="69"/>
    <x v="50"/>
    <n v="407.64"/>
    <n v="79.22"/>
    <x v="979"/>
    <n v="24.4"/>
    <n v="5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E84B0-B10B-4313-AB89-2F04F8655939}" name="PivotTable2" cacheId="2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7" firstHeaderRow="1" firstDataRow="3" firstDataCol="0"/>
  <pivotFields count="66">
    <pivotField showAll="0"/>
    <pivotField showAll="0"/>
    <pivotField showAll="0"/>
    <pivotField showAll="0"/>
    <pivotField axis="axisCol" showAll="0">
      <items count="11">
        <item h="1" x="9"/>
        <item h="1" x="1"/>
        <item x="2"/>
        <item h="1" x="8"/>
        <item h="1" x="3"/>
        <item h="1" x="5"/>
        <item h="1" x="7"/>
        <item h="1" x="6"/>
        <item h="1" x="4"/>
        <item h="1" x="0"/>
        <item t="default"/>
      </items>
    </pivotField>
    <pivotField multipleItemSelectionAllowed="1" showAll="0"/>
    <pivotField showAll="0"/>
    <pivotField numFmtId="14"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numFmtId="14"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numFmtId="22"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numFmtId="22"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numFmtId="22"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numFmtId="14"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2">
    <field x="4"/>
    <field x="-2"/>
  </colFields>
  <colItems count="6">
    <i>
      <x v="2"/>
      <x/>
    </i>
    <i r="1" i="1">
      <x v="1"/>
    </i>
    <i r="1" i="2">
      <x v="2"/>
    </i>
    <i t="grand">
      <x/>
    </i>
    <i t="grand" i="1">
      <x/>
    </i>
    <i t="grand" i="2">
      <x/>
    </i>
  </colItems>
  <dataFields count="3">
    <dataField name="Sum of total_shipments" fld="39" baseField="0" baseItem="0"/>
    <dataField name="Sum of on_time_count" fld="42" baseField="0" baseItem="0"/>
    <dataField name="Sum of Late_count" fld="43" baseField="0" baseItem="0"/>
  </dataFields>
  <chartFormats count="3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1"/>
          </reference>
          <reference field="4" count="1" selected="0">
            <x v="0"/>
          </reference>
        </references>
      </pivotArea>
    </chartFormat>
    <chartFormat chart="0" format="2" series="1">
      <pivotArea type="data" outline="0" fieldPosition="0">
        <references count="2">
          <reference field="4294967294" count="1" selected="0">
            <x v="2"/>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2">
          <reference field="4294967294" count="1" selected="0">
            <x v="1"/>
          </reference>
          <reference field="4" count="1" selected="0">
            <x v="1"/>
          </reference>
        </references>
      </pivotArea>
    </chartFormat>
    <chartFormat chart="0" format="5" series="1">
      <pivotArea type="data" outline="0" fieldPosition="0">
        <references count="2">
          <reference field="4294967294" count="1" selected="0">
            <x v="2"/>
          </reference>
          <reference field="4" count="1" selected="0">
            <x v="1"/>
          </reference>
        </references>
      </pivotArea>
    </chartFormat>
    <chartFormat chart="0" format="6" series="1">
      <pivotArea type="data" outline="0" fieldPosition="0">
        <references count="2">
          <reference field="4294967294" count="1" selected="0">
            <x v="0"/>
          </reference>
          <reference field="4" count="1" selected="0">
            <x v="2"/>
          </reference>
        </references>
      </pivotArea>
    </chartFormat>
    <chartFormat chart="0" format="7" series="1">
      <pivotArea type="data" outline="0" fieldPosition="0">
        <references count="2">
          <reference field="4294967294" count="1" selected="0">
            <x v="1"/>
          </reference>
          <reference field="4" count="1" selected="0">
            <x v="2"/>
          </reference>
        </references>
      </pivotArea>
    </chartFormat>
    <chartFormat chart="0" format="8" series="1">
      <pivotArea type="data" outline="0" fieldPosition="0">
        <references count="2">
          <reference field="4294967294" count="1" selected="0">
            <x v="2"/>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3"/>
          </reference>
        </references>
      </pivotArea>
    </chartFormat>
    <chartFormat chart="0" format="10" series="1">
      <pivotArea type="data" outline="0" fieldPosition="0">
        <references count="2">
          <reference field="4294967294" count="1" selected="0">
            <x v="1"/>
          </reference>
          <reference field="4" count="1" selected="0">
            <x v="3"/>
          </reference>
        </references>
      </pivotArea>
    </chartFormat>
    <chartFormat chart="0" format="11" series="1">
      <pivotArea type="data" outline="0" fieldPosition="0">
        <references count="2">
          <reference field="4294967294" count="1" selected="0">
            <x v="2"/>
          </reference>
          <reference field="4" count="1" selected="0">
            <x v="3"/>
          </reference>
        </references>
      </pivotArea>
    </chartFormat>
    <chartFormat chart="0" format="12" series="1">
      <pivotArea type="data" outline="0" fieldPosition="0">
        <references count="2">
          <reference field="4294967294" count="1" selected="0">
            <x v="0"/>
          </reference>
          <reference field="4" count="1" selected="0">
            <x v="4"/>
          </reference>
        </references>
      </pivotArea>
    </chartFormat>
    <chartFormat chart="0" format="13" series="1">
      <pivotArea type="data" outline="0" fieldPosition="0">
        <references count="2">
          <reference field="4294967294" count="1" selected="0">
            <x v="1"/>
          </reference>
          <reference field="4" count="1" selected="0">
            <x v="4"/>
          </reference>
        </references>
      </pivotArea>
    </chartFormat>
    <chartFormat chart="0" format="14" series="1">
      <pivotArea type="data" outline="0" fieldPosition="0">
        <references count="2">
          <reference field="4294967294" count="1" selected="0">
            <x v="2"/>
          </reference>
          <reference field="4" count="1" selected="0">
            <x v="4"/>
          </reference>
        </references>
      </pivotArea>
    </chartFormat>
    <chartFormat chart="0" format="15" series="1">
      <pivotArea type="data" outline="0" fieldPosition="0">
        <references count="2">
          <reference field="4294967294" count="1" selected="0">
            <x v="0"/>
          </reference>
          <reference field="4" count="1" selected="0">
            <x v="5"/>
          </reference>
        </references>
      </pivotArea>
    </chartFormat>
    <chartFormat chart="0" format="16" series="1">
      <pivotArea type="data" outline="0" fieldPosition="0">
        <references count="2">
          <reference field="4294967294" count="1" selected="0">
            <x v="1"/>
          </reference>
          <reference field="4" count="1" selected="0">
            <x v="5"/>
          </reference>
        </references>
      </pivotArea>
    </chartFormat>
    <chartFormat chart="0" format="17" series="1">
      <pivotArea type="data" outline="0" fieldPosition="0">
        <references count="2">
          <reference field="4294967294" count="1" selected="0">
            <x v="2"/>
          </reference>
          <reference field="4" count="1" selected="0">
            <x v="5"/>
          </reference>
        </references>
      </pivotArea>
    </chartFormat>
    <chartFormat chart="0" format="18" series="1">
      <pivotArea type="data" outline="0" fieldPosition="0">
        <references count="2">
          <reference field="4294967294" count="1" selected="0">
            <x v="0"/>
          </reference>
          <reference field="4" count="1" selected="0">
            <x v="6"/>
          </reference>
        </references>
      </pivotArea>
    </chartFormat>
    <chartFormat chart="0" format="19" series="1">
      <pivotArea type="data" outline="0" fieldPosition="0">
        <references count="2">
          <reference field="4294967294" count="1" selected="0">
            <x v="1"/>
          </reference>
          <reference field="4" count="1" selected="0">
            <x v="6"/>
          </reference>
        </references>
      </pivotArea>
    </chartFormat>
    <chartFormat chart="0" format="20" series="1">
      <pivotArea type="data" outline="0" fieldPosition="0">
        <references count="2">
          <reference field="4294967294" count="1" selected="0">
            <x v="2"/>
          </reference>
          <reference field="4" count="1" selected="0">
            <x v="6"/>
          </reference>
        </references>
      </pivotArea>
    </chartFormat>
    <chartFormat chart="0" format="21" series="1">
      <pivotArea type="data" outline="0" fieldPosition="0">
        <references count="2">
          <reference field="4294967294" count="1" selected="0">
            <x v="0"/>
          </reference>
          <reference field="4" count="1" selected="0">
            <x v="7"/>
          </reference>
        </references>
      </pivotArea>
    </chartFormat>
    <chartFormat chart="0" format="22" series="1">
      <pivotArea type="data" outline="0" fieldPosition="0">
        <references count="2">
          <reference field="4294967294" count="1" selected="0">
            <x v="1"/>
          </reference>
          <reference field="4" count="1" selected="0">
            <x v="7"/>
          </reference>
        </references>
      </pivotArea>
    </chartFormat>
    <chartFormat chart="0" format="23" series="1">
      <pivotArea type="data" outline="0" fieldPosition="0">
        <references count="2">
          <reference field="4294967294" count="1" selected="0">
            <x v="2"/>
          </reference>
          <reference field="4" count="1" selected="0">
            <x v="7"/>
          </reference>
        </references>
      </pivotArea>
    </chartFormat>
    <chartFormat chart="0" format="24" series="1">
      <pivotArea type="data" outline="0" fieldPosition="0">
        <references count="2">
          <reference field="4294967294" count="1" selected="0">
            <x v="0"/>
          </reference>
          <reference field="4" count="1" selected="0">
            <x v="8"/>
          </reference>
        </references>
      </pivotArea>
    </chartFormat>
    <chartFormat chart="0" format="25" series="1">
      <pivotArea type="data" outline="0" fieldPosition="0">
        <references count="2">
          <reference field="4294967294" count="1" selected="0">
            <x v="1"/>
          </reference>
          <reference field="4" count="1" selected="0">
            <x v="8"/>
          </reference>
        </references>
      </pivotArea>
    </chartFormat>
    <chartFormat chart="0" format="26" series="1">
      <pivotArea type="data" outline="0" fieldPosition="0">
        <references count="2">
          <reference field="4294967294" count="1" selected="0">
            <x v="2"/>
          </reference>
          <reference field="4" count="1" selected="0">
            <x v="8"/>
          </reference>
        </references>
      </pivotArea>
    </chartFormat>
    <chartFormat chart="0" format="27" series="1">
      <pivotArea type="data" outline="0" fieldPosition="0">
        <references count="2">
          <reference field="4294967294" count="1" selected="0">
            <x v="0"/>
          </reference>
          <reference field="4" count="1" selected="0">
            <x v="9"/>
          </reference>
        </references>
      </pivotArea>
    </chartFormat>
    <chartFormat chart="0" format="28" series="1">
      <pivotArea type="data" outline="0" fieldPosition="0">
        <references count="2">
          <reference field="4294967294" count="1" selected="0">
            <x v="1"/>
          </reference>
          <reference field="4" count="1" selected="0">
            <x v="9"/>
          </reference>
        </references>
      </pivotArea>
    </chartFormat>
    <chartFormat chart="0" format="29" series="1">
      <pivotArea type="data" outline="0" fieldPosition="0">
        <references count="2">
          <reference field="4294967294" count="1" selected="0">
            <x v="2"/>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D493C-3812-4A94-9E04-EC6D40ABDFB4}" name="PivotTable1" cacheId="2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1" firstHeaderRow="0" firstDataRow="1" firstDataCol="1" rowPageCount="1" colPageCount="1"/>
  <pivotFields count="6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compact="0" numFmtId="14" outline="0"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compact="0" numFmtId="22" outline="0"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compact="0" numFmtId="22" outline="0"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compact="0" numFmtId="22" outline="0"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compact="0" numFmtId="14" outline="0"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6">
        <item x="0"/>
        <item x="3"/>
        <item x="1"/>
        <item x="2"/>
        <item x="4"/>
        <item t="default"/>
      </items>
    </pivotField>
    <pivotField compact="0" outline="0" showAll="0"/>
    <pivotField compact="0" outline="0" showAll="0"/>
    <pivotField axis="axisRow" compact="0" outline="0" showAll="0">
      <items count="8">
        <item x="3"/>
        <item x="2"/>
        <item x="0"/>
        <item x="4"/>
        <item x="5"/>
        <item x="6"/>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116">
        <item x="97"/>
        <item x="101"/>
        <item x="57"/>
        <item x="103"/>
        <item x="100"/>
        <item x="87"/>
        <item x="107"/>
        <item x="102"/>
        <item x="74"/>
        <item x="110"/>
        <item x="86"/>
        <item x="72"/>
        <item x="92"/>
        <item x="79"/>
        <item x="23"/>
        <item x="2"/>
        <item x="80"/>
        <item x="7"/>
        <item x="44"/>
        <item x="96"/>
        <item x="10"/>
        <item x="19"/>
        <item x="83"/>
        <item x="21"/>
        <item x="99"/>
        <item x="85"/>
        <item x="28"/>
        <item x="25"/>
        <item x="16"/>
        <item x="76"/>
        <item x="63"/>
        <item x="0"/>
        <item x="109"/>
        <item x="81"/>
        <item x="26"/>
        <item x="55"/>
        <item x="30"/>
        <item x="68"/>
        <item x="9"/>
        <item x="3"/>
        <item x="70"/>
        <item x="8"/>
        <item x="37"/>
        <item x="50"/>
        <item x="62"/>
        <item x="18"/>
        <item x="24"/>
        <item x="27"/>
        <item x="13"/>
        <item x="58"/>
        <item x="32"/>
        <item x="52"/>
        <item x="17"/>
        <item x="14"/>
        <item x="22"/>
        <item x="46"/>
        <item x="1"/>
        <item x="61"/>
        <item x="42"/>
        <item x="12"/>
        <item x="5"/>
        <item x="65"/>
        <item x="20"/>
        <item x="6"/>
        <item x="67"/>
        <item x="43"/>
        <item x="39"/>
        <item x="51"/>
        <item x="33"/>
        <item x="56"/>
        <item x="59"/>
        <item x="4"/>
        <item x="54"/>
        <item x="31"/>
        <item x="35"/>
        <item x="108"/>
        <item x="11"/>
        <item x="40"/>
        <item x="48"/>
        <item x="41"/>
        <item x="95"/>
        <item x="45"/>
        <item x="69"/>
        <item x="77"/>
        <item x="38"/>
        <item x="60"/>
        <item x="53"/>
        <item x="104"/>
        <item x="47"/>
        <item x="15"/>
        <item x="112"/>
        <item x="75"/>
        <item x="49"/>
        <item x="91"/>
        <item x="90"/>
        <item x="64"/>
        <item x="34"/>
        <item x="114"/>
        <item x="94"/>
        <item x="88"/>
        <item x="84"/>
        <item x="29"/>
        <item x="73"/>
        <item x="71"/>
        <item x="89"/>
        <item x="66"/>
        <item x="78"/>
        <item x="111"/>
        <item x="105"/>
        <item x="93"/>
        <item x="113"/>
        <item x="106"/>
        <item x="82"/>
        <item x="36"/>
        <item x="98"/>
        <item t="default"/>
      </items>
    </pivotField>
    <pivotField compact="0" outline="0" showAll="0">
      <items count="108">
        <item x="81"/>
        <item x="99"/>
        <item x="84"/>
        <item x="106"/>
        <item x="83"/>
        <item x="54"/>
        <item x="70"/>
        <item x="100"/>
        <item x="57"/>
        <item x="21"/>
        <item x="87"/>
        <item x="95"/>
        <item x="19"/>
        <item x="27"/>
        <item x="2"/>
        <item x="45"/>
        <item x="11"/>
        <item x="73"/>
        <item x="66"/>
        <item x="93"/>
        <item x="59"/>
        <item x="40"/>
        <item x="65"/>
        <item x="74"/>
        <item x="41"/>
        <item x="24"/>
        <item x="23"/>
        <item x="75"/>
        <item x="77"/>
        <item x="10"/>
        <item x="29"/>
        <item x="63"/>
        <item x="88"/>
        <item x="13"/>
        <item x="67"/>
        <item x="4"/>
        <item x="8"/>
        <item x="37"/>
        <item x="31"/>
        <item x="42"/>
        <item x="30"/>
        <item x="16"/>
        <item x="36"/>
        <item x="38"/>
        <item x="0"/>
        <item x="17"/>
        <item x="52"/>
        <item x="25"/>
        <item x="6"/>
        <item x="49"/>
        <item x="46"/>
        <item x="22"/>
        <item x="5"/>
        <item x="26"/>
        <item x="56"/>
        <item x="9"/>
        <item x="58"/>
        <item x="18"/>
        <item x="85"/>
        <item x="35"/>
        <item x="3"/>
        <item x="50"/>
        <item x="61"/>
        <item x="48"/>
        <item x="69"/>
        <item x="91"/>
        <item x="1"/>
        <item x="68"/>
        <item x="7"/>
        <item x="14"/>
        <item x="82"/>
        <item x="32"/>
        <item x="33"/>
        <item x="20"/>
        <item x="12"/>
        <item x="89"/>
        <item x="96"/>
        <item x="55"/>
        <item x="15"/>
        <item x="39"/>
        <item x="101"/>
        <item x="76"/>
        <item x="47"/>
        <item x="34"/>
        <item x="62"/>
        <item x="72"/>
        <item x="44"/>
        <item x="43"/>
        <item x="90"/>
        <item x="102"/>
        <item x="71"/>
        <item x="104"/>
        <item x="51"/>
        <item x="78"/>
        <item x="94"/>
        <item x="64"/>
        <item x="105"/>
        <item x="53"/>
        <item x="86"/>
        <item x="80"/>
        <item x="28"/>
        <item x="98"/>
        <item x="92"/>
        <item x="103"/>
        <item x="97"/>
        <item x="79"/>
        <item x="60"/>
        <item t="default"/>
      </items>
    </pivotField>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dataField="1" compact="0" outline="0" showAll="0">
      <items count="5">
        <item x="0"/>
        <item x="1"/>
        <item h="1" x="2"/>
        <item h="1" x="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8"/>
  </rowFields>
  <rowItems count="8">
    <i>
      <x/>
    </i>
    <i>
      <x v="1"/>
    </i>
    <i>
      <x v="2"/>
    </i>
    <i>
      <x v="3"/>
    </i>
    <i>
      <x v="4"/>
    </i>
    <i>
      <x v="5"/>
    </i>
    <i>
      <x v="6"/>
    </i>
    <i t="grand">
      <x/>
    </i>
  </rowItems>
  <colFields count="1">
    <field x="-2"/>
  </colFields>
  <colItems count="3">
    <i>
      <x/>
    </i>
    <i i="1">
      <x v="1"/>
    </i>
    <i i="2">
      <x v="2"/>
    </i>
  </colItems>
  <pageFields count="1">
    <pageField fld="25" hier="-1"/>
  </pageFields>
  <dataFields count="3">
    <dataField name="Sum of shipment_value_usd" fld="37" baseField="0" baseItem="0"/>
    <dataField name="Count of Years (scheduled_delivery_datetime)" fld="61" subtotal="count" baseField="0" baseItem="0"/>
    <dataField name="Sum of cost_per_mile" fld="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D13A8-D6A6-49BA-B85C-35FA6229F999}" name="PivotTable2" cacheId="2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E9" firstHeaderRow="1" firstDataRow="2" firstDataCol="1"/>
  <pivotFields count="6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compact="0" numFmtId="14" outline="0"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compact="0" numFmtId="22" outline="0"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compact="0" numFmtId="22" outline="0"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compact="0" numFmtId="22" outline="0"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compact="0" numFmtId="14" outline="0"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5"/>
  </rowFields>
  <rowItems count="6">
    <i>
      <x/>
    </i>
    <i>
      <x v="1"/>
    </i>
    <i>
      <x v="2"/>
    </i>
    <i>
      <x v="3"/>
    </i>
    <i>
      <x v="4"/>
    </i>
    <i t="grand">
      <x/>
    </i>
  </rowItems>
  <colFields count="1">
    <field x="38"/>
  </colFields>
  <colItems count="4">
    <i>
      <x/>
    </i>
    <i>
      <x v="1"/>
    </i>
    <i>
      <x v="2"/>
    </i>
    <i t="grand">
      <x/>
    </i>
  </colItems>
  <dataFields count="1">
    <dataField name="Average of variable_cost_per_mile" fld="47" subtotal="average" baseField="0" baseItem="0"/>
  </dataFields>
  <chartFormats count="3">
    <chartFormat chart="0" format="0" series="1">
      <pivotArea type="data" outline="0" fieldPosition="0">
        <references count="2">
          <reference field="4294967294" count="1" selected="0">
            <x v="0"/>
          </reference>
          <reference field="38" count="1" selected="0">
            <x v="0"/>
          </reference>
        </references>
      </pivotArea>
    </chartFormat>
    <chartFormat chart="0" format="1" series="1">
      <pivotArea type="data" outline="0" fieldPosition="0">
        <references count="2">
          <reference field="4294967294" count="1" selected="0">
            <x v="0"/>
          </reference>
          <reference field="38" count="1" selected="0">
            <x v="1"/>
          </reference>
        </references>
      </pivotArea>
    </chartFormat>
    <chartFormat chart="0" format="2" series="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56F360-96F3-4DAB-86EA-43691A2A60FC}" name="PivotTable3" cacheId="22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C4:D10" firstHeaderRow="1" firstDataRow="1" firstDataCol="1"/>
  <pivotFields count="6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compact="0" numFmtId="14" outline="0"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compact="0" numFmtId="22" outline="0"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compact="0" numFmtId="22" outline="0"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compact="0" numFmtId="22" outline="0"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compact="0" numFmtId="14" outline="0"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9"/>
  </rowFields>
  <rowItems count="6">
    <i>
      <x v="1"/>
    </i>
    <i>
      <x/>
    </i>
    <i>
      <x v="3"/>
    </i>
    <i>
      <x v="4"/>
    </i>
    <i>
      <x v="2"/>
    </i>
    <i t="grand">
      <x/>
    </i>
  </rowItems>
  <colItems count="1">
    <i/>
  </colItems>
  <dataFields count="1">
    <dataField name="Sum of detention_minutes" fld="31"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3423F8-F92E-4A45-9F46-5537719552F4}" name="PivotTable5" cacheId="2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C4:D9" firstHeaderRow="1" firstDataRow="1" firstDataCol="1"/>
  <pivotFields count="66">
    <pivotField compact="0" outline="0" showAll="0"/>
    <pivotField compact="0" outline="0" showAll="0"/>
    <pivotField compact="0" outline="0" showAll="0"/>
    <pivotField compact="0" outline="0" showAll="0"/>
    <pivotField compact="0" outline="0" showAll="0">
      <items count="11">
        <item x="9"/>
        <item x="1"/>
        <item x="2"/>
        <item x="8"/>
        <item x="3"/>
        <item x="5"/>
        <item x="7"/>
        <item x="6"/>
        <item x="4"/>
        <item x="0"/>
        <item t="default"/>
      </items>
    </pivotField>
    <pivotField compact="0" outline="0" showAll="0"/>
    <pivotField compact="0" outline="0" showAll="0">
      <items count="16">
        <item x="6"/>
        <item x="9"/>
        <item x="0"/>
        <item x="2"/>
        <item x="11"/>
        <item x="14"/>
        <item x="10"/>
        <item x="5"/>
        <item x="8"/>
        <item x="12"/>
        <item x="13"/>
        <item x="1"/>
        <item x="4"/>
        <item x="3"/>
        <item x="7"/>
        <item t="default"/>
      </items>
    </pivotField>
    <pivotField compact="0" numFmtId="14" outline="0"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compact="0" numFmtId="14" outline="0"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compact="0" numFmtId="22" outline="0"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compact="0" numFmtId="22" outline="0"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compact="0" numFmtId="22" outline="0"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compact="0" numFmtId="14" outline="0"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compact="0" outline="0" showAll="0"/>
    <pivotField compact="0" outline="0" showAll="0"/>
    <pivotField compact="0" outline="0" showAll="0"/>
    <pivotField compact="0" outline="0" showAll="0"/>
    <pivotField axis="axisRow" compact="0" outline="0" showAll="0">
      <items count="5">
        <item x="0"/>
        <item x="3"/>
        <item x="1"/>
        <item x="2"/>
        <item t="default"/>
      </items>
    </pivotField>
    <pivotField compact="0" outline="0" showAll="0"/>
    <pivotField compact="0" outline="0" showAll="0"/>
    <pivotField compact="0" outline="0" showAll="0"/>
    <pivotField compact="0" outline="0" showAll="0">
      <items count="483">
        <item x="299"/>
        <item x="337"/>
        <item x="417"/>
        <item x="430"/>
        <item x="439"/>
        <item x="458"/>
        <item x="349"/>
        <item x="388"/>
        <item x="29"/>
        <item x="370"/>
        <item x="126"/>
        <item x="397"/>
        <item x="286"/>
        <item x="225"/>
        <item x="27"/>
        <item x="229"/>
        <item x="285"/>
        <item x="91"/>
        <item x="93"/>
        <item x="445"/>
        <item x="135"/>
        <item x="362"/>
        <item x="160"/>
        <item x="272"/>
        <item x="98"/>
        <item x="180"/>
        <item x="437"/>
        <item x="340"/>
        <item x="147"/>
        <item x="438"/>
        <item x="73"/>
        <item x="365"/>
        <item x="63"/>
        <item x="446"/>
        <item x="254"/>
        <item x="34"/>
        <item x="187"/>
        <item x="189"/>
        <item x="113"/>
        <item x="401"/>
        <item x="376"/>
        <item x="237"/>
        <item x="304"/>
        <item x="219"/>
        <item x="56"/>
        <item x="261"/>
        <item x="191"/>
        <item x="276"/>
        <item x="226"/>
        <item x="395"/>
        <item x="205"/>
        <item x="55"/>
        <item x="284"/>
        <item x="456"/>
        <item x="186"/>
        <item x="454"/>
        <item x="103"/>
        <item x="76"/>
        <item x="257"/>
        <item x="59"/>
        <item x="231"/>
        <item x="208"/>
        <item x="447"/>
        <item x="202"/>
        <item x="398"/>
        <item x="61"/>
        <item x="280"/>
        <item x="41"/>
        <item x="470"/>
        <item x="11"/>
        <item x="54"/>
        <item x="150"/>
        <item x="67"/>
        <item x="114"/>
        <item x="101"/>
        <item x="33"/>
        <item x="465"/>
        <item x="97"/>
        <item x="142"/>
        <item x="316"/>
        <item x="455"/>
        <item x="236"/>
        <item x="62"/>
        <item x="199"/>
        <item x="66"/>
        <item x="159"/>
        <item x="134"/>
        <item x="426"/>
        <item x="0"/>
        <item x="479"/>
        <item x="345"/>
        <item x="325"/>
        <item x="203"/>
        <item x="431"/>
        <item x="121"/>
        <item x="20"/>
        <item x="30"/>
        <item x="38"/>
        <item x="5"/>
        <item x="15"/>
        <item x="161"/>
        <item x="84"/>
        <item x="112"/>
        <item x="183"/>
        <item x="269"/>
        <item x="303"/>
        <item x="409"/>
        <item x="155"/>
        <item x="46"/>
        <item x="118"/>
        <item x="287"/>
        <item x="427"/>
        <item x="248"/>
        <item x="94"/>
        <item x="74"/>
        <item x="424"/>
        <item x="258"/>
        <item x="278"/>
        <item x="291"/>
        <item x="477"/>
        <item x="400"/>
        <item x="306"/>
        <item x="80"/>
        <item x="89"/>
        <item x="169"/>
        <item x="357"/>
        <item x="213"/>
        <item x="204"/>
        <item x="166"/>
        <item x="390"/>
        <item x="246"/>
        <item x="120"/>
        <item x="250"/>
        <item x="90"/>
        <item x="277"/>
        <item x="104"/>
        <item x="88"/>
        <item x="53"/>
        <item x="85"/>
        <item x="137"/>
        <item x="396"/>
        <item x="36"/>
        <item x="70"/>
        <item x="145"/>
        <item x="139"/>
        <item x="185"/>
        <item x="194"/>
        <item x="131"/>
        <item x="368"/>
        <item x="153"/>
        <item x="240"/>
        <item x="293"/>
        <item x="107"/>
        <item x="221"/>
        <item x="425"/>
        <item x="190"/>
        <item x="96"/>
        <item x="352"/>
        <item x="48"/>
        <item x="164"/>
        <item x="452"/>
        <item x="330"/>
        <item x="117"/>
        <item x="9"/>
        <item x="195"/>
        <item x="270"/>
        <item x="391"/>
        <item x="367"/>
        <item x="271"/>
        <item x="238"/>
        <item x="380"/>
        <item x="136"/>
        <item x="31"/>
        <item x="71"/>
        <item x="132"/>
        <item x="28"/>
        <item x="406"/>
        <item x="234"/>
        <item x="8"/>
        <item x="111"/>
        <item x="339"/>
        <item x="184"/>
        <item x="450"/>
        <item x="255"/>
        <item x="6"/>
        <item x="218"/>
        <item x="318"/>
        <item x="162"/>
        <item x="459"/>
        <item x="158"/>
        <item x="308"/>
        <item x="170"/>
        <item x="143"/>
        <item x="209"/>
        <item x="385"/>
        <item x="95"/>
        <item x="125"/>
        <item x="296"/>
        <item x="413"/>
        <item x="247"/>
        <item x="163"/>
        <item x="176"/>
        <item x="292"/>
        <item x="110"/>
        <item x="116"/>
        <item x="402"/>
        <item x="122"/>
        <item x="392"/>
        <item x="52"/>
        <item x="262"/>
        <item x="16"/>
        <item x="423"/>
        <item x="200"/>
        <item x="372"/>
        <item x="152"/>
        <item x="404"/>
        <item x="243"/>
        <item x="35"/>
        <item x="463"/>
        <item x="317"/>
        <item x="478"/>
        <item x="321"/>
        <item x="461"/>
        <item x="3"/>
        <item x="156"/>
        <item x="72"/>
        <item x="384"/>
        <item x="338"/>
        <item x="420"/>
        <item x="344"/>
        <item x="333"/>
        <item x="327"/>
        <item x="216"/>
        <item x="223"/>
        <item x="405"/>
        <item x="211"/>
        <item x="19"/>
        <item x="312"/>
        <item x="75"/>
        <item x="168"/>
        <item x="57"/>
        <item x="300"/>
        <item x="207"/>
        <item x="412"/>
        <item x="448"/>
        <item x="466"/>
        <item x="7"/>
        <item x="249"/>
        <item x="17"/>
        <item x="343"/>
        <item x="386"/>
        <item x="235"/>
        <item x="83"/>
        <item x="21"/>
        <item x="298"/>
        <item x="37"/>
        <item x="353"/>
        <item x="265"/>
        <item x="22"/>
        <item x="165"/>
        <item x="273"/>
        <item x="1"/>
        <item x="215"/>
        <item x="389"/>
        <item x="295"/>
        <item x="252"/>
        <item x="453"/>
        <item x="369"/>
        <item x="92"/>
        <item x="193"/>
        <item x="383"/>
        <item x="253"/>
        <item x="379"/>
        <item x="228"/>
        <item x="387"/>
        <item x="77"/>
        <item x="260"/>
        <item x="432"/>
        <item x="373"/>
        <item x="105"/>
        <item x="364"/>
        <item x="129"/>
        <item x="49"/>
        <item x="144"/>
        <item x="403"/>
        <item x="217"/>
        <item x="115"/>
        <item x="393"/>
        <item x="329"/>
        <item x="79"/>
        <item x="377"/>
        <item x="279"/>
        <item x="106"/>
        <item x="44"/>
        <item x="361"/>
        <item x="328"/>
        <item x="326"/>
        <item x="40"/>
        <item x="462"/>
        <item x="323"/>
        <item x="128"/>
        <item x="123"/>
        <item x="309"/>
        <item x="182"/>
        <item x="399"/>
        <item x="294"/>
        <item x="283"/>
        <item x="322"/>
        <item x="25"/>
        <item x="149"/>
        <item x="32"/>
        <item x="245"/>
        <item x="472"/>
        <item x="119"/>
        <item x="10"/>
        <item x="290"/>
        <item x="324"/>
        <item x="172"/>
        <item x="124"/>
        <item x="222"/>
        <item x="315"/>
        <item x="60"/>
        <item x="138"/>
        <item x="346"/>
        <item x="230"/>
        <item x="2"/>
        <item x="355"/>
        <item x="167"/>
        <item x="157"/>
        <item x="26"/>
        <item x="174"/>
        <item x="341"/>
        <item x="435"/>
        <item x="175"/>
        <item x="428"/>
        <item x="282"/>
        <item x="264"/>
        <item x="196"/>
        <item x="267"/>
        <item x="24"/>
        <item x="371"/>
        <item x="356"/>
        <item x="210"/>
        <item x="354"/>
        <item x="12"/>
        <item x="288"/>
        <item x="440"/>
        <item x="274"/>
        <item x="239"/>
        <item x="256"/>
        <item x="206"/>
        <item x="127"/>
        <item x="334"/>
        <item x="232"/>
        <item x="382"/>
        <item x="130"/>
        <item x="78"/>
        <item x="301"/>
        <item x="45"/>
        <item x="410"/>
        <item x="481"/>
        <item x="378"/>
        <item x="58"/>
        <item x="305"/>
        <item x="86"/>
        <item x="474"/>
        <item x="320"/>
        <item x="108"/>
        <item x="99"/>
        <item x="148"/>
        <item x="464"/>
        <item x="259"/>
        <item x="241"/>
        <item x="332"/>
        <item x="171"/>
        <item x="192"/>
        <item x="363"/>
        <item x="460"/>
        <item x="181"/>
        <item x="227"/>
        <item x="81"/>
        <item x="220"/>
        <item x="188"/>
        <item x="173"/>
        <item x="141"/>
        <item x="42"/>
        <item x="275"/>
        <item x="480"/>
        <item x="348"/>
        <item x="177"/>
        <item x="408"/>
        <item x="18"/>
        <item x="302"/>
        <item x="154"/>
        <item x="23"/>
        <item x="297"/>
        <item x="64"/>
        <item x="212"/>
        <item x="201"/>
        <item x="311"/>
        <item x="319"/>
        <item x="457"/>
        <item x="314"/>
        <item x="469"/>
        <item x="411"/>
        <item x="50"/>
        <item x="358"/>
        <item x="100"/>
        <item x="381"/>
        <item x="429"/>
        <item x="4"/>
        <item x="266"/>
        <item x="331"/>
        <item x="347"/>
        <item x="449"/>
        <item x="419"/>
        <item x="310"/>
        <item x="233"/>
        <item x="82"/>
        <item x="268"/>
        <item x="244"/>
        <item x="441"/>
        <item x="415"/>
        <item x="43"/>
        <item x="421"/>
        <item x="418"/>
        <item x="197"/>
        <item x="451"/>
        <item x="422"/>
        <item x="69"/>
        <item x="179"/>
        <item x="14"/>
        <item x="351"/>
        <item x="251"/>
        <item x="471"/>
        <item x="434"/>
        <item x="68"/>
        <item x="178"/>
        <item x="336"/>
        <item x="416"/>
        <item x="198"/>
        <item x="13"/>
        <item x="109"/>
        <item x="87"/>
        <item x="133"/>
        <item x="433"/>
        <item x="146"/>
        <item x="313"/>
        <item x="374"/>
        <item x="375"/>
        <item x="151"/>
        <item x="342"/>
        <item x="443"/>
        <item x="47"/>
        <item x="335"/>
        <item x="65"/>
        <item x="242"/>
        <item x="224"/>
        <item x="289"/>
        <item x="359"/>
        <item x="214"/>
        <item x="442"/>
        <item x="467"/>
        <item x="414"/>
        <item x="140"/>
        <item x="468"/>
        <item x="51"/>
        <item x="473"/>
        <item x="39"/>
        <item x="444"/>
        <item x="366"/>
        <item x="350"/>
        <item x="307"/>
        <item x="436"/>
        <item x="360"/>
        <item x="281"/>
        <item x="476"/>
        <item x="102"/>
        <item x="394"/>
        <item x="263"/>
        <item x="407"/>
        <item x="475"/>
        <item t="default"/>
      </items>
    </pivotField>
    <pivotField dataField="1" compact="0" outline="0" showAll="0">
      <items count="410">
        <item x="399"/>
        <item x="79"/>
        <item x="127"/>
        <item x="165"/>
        <item x="287"/>
        <item x="128"/>
        <item x="338"/>
        <item x="278"/>
        <item x="297"/>
        <item x="359"/>
        <item x="6"/>
        <item x="164"/>
        <item x="61"/>
        <item x="51"/>
        <item x="110"/>
        <item x="142"/>
        <item x="340"/>
        <item x="368"/>
        <item x="202"/>
        <item x="117"/>
        <item x="99"/>
        <item x="114"/>
        <item x="374"/>
        <item x="45"/>
        <item x="304"/>
        <item x="300"/>
        <item x="16"/>
        <item x="80"/>
        <item x="145"/>
        <item x="1"/>
        <item x="191"/>
        <item x="93"/>
        <item x="81"/>
        <item x="111"/>
        <item x="50"/>
        <item x="373"/>
        <item x="4"/>
        <item x="354"/>
        <item x="112"/>
        <item x="157"/>
        <item x="251"/>
        <item x="120"/>
        <item x="26"/>
        <item x="196"/>
        <item x="78"/>
        <item x="352"/>
        <item x="170"/>
        <item x="54"/>
        <item x="104"/>
        <item x="94"/>
        <item x="56"/>
        <item x="31"/>
        <item x="294"/>
        <item x="139"/>
        <item x="301"/>
        <item x="133"/>
        <item x="357"/>
        <item x="222"/>
        <item x="270"/>
        <item x="314"/>
        <item x="386"/>
        <item x="42"/>
        <item x="18"/>
        <item x="190"/>
        <item x="115"/>
        <item x="10"/>
        <item x="41"/>
        <item x="83"/>
        <item x="88"/>
        <item x="137"/>
        <item x="109"/>
        <item x="195"/>
        <item x="213"/>
        <item x="70"/>
        <item x="203"/>
        <item x="38"/>
        <item x="201"/>
        <item x="118"/>
        <item x="279"/>
        <item x="391"/>
        <item x="189"/>
        <item x="302"/>
        <item x="380"/>
        <item x="161"/>
        <item x="162"/>
        <item x="376"/>
        <item x="86"/>
        <item x="339"/>
        <item x="209"/>
        <item x="186"/>
        <item x="237"/>
        <item x="394"/>
        <item x="2"/>
        <item x="280"/>
        <item x="43"/>
        <item x="135"/>
        <item x="214"/>
        <item x="255"/>
        <item x="59"/>
        <item x="277"/>
        <item x="372"/>
        <item x="163"/>
        <item x="315"/>
        <item x="225"/>
        <item x="268"/>
        <item x="212"/>
        <item x="82"/>
        <item x="320"/>
        <item x="180"/>
        <item x="389"/>
        <item x="342"/>
        <item x="185"/>
        <item x="257"/>
        <item x="84"/>
        <item x="263"/>
        <item x="17"/>
        <item x="402"/>
        <item x="400"/>
        <item x="55"/>
        <item x="148"/>
        <item x="309"/>
        <item x="276"/>
        <item x="169"/>
        <item x="282"/>
        <item x="183"/>
        <item x="259"/>
        <item x="20"/>
        <item x="67"/>
        <item x="303"/>
        <item x="267"/>
        <item x="240"/>
        <item x="274"/>
        <item x="256"/>
        <item x="175"/>
        <item x="72"/>
        <item x="244"/>
        <item x="100"/>
        <item x="76"/>
        <item x="328"/>
        <item x="261"/>
        <item x="193"/>
        <item x="107"/>
        <item x="241"/>
        <item x="210"/>
        <item x="321"/>
        <item x="124"/>
        <item x="197"/>
        <item x="363"/>
        <item x="343"/>
        <item x="396"/>
        <item x="349"/>
        <item x="284"/>
        <item x="208"/>
        <item x="330"/>
        <item x="299"/>
        <item x="266"/>
        <item x="199"/>
        <item x="36"/>
        <item x="311"/>
        <item x="131"/>
        <item x="361"/>
        <item x="408"/>
        <item x="388"/>
        <item x="113"/>
        <item x="166"/>
        <item x="230"/>
        <item x="154"/>
        <item x="223"/>
        <item x="172"/>
        <item x="60"/>
        <item x="356"/>
        <item x="159"/>
        <item x="14"/>
        <item x="92"/>
        <item x="326"/>
        <item x="101"/>
        <item x="121"/>
        <item x="25"/>
        <item x="144"/>
        <item x="385"/>
        <item x="192"/>
        <item x="194"/>
        <item x="347"/>
        <item x="298"/>
        <item x="105"/>
        <item x="260"/>
        <item x="34"/>
        <item x="341"/>
        <item x="74"/>
        <item x="53"/>
        <item x="95"/>
        <item x="48"/>
        <item x="252"/>
        <item x="46"/>
        <item x="232"/>
        <item x="32"/>
        <item x="12"/>
        <item x="0"/>
        <item x="383"/>
        <item x="108"/>
        <item x="249"/>
        <item x="360"/>
        <item x="324"/>
        <item x="28"/>
        <item x="122"/>
        <item x="116"/>
        <item x="62"/>
        <item x="221"/>
        <item x="22"/>
        <item x="296"/>
        <item x="308"/>
        <item x="258"/>
        <item x="9"/>
        <item x="200"/>
        <item x="106"/>
        <item x="49"/>
        <item x="272"/>
        <item x="293"/>
        <item x="52"/>
        <item x="211"/>
        <item x="39"/>
        <item x="238"/>
        <item x="306"/>
        <item x="336"/>
        <item x="205"/>
        <item x="281"/>
        <item x="219"/>
        <item x="68"/>
        <item x="233"/>
        <item x="334"/>
        <item x="87"/>
        <item x="327"/>
        <item x="11"/>
        <item x="7"/>
        <item x="179"/>
        <item x="253"/>
        <item x="322"/>
        <item x="371"/>
        <item x="96"/>
        <item x="151"/>
        <item x="387"/>
        <item x="245"/>
        <item x="149"/>
        <item x="262"/>
        <item x="184"/>
        <item x="226"/>
        <item x="57"/>
        <item x="362"/>
        <item x="102"/>
        <item x="254"/>
        <item x="375"/>
        <item x="182"/>
        <item x="231"/>
        <item x="283"/>
        <item x="227"/>
        <item x="174"/>
        <item x="8"/>
        <item x="353"/>
        <item x="158"/>
        <item x="348"/>
        <item x="246"/>
        <item x="123"/>
        <item x="40"/>
        <item x="30"/>
        <item x="171"/>
        <item x="66"/>
        <item x="19"/>
        <item x="141"/>
        <item x="129"/>
        <item x="286"/>
        <item x="234"/>
        <item x="313"/>
        <item x="367"/>
        <item x="206"/>
        <item x="37"/>
        <item x="119"/>
        <item x="152"/>
        <item x="250"/>
        <item x="64"/>
        <item x="24"/>
        <item x="335"/>
        <item x="217"/>
        <item x="138"/>
        <item x="125"/>
        <item x="5"/>
        <item x="295"/>
        <item x="228"/>
        <item x="379"/>
        <item x="136"/>
        <item x="176"/>
        <item x="155"/>
        <item x="319"/>
        <item x="247"/>
        <item x="90"/>
        <item x="264"/>
        <item x="75"/>
        <item x="275"/>
        <item x="187"/>
        <item x="181"/>
        <item x="384"/>
        <item x="289"/>
        <item x="69"/>
        <item x="150"/>
        <item x="177"/>
        <item x="204"/>
        <item x="71"/>
        <item x="307"/>
        <item x="23"/>
        <item x="351"/>
        <item x="344"/>
        <item x="405"/>
        <item x="318"/>
        <item x="77"/>
        <item x="29"/>
        <item x="15"/>
        <item x="242"/>
        <item x="305"/>
        <item x="350"/>
        <item x="332"/>
        <item x="89"/>
        <item x="265"/>
        <item x="216"/>
        <item x="224"/>
        <item x="288"/>
        <item x="333"/>
        <item x="132"/>
        <item x="323"/>
        <item x="345"/>
        <item x="98"/>
        <item x="85"/>
        <item x="91"/>
        <item x="271"/>
        <item x="21"/>
        <item x="312"/>
        <item x="331"/>
        <item x="35"/>
        <item x="73"/>
        <item x="27"/>
        <item x="364"/>
        <item x="269"/>
        <item x="392"/>
        <item x="178"/>
        <item x="382"/>
        <item x="390"/>
        <item x="366"/>
        <item x="220"/>
        <item x="285"/>
        <item x="218"/>
        <item x="235"/>
        <item x="134"/>
        <item x="381"/>
        <item x="292"/>
        <item x="239"/>
        <item x="160"/>
        <item x="358"/>
        <item x="329"/>
        <item x="130"/>
        <item x="337"/>
        <item x="393"/>
        <item x="47"/>
        <item x="167"/>
        <item x="140"/>
        <item x="291"/>
        <item x="404"/>
        <item x="273"/>
        <item x="403"/>
        <item x="243"/>
        <item x="325"/>
        <item x="44"/>
        <item x="406"/>
        <item x="13"/>
        <item x="398"/>
        <item x="188"/>
        <item x="346"/>
        <item x="355"/>
        <item x="143"/>
        <item x="153"/>
        <item x="370"/>
        <item x="395"/>
        <item x="378"/>
        <item x="397"/>
        <item x="290"/>
        <item x="369"/>
        <item x="126"/>
        <item x="236"/>
        <item x="156"/>
        <item x="377"/>
        <item x="365"/>
        <item x="401"/>
        <item x="65"/>
        <item x="207"/>
        <item x="215"/>
        <item x="229"/>
        <item x="103"/>
        <item x="173"/>
        <item x="198"/>
        <item x="147"/>
        <item x="316"/>
        <item x="63"/>
        <item x="58"/>
        <item x="33"/>
        <item x="3"/>
        <item x="317"/>
        <item x="310"/>
        <item x="248"/>
        <item x="407"/>
        <item x="97"/>
        <item x="168"/>
        <item x="146"/>
        <item t="default"/>
      </items>
    </pivotField>
    <pivotField compact="0" outline="0" showAll="0"/>
    <pivotField compact="0" outline="0" showAll="0"/>
    <pivotField compact="0" outline="0" showAll="0">
      <items count="6">
        <item x="0"/>
        <item x="3"/>
        <item x="1"/>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81">
        <item x="108"/>
        <item x="168"/>
        <item x="332"/>
        <item x="64"/>
        <item x="286"/>
        <item x="334"/>
        <item x="53"/>
        <item x="285"/>
        <item x="858"/>
        <item x="151"/>
        <item x="139"/>
        <item x="829"/>
        <item x="926"/>
        <item x="962"/>
        <item x="484"/>
        <item x="419"/>
        <item x="466"/>
        <item x="463"/>
        <item x="796"/>
        <item x="192"/>
        <item x="381"/>
        <item x="812"/>
        <item x="329"/>
        <item x="248"/>
        <item x="516"/>
        <item x="879"/>
        <item x="314"/>
        <item x="663"/>
        <item x="899"/>
        <item x="522"/>
        <item x="577"/>
        <item x="268"/>
        <item x="331"/>
        <item x="502"/>
        <item x="623"/>
        <item x="541"/>
        <item x="107"/>
        <item x="478"/>
        <item x="198"/>
        <item x="404"/>
        <item x="252"/>
        <item x="240"/>
        <item x="588"/>
        <item x="875"/>
        <item x="85"/>
        <item x="791"/>
        <item x="189"/>
        <item x="840"/>
        <item x="160"/>
        <item x="797"/>
        <item x="46"/>
        <item x="289"/>
        <item x="847"/>
        <item x="928"/>
        <item x="745"/>
        <item x="191"/>
        <item x="114"/>
        <item x="930"/>
        <item x="809"/>
        <item x="546"/>
        <item x="587"/>
        <item x="750"/>
        <item x="574"/>
        <item x="211"/>
        <item x="912"/>
        <item x="96"/>
        <item x="54"/>
        <item x="793"/>
        <item x="677"/>
        <item x="214"/>
        <item x="187"/>
        <item x="826"/>
        <item x="919"/>
        <item x="483"/>
        <item x="815"/>
        <item x="785"/>
        <item x="701"/>
        <item x="410"/>
        <item x="883"/>
        <item x="547"/>
        <item x="63"/>
        <item x="743"/>
        <item x="901"/>
        <item x="852"/>
        <item x="718"/>
        <item x="91"/>
        <item x="704"/>
        <item x="359"/>
        <item x="3"/>
        <item x="562"/>
        <item x="784"/>
        <item x="104"/>
        <item x="973"/>
        <item x="959"/>
        <item x="947"/>
        <item x="241"/>
        <item x="417"/>
        <item x="136"/>
        <item x="669"/>
        <item x="766"/>
        <item x="884"/>
        <item x="205"/>
        <item x="165"/>
        <item x="300"/>
        <item x="9"/>
        <item x="69"/>
        <item x="746"/>
        <item x="567"/>
        <item x="237"/>
        <item x="83"/>
        <item x="977"/>
        <item x="530"/>
        <item x="210"/>
        <item x="498"/>
        <item x="361"/>
        <item x="650"/>
        <item x="874"/>
        <item x="67"/>
        <item x="59"/>
        <item x="279"/>
        <item x="631"/>
        <item x="180"/>
        <item x="355"/>
        <item x="155"/>
        <item x="24"/>
        <item x="621"/>
        <item x="451"/>
        <item x="873"/>
        <item x="88"/>
        <item x="138"/>
        <item x="493"/>
        <item x="804"/>
        <item x="936"/>
        <item x="506"/>
        <item x="76"/>
        <item x="398"/>
        <item x="600"/>
        <item x="939"/>
        <item x="934"/>
        <item x="336"/>
        <item x="757"/>
        <item x="62"/>
        <item x="244"/>
        <item x="125"/>
        <item x="173"/>
        <item x="124"/>
        <item x="243"/>
        <item x="639"/>
        <item x="656"/>
        <item x="269"/>
        <item x="970"/>
        <item x="223"/>
        <item x="560"/>
        <item x="529"/>
        <item x="660"/>
        <item x="685"/>
        <item x="230"/>
        <item x="613"/>
        <item x="598"/>
        <item x="468"/>
        <item x="322"/>
        <item x="117"/>
        <item x="607"/>
        <item x="171"/>
        <item x="312"/>
        <item x="556"/>
        <item x="969"/>
        <item x="291"/>
        <item x="172"/>
        <item x="592"/>
        <item x="778"/>
        <item x="465"/>
        <item x="44"/>
        <item x="328"/>
        <item x="346"/>
        <item x="382"/>
        <item x="224"/>
        <item x="424"/>
        <item x="679"/>
        <item x="559"/>
        <item x="490"/>
        <item x="699"/>
        <item x="736"/>
        <item x="464"/>
        <item x="803"/>
        <item x="733"/>
        <item x="849"/>
        <item x="538"/>
        <item x="446"/>
        <item x="339"/>
        <item x="66"/>
        <item x="616"/>
        <item x="524"/>
        <item x="902"/>
        <item x="707"/>
        <item x="418"/>
        <item x="234"/>
        <item x="700"/>
        <item x="102"/>
        <item x="45"/>
        <item x="377"/>
        <item x="886"/>
        <item x="848"/>
        <item x="57"/>
        <item x="280"/>
        <item x="134"/>
        <item x="842"/>
        <item x="974"/>
        <item x="126"/>
        <item x="565"/>
        <item x="975"/>
        <item x="343"/>
        <item x="891"/>
        <item x="356"/>
        <item x="832"/>
        <item x="352"/>
        <item x="354"/>
        <item x="722"/>
        <item x="80"/>
        <item x="232"/>
        <item x="561"/>
        <item x="968"/>
        <item x="247"/>
        <item x="850"/>
        <item x="486"/>
        <item x="715"/>
        <item x="428"/>
        <item x="454"/>
        <item x="185"/>
        <item x="533"/>
        <item x="917"/>
        <item x="720"/>
        <item x="216"/>
        <item x="963"/>
        <item x="257"/>
        <item x="427"/>
        <item x="950"/>
        <item x="512"/>
        <item x="302"/>
        <item x="794"/>
        <item x="317"/>
        <item x="711"/>
        <item x="60"/>
        <item x="810"/>
        <item x="957"/>
        <item x="799"/>
        <item x="433"/>
        <item x="641"/>
        <item x="893"/>
        <item x="866"/>
        <item x="976"/>
        <item x="514"/>
        <item x="897"/>
        <item x="485"/>
        <item x="774"/>
        <item x="307"/>
        <item x="183"/>
        <item x="714"/>
        <item x="687"/>
        <item x="48"/>
        <item x="65"/>
        <item x="710"/>
        <item x="940"/>
        <item x="306"/>
        <item x="310"/>
        <item x="709"/>
        <item x="412"/>
        <item x="582"/>
        <item x="680"/>
        <item x="403"/>
        <item x="462"/>
        <item x="863"/>
        <item x="153"/>
        <item x="56"/>
        <item x="196"/>
        <item x="397"/>
        <item x="29"/>
        <item x="647"/>
        <item x="625"/>
        <item x="563"/>
        <item x="298"/>
        <item x="708"/>
        <item x="813"/>
        <item x="795"/>
        <item x="133"/>
        <item x="366"/>
        <item x="271"/>
        <item x="204"/>
        <item x="112"/>
        <item x="918"/>
        <item x="11"/>
        <item x="764"/>
        <item x="236"/>
        <item x="523"/>
        <item x="740"/>
        <item x="837"/>
        <item x="174"/>
        <item x="175"/>
        <item x="290"/>
        <item x="89"/>
        <item x="978"/>
        <item x="341"/>
        <item x="270"/>
        <item x="510"/>
        <item x="634"/>
        <item x="426"/>
        <item x="21"/>
        <item x="4"/>
        <item x="360"/>
        <item x="706"/>
        <item x="775"/>
        <item x="323"/>
        <item x="575"/>
        <item x="619"/>
        <item x="235"/>
        <item x="881"/>
        <item x="838"/>
        <item x="260"/>
        <item x="8"/>
        <item x="841"/>
        <item x="394"/>
        <item x="72"/>
        <item x="118"/>
        <item x="783"/>
        <item x="481"/>
        <item x="250"/>
        <item x="32"/>
        <item x="513"/>
        <item x="474"/>
        <item x="761"/>
        <item x="617"/>
        <item x="635"/>
        <item x="724"/>
        <item x="2"/>
        <item x="643"/>
        <item x="282"/>
        <item x="449"/>
        <item x="492"/>
        <item x="728"/>
        <item x="674"/>
        <item x="386"/>
        <item x="578"/>
        <item x="576"/>
        <item x="43"/>
        <item x="865"/>
        <item x="111"/>
        <item x="98"/>
        <item x="146"/>
        <item x="443"/>
        <item x="580"/>
        <item x="817"/>
        <item x="358"/>
        <item x="145"/>
        <item x="372"/>
        <item x="68"/>
        <item x="277"/>
        <item x="554"/>
        <item x="193"/>
        <item x="657"/>
        <item x="686"/>
        <item x="129"/>
        <item x="895"/>
        <item x="0"/>
        <item x="723"/>
        <item x="402"/>
        <item x="265"/>
        <item x="100"/>
        <item x="122"/>
        <item x="371"/>
        <item x="135"/>
        <item x="266"/>
        <item x="320"/>
        <item x="749"/>
        <item x="843"/>
        <item x="801"/>
        <item x="844"/>
        <item x="308"/>
        <item x="330"/>
        <item x="645"/>
        <item x="584"/>
        <item x="345"/>
        <item x="95"/>
        <item x="393"/>
        <item x="867"/>
        <item x="517"/>
        <item x="460"/>
        <item x="452"/>
        <item x="731"/>
        <item x="425"/>
        <item x="20"/>
        <item x="898"/>
        <item x="823"/>
        <item x="35"/>
        <item x="456"/>
        <item x="472"/>
        <item x="960"/>
        <item x="421"/>
        <item x="697"/>
        <item x="324"/>
        <item x="278"/>
        <item x="444"/>
        <item x="222"/>
        <item x="479"/>
        <item x="579"/>
        <item x="601"/>
        <item x="158"/>
        <item x="628"/>
        <item x="721"/>
        <item x="805"/>
        <item x="409"/>
        <item x="937"/>
        <item x="376"/>
        <item x="922"/>
        <item x="540"/>
        <item x="195"/>
        <item x="738"/>
        <item x="920"/>
        <item x="822"/>
        <item x="642"/>
        <item x="753"/>
        <item x="670"/>
        <item x="50"/>
        <item x="1"/>
        <item x="10"/>
        <item x="321"/>
        <item x="595"/>
        <item x="305"/>
        <item x="519"/>
        <item x="213"/>
        <item x="284"/>
        <item x="93"/>
        <item x="682"/>
        <item x="212"/>
        <item x="367"/>
        <item x="87"/>
        <item x="61"/>
        <item x="608"/>
        <item x="956"/>
        <item x="251"/>
        <item x="194"/>
        <item x="550"/>
        <item x="910"/>
        <item x="585"/>
        <item x="181"/>
        <item x="726"/>
        <item x="405"/>
        <item x="385"/>
        <item x="370"/>
        <item x="242"/>
        <item x="821"/>
        <item x="953"/>
        <item x="659"/>
        <item x="74"/>
        <item x="55"/>
        <item x="836"/>
        <item x="19"/>
        <item x="702"/>
        <item x="609"/>
        <item x="238"/>
        <item x="292"/>
        <item x="943"/>
        <item x="545"/>
        <item x="814"/>
        <item x="78"/>
        <item x="773"/>
        <item x="727"/>
        <item x="713"/>
        <item x="176"/>
        <item x="949"/>
        <item x="500"/>
        <item x="742"/>
        <item x="249"/>
        <item x="760"/>
        <item x="671"/>
        <item x="365"/>
        <item x="52"/>
        <item x="610"/>
        <item x="132"/>
        <item x="894"/>
        <item x="872"/>
        <item x="786"/>
        <item x="458"/>
        <item x="614"/>
        <item x="941"/>
        <item x="105"/>
        <item x="526"/>
        <item x="599"/>
        <item x="197"/>
        <item x="818"/>
        <item x="287"/>
        <item x="295"/>
        <item x="739"/>
        <item x="459"/>
        <item x="868"/>
        <item x="340"/>
        <item x="81"/>
        <item x="586"/>
        <item x="254"/>
        <item x="143"/>
        <item x="39"/>
        <item x="525"/>
        <item x="395"/>
        <item x="570"/>
        <item x="476"/>
        <item x="264"/>
        <item x="961"/>
        <item x="164"/>
        <item x="113"/>
        <item x="179"/>
        <item x="40"/>
        <item x="480"/>
        <item x="938"/>
        <item x="907"/>
        <item x="861"/>
        <item x="255"/>
        <item x="876"/>
        <item x="882"/>
        <item x="49"/>
        <item x="923"/>
        <item x="835"/>
        <item x="450"/>
        <item x="712"/>
        <item x="859"/>
        <item x="889"/>
        <item x="870"/>
        <item x="337"/>
        <item x="896"/>
        <item x="855"/>
        <item x="147"/>
        <item x="342"/>
        <item x="229"/>
        <item x="23"/>
        <item x="448"/>
        <item x="589"/>
        <item x="233"/>
        <item x="152"/>
        <item x="597"/>
        <item x="890"/>
        <item x="407"/>
        <item x="221"/>
        <item x="348"/>
        <item x="144"/>
        <item x="888"/>
        <item x="128"/>
        <item x="668"/>
        <item x="319"/>
        <item x="594"/>
        <item x="288"/>
        <item x="6"/>
        <item x="792"/>
        <item x="438"/>
        <item x="566"/>
        <item x="489"/>
        <item x="115"/>
        <item x="36"/>
        <item x="379"/>
        <item x="916"/>
        <item x="593"/>
        <item x="374"/>
        <item x="103"/>
        <item x="470"/>
        <item x="684"/>
        <item x="543"/>
        <item x="845"/>
        <item x="380"/>
        <item x="646"/>
        <item x="615"/>
        <item x="26"/>
        <item x="101"/>
        <item x="768"/>
        <item x="110"/>
        <item x="705"/>
        <item x="276"/>
        <item x="509"/>
        <item x="536"/>
        <item x="754"/>
        <item x="182"/>
        <item x="966"/>
        <item x="38"/>
        <item x="491"/>
        <item x="77"/>
        <item x="18"/>
        <item x="73"/>
        <item x="672"/>
        <item x="228"/>
        <item x="666"/>
        <item x="206"/>
        <item x="719"/>
        <item x="630"/>
        <item x="688"/>
        <item x="927"/>
        <item x="693"/>
        <item x="441"/>
        <item x="948"/>
        <item x="958"/>
        <item x="109"/>
        <item x="148"/>
        <item x="75"/>
        <item x="14"/>
        <item x="569"/>
        <item x="808"/>
        <item x="945"/>
        <item x="862"/>
        <item x="924"/>
        <item x="800"/>
        <item x="156"/>
        <item x="551"/>
        <item x="787"/>
        <item x="755"/>
        <item x="806"/>
        <item x="457"/>
        <item x="127"/>
        <item x="846"/>
        <item x="220"/>
        <item x="22"/>
        <item x="437"/>
        <item x="399"/>
        <item x="15"/>
        <item x="932"/>
        <item x="887"/>
        <item x="602"/>
        <item x="820"/>
        <item x="769"/>
        <item x="274"/>
        <item x="903"/>
        <item x="86"/>
        <item x="378"/>
        <item x="955"/>
        <item x="558"/>
        <item x="703"/>
        <item x="505"/>
        <item x="572"/>
        <item x="170"/>
        <item x="401"/>
        <item x="71"/>
        <item x="935"/>
        <item x="747"/>
        <item x="756"/>
        <item x="717"/>
        <item x="864"/>
        <item x="391"/>
        <item x="304"/>
        <item x="971"/>
        <item x="909"/>
        <item x="261"/>
        <item x="327"/>
        <item x="5"/>
        <item x="309"/>
        <item x="763"/>
        <item x="350"/>
        <item x="689"/>
        <item x="622"/>
        <item x="188"/>
        <item x="811"/>
        <item x="681"/>
        <item x="141"/>
        <item x="487"/>
        <item x="839"/>
        <item x="482"/>
        <item x="413"/>
        <item x="58"/>
        <item x="388"/>
        <item x="94"/>
        <item x="392"/>
        <item x="834"/>
        <item x="748"/>
        <item x="548"/>
        <item x="675"/>
        <item x="27"/>
        <item x="661"/>
        <item x="790"/>
        <item x="871"/>
        <item x="299"/>
        <item x="353"/>
        <item x="552"/>
        <item x="13"/>
        <item x="363"/>
        <item x="326"/>
        <item x="762"/>
        <item x="611"/>
        <item x="445"/>
        <item x="654"/>
        <item x="231"/>
        <item x="906"/>
        <item x="258"/>
        <item x="676"/>
        <item x="531"/>
        <item x="311"/>
        <item x="557"/>
        <item x="741"/>
        <item x="325"/>
        <item x="461"/>
        <item x="226"/>
        <item x="518"/>
        <item x="532"/>
        <item x="648"/>
        <item x="387"/>
        <item x="209"/>
        <item x="207"/>
        <item x="219"/>
        <item x="163"/>
        <item x="283"/>
        <item x="925"/>
        <item x="596"/>
        <item x="338"/>
        <item x="539"/>
        <item x="553"/>
        <item x="97"/>
        <item x="84"/>
        <item x="944"/>
        <item x="488"/>
        <item x="678"/>
        <item x="780"/>
        <item x="951"/>
        <item x="42"/>
        <item x="7"/>
        <item x="758"/>
        <item x="965"/>
        <item x="199"/>
        <item x="28"/>
        <item x="690"/>
        <item x="442"/>
        <item x="946"/>
        <item x="967"/>
        <item x="658"/>
        <item x="120"/>
        <item x="239"/>
        <item x="447"/>
        <item x="420"/>
        <item x="33"/>
        <item x="422"/>
        <item x="827"/>
        <item x="880"/>
        <item x="149"/>
        <item x="256"/>
        <item x="246"/>
        <item x="528"/>
        <item x="200"/>
        <item x="17"/>
        <item x="275"/>
        <item x="735"/>
        <item x="692"/>
        <item x="825"/>
        <item x="664"/>
        <item x="732"/>
        <item x="496"/>
        <item x="131"/>
        <item x="140"/>
        <item x="854"/>
        <item x="964"/>
        <item x="860"/>
        <item x="167"/>
        <item x="218"/>
        <item x="439"/>
        <item x="789"/>
        <item x="318"/>
        <item x="618"/>
        <item x="612"/>
        <item x="653"/>
        <item x="892"/>
        <item x="335"/>
        <item x="415"/>
        <item x="564"/>
        <item x="573"/>
        <item x="904"/>
        <item x="177"/>
        <item x="416"/>
        <item x="37"/>
        <item x="798"/>
        <item x="655"/>
        <item x="31"/>
        <item x="694"/>
        <item x="752"/>
        <item x="549"/>
        <item x="351"/>
        <item x="384"/>
        <item x="759"/>
        <item x="408"/>
        <item x="744"/>
        <item x="301"/>
        <item x="473"/>
        <item x="591"/>
        <item x="267"/>
        <item x="816"/>
        <item x="606"/>
        <item x="765"/>
        <item x="900"/>
        <item x="877"/>
        <item x="469"/>
        <item x="640"/>
        <item x="262"/>
        <item x="169"/>
        <item x="369"/>
        <item x="41"/>
        <item x="776"/>
        <item x="431"/>
        <item x="954"/>
        <item x="571"/>
        <item x="638"/>
        <item x="627"/>
        <item x="349"/>
        <item x="389"/>
        <item x="494"/>
        <item x="406"/>
        <item x="364"/>
        <item x="47"/>
        <item x="649"/>
        <item x="583"/>
        <item x="390"/>
        <item x="227"/>
        <item x="652"/>
        <item x="495"/>
        <item x="333"/>
        <item x="831"/>
        <item x="293"/>
        <item x="99"/>
        <item x="142"/>
        <item x="633"/>
        <item x="819"/>
        <item x="788"/>
        <item x="979"/>
        <item x="921"/>
        <item x="698"/>
        <item x="931"/>
        <item x="123"/>
        <item x="581"/>
        <item x="396"/>
        <item x="477"/>
        <item x="121"/>
        <item x="914"/>
        <item x="857"/>
        <item x="455"/>
        <item x="665"/>
        <item x="296"/>
        <item x="929"/>
        <item x="159"/>
        <item x="106"/>
        <item x="25"/>
        <item x="281"/>
        <item x="716"/>
        <item x="116"/>
        <item x="375"/>
        <item x="507"/>
        <item x="662"/>
        <item x="908"/>
        <item x="673"/>
        <item x="184"/>
        <item x="161"/>
        <item x="82"/>
        <item x="942"/>
        <item x="297"/>
        <item x="357"/>
        <item x="856"/>
        <item x="911"/>
        <item x="624"/>
        <item x="430"/>
        <item x="414"/>
        <item x="504"/>
        <item x="878"/>
        <item x="667"/>
        <item x="620"/>
        <item x="782"/>
        <item x="497"/>
        <item x="637"/>
        <item x="157"/>
        <item x="434"/>
        <item x="272"/>
        <item x="905"/>
        <item x="568"/>
        <item x="534"/>
        <item x="544"/>
        <item x="203"/>
        <item x="636"/>
        <item x="273"/>
        <item x="626"/>
        <item x="202"/>
        <item x="303"/>
        <item x="683"/>
        <item x="373"/>
        <item x="802"/>
        <item x="432"/>
        <item x="499"/>
        <item x="225"/>
        <item x="730"/>
        <item x="201"/>
        <item x="70"/>
        <item x="515"/>
        <item x="605"/>
        <item x="737"/>
        <item x="34"/>
        <item x="12"/>
        <item x="503"/>
        <item x="347"/>
        <item x="691"/>
        <item x="772"/>
        <item x="734"/>
        <item x="215"/>
        <item x="767"/>
        <item x="130"/>
        <item x="178"/>
        <item x="150"/>
        <item x="294"/>
        <item x="521"/>
        <item x="467"/>
        <item x="913"/>
        <item x="751"/>
        <item x="411"/>
        <item x="933"/>
        <item x="644"/>
        <item x="315"/>
        <item x="186"/>
        <item x="263"/>
        <item x="851"/>
        <item x="629"/>
        <item x="725"/>
        <item x="807"/>
        <item x="527"/>
        <item x="632"/>
        <item x="423"/>
        <item x="869"/>
        <item x="603"/>
        <item x="651"/>
        <item x="781"/>
        <item x="16"/>
        <item x="770"/>
        <item x="511"/>
        <item x="853"/>
        <item x="537"/>
        <item x="259"/>
        <item x="771"/>
        <item x="542"/>
        <item x="471"/>
        <item x="217"/>
        <item x="90"/>
        <item x="440"/>
        <item x="696"/>
        <item x="30"/>
        <item x="501"/>
        <item x="828"/>
        <item x="400"/>
        <item x="92"/>
        <item x="590"/>
        <item x="824"/>
        <item x="952"/>
        <item x="604"/>
        <item x="383"/>
        <item x="316"/>
        <item x="51"/>
        <item x="833"/>
        <item x="368"/>
        <item x="885"/>
        <item x="436"/>
        <item x="166"/>
        <item x="119"/>
        <item x="344"/>
        <item x="190"/>
        <item x="535"/>
        <item x="508"/>
        <item x="362"/>
        <item x="79"/>
        <item x="729"/>
        <item x="429"/>
        <item x="435"/>
        <item x="253"/>
        <item x="779"/>
        <item x="313"/>
        <item x="777"/>
        <item x="137"/>
        <item x="475"/>
        <item x="208"/>
        <item x="154"/>
        <item x="245"/>
        <item x="453"/>
        <item x="830"/>
        <item x="915"/>
        <item x="555"/>
        <item x="695"/>
        <item x="162"/>
        <item x="972"/>
        <item x="520"/>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5">
        <item h="1" x="0"/>
        <item x="1"/>
        <item h="1" x="2"/>
        <item h="1" x="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Items count="1">
    <i/>
  </colItems>
  <dataFields count="1">
    <dataField name="Sum of deadhead_miles" fld="22" showDataAs="percentOfTotal" baseField="0" baseItem="0" numFmtId="10"/>
  </dataField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 chart="3" format="9">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572D2B-0652-4848-9074-37361BF51642}" name="PivotTable6" cacheId="2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9" firstHeaderRow="1" firstDataRow="1" firstDataCol="1"/>
  <pivotFields count="6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338">
        <item x="220"/>
        <item x="300"/>
        <item x="81"/>
        <item x="90"/>
        <item x="33"/>
        <item x="56"/>
        <item x="254"/>
        <item x="173"/>
        <item x="223"/>
        <item x="116"/>
        <item x="297"/>
        <item x="251"/>
        <item x="230"/>
        <item x="31"/>
        <item x="136"/>
        <item x="200"/>
        <item x="233"/>
        <item x="67"/>
        <item x="294"/>
        <item x="128"/>
        <item x="113"/>
        <item x="177"/>
        <item x="262"/>
        <item x="274"/>
        <item x="7"/>
        <item x="3"/>
        <item x="314"/>
        <item x="162"/>
        <item x="146"/>
        <item x="329"/>
        <item x="88"/>
        <item x="103"/>
        <item x="151"/>
        <item x="20"/>
        <item x="144"/>
        <item x="250"/>
        <item x="163"/>
        <item x="135"/>
        <item x="277"/>
        <item x="286"/>
        <item x="25"/>
        <item x="107"/>
        <item x="120"/>
        <item x="114"/>
        <item x="95"/>
        <item x="224"/>
        <item x="132"/>
        <item x="207"/>
        <item x="272"/>
        <item x="299"/>
        <item x="309"/>
        <item x="187"/>
        <item x="154"/>
        <item x="61"/>
        <item x="327"/>
        <item x="256"/>
        <item x="18"/>
        <item x="306"/>
        <item x="181"/>
        <item x="96"/>
        <item x="40"/>
        <item x="260"/>
        <item x="63"/>
        <item x="16"/>
        <item x="279"/>
        <item x="9"/>
        <item x="32"/>
        <item x="172"/>
        <item x="79"/>
        <item x="253"/>
        <item x="265"/>
        <item x="46"/>
        <item x="323"/>
        <item x="80"/>
        <item x="336"/>
        <item x="89"/>
        <item x="179"/>
        <item x="49"/>
        <item x="50"/>
        <item x="35"/>
        <item x="335"/>
        <item x="321"/>
        <item x="333"/>
        <item x="5"/>
        <item x="290"/>
        <item x="190"/>
        <item x="331"/>
        <item x="210"/>
        <item x="121"/>
        <item x="315"/>
        <item x="289"/>
        <item x="267"/>
        <item x="232"/>
        <item x="326"/>
        <item x="219"/>
        <item x="164"/>
        <item x="281"/>
        <item x="130"/>
        <item x="150"/>
        <item x="27"/>
        <item x="255"/>
        <item x="104"/>
        <item x="325"/>
        <item x="1"/>
        <item x="82"/>
        <item x="284"/>
        <item x="142"/>
        <item x="320"/>
        <item x="174"/>
        <item x="155"/>
        <item x="175"/>
        <item x="307"/>
        <item x="166"/>
        <item x="268"/>
        <item x="237"/>
        <item x="244"/>
        <item x="231"/>
        <item x="65"/>
        <item x="97"/>
        <item x="92"/>
        <item x="227"/>
        <item x="99"/>
        <item x="100"/>
        <item x="73"/>
        <item x="199"/>
        <item x="152"/>
        <item x="42"/>
        <item x="316"/>
        <item x="138"/>
        <item x="15"/>
        <item x="105"/>
        <item x="106"/>
        <item x="238"/>
        <item x="271"/>
        <item x="147"/>
        <item x="188"/>
        <item x="241"/>
        <item x="39"/>
        <item x="212"/>
        <item x="275"/>
        <item x="184"/>
        <item x="68"/>
        <item x="98"/>
        <item x="158"/>
        <item x="159"/>
        <item x="313"/>
        <item x="167"/>
        <item x="276"/>
        <item x="57"/>
        <item x="111"/>
        <item x="273"/>
        <item x="78"/>
        <item x="285"/>
        <item x="0"/>
        <item x="17"/>
        <item x="319"/>
        <item x="193"/>
        <item x="52"/>
        <item x="310"/>
        <item x="2"/>
        <item x="195"/>
        <item x="215"/>
        <item x="295"/>
        <item x="305"/>
        <item x="217"/>
        <item x="76"/>
        <item x="124"/>
        <item x="13"/>
        <item x="203"/>
        <item x="74"/>
        <item x="48"/>
        <item x="269"/>
        <item x="112"/>
        <item x="129"/>
        <item x="85"/>
        <item x="115"/>
        <item x="36"/>
        <item x="280"/>
        <item x="149"/>
        <item x="119"/>
        <item x="51"/>
        <item x="234"/>
        <item x="206"/>
        <item x="23"/>
        <item x="143"/>
        <item x="308"/>
        <item x="293"/>
        <item x="334"/>
        <item x="26"/>
        <item x="59"/>
        <item x="242"/>
        <item x="205"/>
        <item x="216"/>
        <item x="196"/>
        <item x="328"/>
        <item x="123"/>
        <item x="109"/>
        <item x="53"/>
        <item x="312"/>
        <item x="140"/>
        <item x="72"/>
        <item x="21"/>
        <item x="198"/>
        <item x="165"/>
        <item x="75"/>
        <item x="148"/>
        <item x="287"/>
        <item x="58"/>
        <item x="45"/>
        <item x="153"/>
        <item x="201"/>
        <item x="239"/>
        <item x="266"/>
        <item x="139"/>
        <item x="22"/>
        <item x="278"/>
        <item x="71"/>
        <item x="41"/>
        <item x="264"/>
        <item x="208"/>
        <item x="62"/>
        <item x="243"/>
        <item x="60"/>
        <item x="225"/>
        <item x="157"/>
        <item x="24"/>
        <item x="292"/>
        <item x="191"/>
        <item x="211"/>
        <item x="261"/>
        <item x="209"/>
        <item x="34"/>
        <item x="176"/>
        <item x="322"/>
        <item x="258"/>
        <item x="197"/>
        <item x="38"/>
        <item x="77"/>
        <item x="110"/>
        <item x="185"/>
        <item x="69"/>
        <item x="131"/>
        <item x="66"/>
        <item x="222"/>
        <item x="91"/>
        <item x="240"/>
        <item x="87"/>
        <item x="6"/>
        <item x="14"/>
        <item x="246"/>
        <item x="249"/>
        <item x="194"/>
        <item x="192"/>
        <item x="304"/>
        <item x="252"/>
        <item x="64"/>
        <item x="302"/>
        <item x="137"/>
        <item x="44"/>
        <item x="288"/>
        <item x="29"/>
        <item x="248"/>
        <item x="303"/>
        <item x="182"/>
        <item x="170"/>
        <item x="47"/>
        <item x="296"/>
        <item x="330"/>
        <item x="318"/>
        <item x="93"/>
        <item x="156"/>
        <item x="83"/>
        <item x="70"/>
        <item x="4"/>
        <item x="226"/>
        <item x="332"/>
        <item x="11"/>
        <item x="229"/>
        <item x="133"/>
        <item x="235"/>
        <item x="94"/>
        <item x="245"/>
        <item x="324"/>
        <item x="218"/>
        <item x="108"/>
        <item x="101"/>
        <item x="311"/>
        <item x="160"/>
        <item x="202"/>
        <item x="118"/>
        <item x="43"/>
        <item x="126"/>
        <item x="161"/>
        <item x="228"/>
        <item x="169"/>
        <item x="55"/>
        <item x="125"/>
        <item x="168"/>
        <item x="183"/>
        <item x="54"/>
        <item x="291"/>
        <item x="10"/>
        <item x="298"/>
        <item x="37"/>
        <item x="186"/>
        <item x="283"/>
        <item x="282"/>
        <item x="257"/>
        <item x="270"/>
        <item x="171"/>
        <item x="214"/>
        <item x="141"/>
        <item x="86"/>
        <item x="301"/>
        <item x="117"/>
        <item x="204"/>
        <item x="178"/>
        <item x="145"/>
        <item x="127"/>
        <item x="28"/>
        <item x="221"/>
        <item x="189"/>
        <item x="134"/>
        <item x="213"/>
        <item x="8"/>
        <item x="84"/>
        <item x="122"/>
        <item x="12"/>
        <item x="30"/>
        <item x="263"/>
        <item x="317"/>
        <item x="19"/>
        <item x="259"/>
        <item x="102"/>
        <item x="247"/>
        <item x="236"/>
        <item x="180"/>
        <item t="default"/>
      </items>
    </pivotField>
    <pivotField compact="0" numFmtId="14" outline="0" showAll="0">
      <items count="338">
        <item x="219"/>
        <item x="300"/>
        <item x="81"/>
        <item x="90"/>
        <item x="33"/>
        <item x="56"/>
        <item x="253"/>
        <item x="172"/>
        <item x="222"/>
        <item x="115"/>
        <item x="297"/>
        <item x="250"/>
        <item x="229"/>
        <item x="31"/>
        <item x="136"/>
        <item x="199"/>
        <item x="232"/>
        <item x="67"/>
        <item x="294"/>
        <item x="127"/>
        <item x="112"/>
        <item x="176"/>
        <item x="261"/>
        <item x="273"/>
        <item x="7"/>
        <item x="3"/>
        <item x="314"/>
        <item x="162"/>
        <item x="146"/>
        <item x="329"/>
        <item x="88"/>
        <item x="103"/>
        <item x="151"/>
        <item x="20"/>
        <item x="144"/>
        <item x="249"/>
        <item x="163"/>
        <item x="135"/>
        <item x="276"/>
        <item x="286"/>
        <item x="25"/>
        <item x="106"/>
        <item x="119"/>
        <item x="113"/>
        <item x="95"/>
        <item x="223"/>
        <item x="132"/>
        <item x="206"/>
        <item x="271"/>
        <item x="299"/>
        <item x="309"/>
        <item x="186"/>
        <item x="154"/>
        <item x="61"/>
        <item x="327"/>
        <item x="255"/>
        <item x="18"/>
        <item x="306"/>
        <item x="180"/>
        <item x="96"/>
        <item x="40"/>
        <item x="259"/>
        <item x="63"/>
        <item x="16"/>
        <item x="278"/>
        <item x="9"/>
        <item x="32"/>
        <item x="171"/>
        <item x="79"/>
        <item x="252"/>
        <item x="264"/>
        <item x="46"/>
        <item x="323"/>
        <item x="80"/>
        <item x="336"/>
        <item x="89"/>
        <item x="178"/>
        <item x="49"/>
        <item x="50"/>
        <item x="35"/>
        <item x="335"/>
        <item x="321"/>
        <item x="333"/>
        <item x="5"/>
        <item x="290"/>
        <item x="189"/>
        <item x="331"/>
        <item x="209"/>
        <item x="120"/>
        <item x="315"/>
        <item x="289"/>
        <item x="266"/>
        <item x="231"/>
        <item x="326"/>
        <item x="218"/>
        <item x="164"/>
        <item x="280"/>
        <item x="130"/>
        <item x="150"/>
        <item x="27"/>
        <item x="254"/>
        <item x="104"/>
        <item x="325"/>
        <item x="1"/>
        <item x="82"/>
        <item x="284"/>
        <item x="142"/>
        <item x="320"/>
        <item x="173"/>
        <item x="155"/>
        <item x="174"/>
        <item x="307"/>
        <item x="165"/>
        <item x="267"/>
        <item x="236"/>
        <item x="243"/>
        <item x="230"/>
        <item x="65"/>
        <item x="97"/>
        <item x="92"/>
        <item x="226"/>
        <item x="99"/>
        <item x="100"/>
        <item x="73"/>
        <item x="198"/>
        <item x="152"/>
        <item x="42"/>
        <item x="316"/>
        <item x="138"/>
        <item x="15"/>
        <item x="129"/>
        <item x="282"/>
        <item x="237"/>
        <item x="270"/>
        <item x="147"/>
        <item x="187"/>
        <item x="240"/>
        <item x="39"/>
        <item x="211"/>
        <item x="274"/>
        <item x="183"/>
        <item x="68"/>
        <item x="98"/>
        <item x="158"/>
        <item x="159"/>
        <item x="313"/>
        <item x="166"/>
        <item x="275"/>
        <item x="57"/>
        <item x="110"/>
        <item x="272"/>
        <item x="78"/>
        <item x="285"/>
        <item x="0"/>
        <item x="17"/>
        <item x="319"/>
        <item x="192"/>
        <item x="52"/>
        <item x="310"/>
        <item x="2"/>
        <item x="194"/>
        <item x="214"/>
        <item x="295"/>
        <item x="305"/>
        <item x="216"/>
        <item x="76"/>
        <item x="123"/>
        <item x="13"/>
        <item x="202"/>
        <item x="74"/>
        <item x="48"/>
        <item x="268"/>
        <item x="111"/>
        <item x="128"/>
        <item x="85"/>
        <item x="114"/>
        <item x="36"/>
        <item x="279"/>
        <item x="149"/>
        <item x="118"/>
        <item x="51"/>
        <item x="233"/>
        <item x="205"/>
        <item x="23"/>
        <item x="143"/>
        <item x="308"/>
        <item x="293"/>
        <item x="334"/>
        <item x="26"/>
        <item x="59"/>
        <item x="241"/>
        <item x="204"/>
        <item x="215"/>
        <item x="195"/>
        <item x="328"/>
        <item x="122"/>
        <item x="108"/>
        <item x="53"/>
        <item x="312"/>
        <item x="140"/>
        <item x="72"/>
        <item x="21"/>
        <item x="197"/>
        <item x="105"/>
        <item x="75"/>
        <item x="148"/>
        <item x="287"/>
        <item x="58"/>
        <item x="45"/>
        <item x="153"/>
        <item x="200"/>
        <item x="238"/>
        <item x="265"/>
        <item x="139"/>
        <item x="22"/>
        <item x="277"/>
        <item x="71"/>
        <item x="41"/>
        <item x="263"/>
        <item x="207"/>
        <item x="62"/>
        <item x="242"/>
        <item x="60"/>
        <item x="224"/>
        <item x="157"/>
        <item x="24"/>
        <item x="292"/>
        <item x="190"/>
        <item x="210"/>
        <item x="260"/>
        <item x="208"/>
        <item x="34"/>
        <item x="175"/>
        <item x="322"/>
        <item x="257"/>
        <item x="196"/>
        <item x="38"/>
        <item x="77"/>
        <item x="109"/>
        <item x="184"/>
        <item x="69"/>
        <item x="131"/>
        <item x="66"/>
        <item x="221"/>
        <item x="91"/>
        <item x="239"/>
        <item x="87"/>
        <item x="6"/>
        <item x="14"/>
        <item x="245"/>
        <item x="248"/>
        <item x="193"/>
        <item x="191"/>
        <item x="304"/>
        <item x="251"/>
        <item x="64"/>
        <item x="302"/>
        <item x="137"/>
        <item x="44"/>
        <item x="288"/>
        <item x="29"/>
        <item x="247"/>
        <item x="303"/>
        <item x="181"/>
        <item x="169"/>
        <item x="47"/>
        <item x="296"/>
        <item x="330"/>
        <item x="318"/>
        <item x="93"/>
        <item x="156"/>
        <item x="83"/>
        <item x="70"/>
        <item x="4"/>
        <item x="225"/>
        <item x="332"/>
        <item x="11"/>
        <item x="228"/>
        <item x="133"/>
        <item x="234"/>
        <item x="94"/>
        <item x="244"/>
        <item x="324"/>
        <item x="217"/>
        <item x="107"/>
        <item x="101"/>
        <item x="311"/>
        <item x="160"/>
        <item x="201"/>
        <item x="117"/>
        <item x="43"/>
        <item x="125"/>
        <item x="161"/>
        <item x="227"/>
        <item x="168"/>
        <item x="55"/>
        <item x="124"/>
        <item x="167"/>
        <item x="182"/>
        <item x="54"/>
        <item x="291"/>
        <item x="10"/>
        <item x="298"/>
        <item x="37"/>
        <item x="185"/>
        <item x="283"/>
        <item x="281"/>
        <item x="256"/>
        <item x="269"/>
        <item x="170"/>
        <item x="213"/>
        <item x="141"/>
        <item x="86"/>
        <item x="301"/>
        <item x="116"/>
        <item x="203"/>
        <item x="177"/>
        <item x="145"/>
        <item x="126"/>
        <item x="28"/>
        <item x="220"/>
        <item x="188"/>
        <item x="134"/>
        <item x="212"/>
        <item x="8"/>
        <item x="84"/>
        <item x="121"/>
        <item x="12"/>
        <item x="30"/>
        <item x="262"/>
        <item x="317"/>
        <item x="19"/>
        <item x="258"/>
        <item x="102"/>
        <item x="246"/>
        <item x="235"/>
        <item x="179"/>
        <item t="default"/>
      </items>
    </pivotField>
    <pivotField compact="0" numFmtId="22" outline="0" showAll="0">
      <items count="991">
        <item x="346"/>
        <item x="662"/>
        <item x="874"/>
        <item x="91"/>
        <item x="737"/>
        <item x="226"/>
        <item x="594"/>
        <item x="103"/>
        <item x="34"/>
        <item x="700"/>
        <item x="606"/>
        <item x="65"/>
        <item x="344"/>
        <item x="439"/>
        <item x="829"/>
        <item x="954"/>
        <item x="757"/>
        <item x="975"/>
        <item x="255"/>
        <item x="458"/>
        <item x="365"/>
        <item x="464"/>
        <item x="615"/>
        <item x="761"/>
        <item x="254"/>
        <item x="142"/>
        <item x="567"/>
        <item x="519"/>
        <item x="239"/>
        <item x="921"/>
        <item x="640"/>
        <item x="774"/>
        <item x="490"/>
        <item x="427"/>
        <item x="915"/>
        <item x="379"/>
        <item x="980"/>
        <item x="302"/>
        <item x="924"/>
        <item x="31"/>
        <item x="182"/>
        <item x="407"/>
        <item x="361"/>
        <item x="818"/>
        <item x="303"/>
        <item x="605"/>
        <item x="336"/>
        <item x="696"/>
        <item x="895"/>
        <item x="388"/>
        <item x="524"/>
        <item x="381"/>
        <item x="634"/>
        <item x="76"/>
        <item x="930"/>
        <item x="616"/>
        <item x="319"/>
        <item x="804"/>
        <item x="165"/>
        <item x="202"/>
        <item x="137"/>
        <item x="262"/>
        <item x="779"/>
        <item x="478"/>
        <item x="531"/>
        <item x="929"/>
        <item x="212"/>
        <item x="118"/>
        <item x="7"/>
        <item x="620"/>
        <item x="186"/>
        <item x="831"/>
        <item x="3"/>
        <item x="958"/>
        <item x="722"/>
        <item x="932"/>
        <item x="231"/>
        <item x="197"/>
        <item x="205"/>
        <item x="770"/>
        <item x="269"/>
        <item x="839"/>
        <item x="880"/>
        <item x="481"/>
        <item x="180"/>
        <item x="101"/>
        <item x="582"/>
        <item x="121"/>
        <item x="376"/>
        <item x="207"/>
        <item x="380"/>
        <item x="497"/>
        <item x="20"/>
        <item x="115"/>
        <item x="764"/>
        <item x="952"/>
        <item x="735"/>
        <item x="876"/>
        <item x="194"/>
        <item x="723"/>
        <item x="420"/>
        <item x="232"/>
        <item x="621"/>
        <item x="178"/>
        <item x="888"/>
        <item x="834"/>
        <item x="543"/>
        <item x="667"/>
        <item x="638"/>
        <item x="584"/>
        <item x="931"/>
        <item x="25"/>
        <item x="614"/>
        <item x="128"/>
        <item x="720"/>
        <item x="849"/>
        <item x="147"/>
        <item x="866"/>
        <item x="841"/>
        <item x="505"/>
        <item x="214"/>
        <item x="139"/>
        <item x="393"/>
        <item x="109"/>
        <item x="905"/>
        <item x="160"/>
        <item x="366"/>
        <item x="775"/>
        <item x="666"/>
        <item x="608"/>
        <item x="173"/>
        <item x="316"/>
        <item x="585"/>
        <item x="926"/>
        <item x="521"/>
        <item x="618"/>
        <item x="642"/>
        <item x="825"/>
        <item x="977"/>
        <item x="658"/>
        <item x="710"/>
        <item x="341"/>
        <item x="581"/>
        <item x="282"/>
        <item x="211"/>
        <item x="883"/>
        <item x="502"/>
        <item x="70"/>
        <item x="815"/>
        <item x="449"/>
        <item x="986"/>
        <item x="56"/>
        <item x="18"/>
        <item x="364"/>
        <item x="373"/>
        <item x="645"/>
        <item x="281"/>
        <item x="792"/>
        <item x="914"/>
        <item x="701"/>
        <item x="652"/>
        <item x="553"/>
        <item x="266"/>
        <item x="110"/>
        <item x="959"/>
        <item x="759"/>
        <item x="659"/>
        <item x="44"/>
        <item x="470"/>
        <item x="858"/>
        <item x="648"/>
        <item x="784"/>
        <item x="72"/>
        <item x="16"/>
        <item x="555"/>
        <item x="545"/>
        <item x="716"/>
        <item x="251"/>
        <item x="739"/>
        <item x="9"/>
        <item x="55"/>
        <item x="33"/>
        <item x="285"/>
        <item x="612"/>
        <item x="253"/>
        <item x="596"/>
        <item x="690"/>
        <item x="89"/>
        <item x="228"/>
        <item x="95"/>
        <item x="134"/>
        <item x="578"/>
        <item x="436"/>
        <item x="919"/>
        <item x="503"/>
        <item x="248"/>
        <item x="479"/>
        <item x="426"/>
        <item x="51"/>
        <item x="777"/>
        <item x="301"/>
        <item x="906"/>
        <item x="610"/>
        <item x="456"/>
        <item x="830"/>
        <item x="780"/>
        <item x="213"/>
        <item x="90"/>
        <item x="241"/>
        <item x="985"/>
        <item x="981"/>
        <item x="102"/>
        <item x="268"/>
        <item x="264"/>
        <item x="751"/>
        <item x="79"/>
        <item x="511"/>
        <item x="54"/>
        <item x="225"/>
        <item x="58"/>
        <item x="689"/>
        <item x="146"/>
        <item x="518"/>
        <item x="551"/>
        <item x="633"/>
        <item x="37"/>
        <item x="978"/>
        <item x="769"/>
        <item x="987"/>
        <item x="918"/>
        <item x="35"/>
        <item x="682"/>
        <item x="5"/>
        <item x="675"/>
        <item x="592"/>
        <item x="526"/>
        <item x="288"/>
        <item x="889"/>
        <item x="869"/>
        <item x="705"/>
        <item x="472"/>
        <item x="352"/>
        <item x="328"/>
        <item x="313"/>
        <item x="149"/>
        <item x="730"/>
        <item x="591"/>
        <item x="580"/>
        <item x="506"/>
        <item x="873"/>
        <item x="539"/>
        <item x="385"/>
        <item x="989"/>
        <item x="951"/>
        <item x="806"/>
        <item x="663"/>
        <item x="415"/>
        <item x="345"/>
        <item x="392"/>
        <item x="571"/>
        <item x="928"/>
        <item x="570"/>
        <item x="235"/>
        <item x="878"/>
        <item x="550"/>
        <item x="170"/>
        <item x="189"/>
        <item x="587"/>
        <item x="203"/>
        <item x="499"/>
        <item x="32"/>
        <item x="27"/>
        <item x="881"/>
        <item x="445"/>
        <item x="423"/>
        <item x="122"/>
        <item x="159"/>
        <item x="799"/>
        <item x="901"/>
        <item x="1"/>
        <item x="749"/>
        <item x="92"/>
        <item x="586"/>
        <item x="389"/>
        <item x="300"/>
        <item x="965"/>
        <item x="572"/>
        <item x="725"/>
        <item x="191"/>
        <item x="982"/>
        <item x="766"/>
        <item x="808"/>
        <item x="468"/>
        <item x="258"/>
        <item x="450"/>
        <item x="787"/>
        <item x="647"/>
        <item x="215"/>
        <item x="410"/>
        <item x="318"/>
        <item x="636"/>
        <item x="276"/>
        <item x="602"/>
        <item x="259"/>
        <item x="941"/>
        <item x="923"/>
        <item x="708"/>
        <item x="238"/>
        <item x="446"/>
        <item x="473"/>
        <item x="508"/>
        <item x="565"/>
        <item x="476"/>
        <item x="396"/>
        <item x="408"/>
        <item x="976"/>
        <item x="900"/>
        <item x="772"/>
        <item x="382"/>
        <item x="817"/>
        <item x="177"/>
        <item x="107"/>
        <item x="816"/>
        <item x="260"/>
        <item x="74"/>
        <item x="598"/>
        <item x="811"/>
        <item x="111"/>
        <item x="935"/>
        <item x="794"/>
        <item x="105"/>
        <item x="461"/>
        <item x="370"/>
        <item x="679"/>
        <item x="113"/>
        <item x="558"/>
        <item x="116"/>
        <item x="913"/>
        <item x="83"/>
        <item x="279"/>
        <item x="971"/>
        <item x="629"/>
        <item x="299"/>
        <item x="324"/>
        <item x="310"/>
        <item x="559"/>
        <item x="956"/>
        <item x="209"/>
        <item x="655"/>
        <item x="50"/>
        <item x="418"/>
        <item x="148"/>
        <item x="46"/>
        <item x="734"/>
        <item x="466"/>
        <item x="387"/>
        <item x="185"/>
        <item x="359"/>
        <item x="123"/>
        <item x="674"/>
        <item x="42"/>
        <item x="15"/>
        <item x="964"/>
        <item x="247"/>
        <item x="437"/>
        <item x="196"/>
        <item x="167"/>
        <item x="824"/>
        <item x="568"/>
        <item x="727"/>
        <item x="911"/>
        <item x="397"/>
        <item x="942"/>
        <item x="821"/>
        <item x="653"/>
        <item x="907"/>
        <item x="520"/>
        <item x="916"/>
        <item x="198"/>
        <item x="362"/>
        <item x="286"/>
        <item x="512"/>
        <item x="790"/>
        <item x="842"/>
        <item x="400"/>
        <item x="661"/>
        <item x="41"/>
        <item x="333"/>
        <item x="805"/>
        <item x="651"/>
        <item x="762"/>
        <item x="442"/>
        <item x="719"/>
        <item x="795"/>
        <item x="532"/>
        <item x="793"/>
        <item x="946"/>
        <item x="650"/>
        <item x="953"/>
        <item x="272"/>
        <item x="77"/>
        <item x="699"/>
        <item x="363"/>
        <item x="391"/>
        <item x="112"/>
        <item x="221"/>
        <item x="535"/>
        <item x="894"/>
        <item x="800"/>
        <item x="724"/>
        <item x="223"/>
        <item x="868"/>
        <item x="347"/>
        <item x="756"/>
        <item x="936"/>
        <item x="721"/>
        <item x="243"/>
        <item x="713"/>
        <item x="677"/>
        <item x="853"/>
        <item x="765"/>
        <item x="536"/>
        <item x="691"/>
        <item x="66"/>
        <item x="554"/>
        <item x="135"/>
        <item x="672"/>
        <item x="529"/>
        <item x="527"/>
        <item x="871"/>
        <item x="611"/>
        <item x="782"/>
        <item x="684"/>
        <item x="88"/>
        <item x="250"/>
        <item x="428"/>
        <item x="949"/>
        <item x="574"/>
        <item x="540"/>
        <item x="599"/>
        <item x="434"/>
        <item x="0"/>
        <item x="530"/>
        <item x="17"/>
        <item x="637"/>
        <item x="879"/>
        <item x="752"/>
        <item x="443"/>
        <item x="291"/>
        <item x="64"/>
        <item x="852"/>
        <item x="403"/>
        <item x="60"/>
        <item x="686"/>
        <item x="192"/>
        <item x="711"/>
        <item x="2"/>
        <item x="628"/>
        <item x="43"/>
        <item x="607"/>
        <item x="294"/>
        <item x="549"/>
        <item x="339"/>
        <item x="742"/>
        <item x="623"/>
        <item x="688"/>
        <item x="460"/>
        <item x="409"/>
        <item x="342"/>
        <item x="86"/>
        <item x="157"/>
        <item x="222"/>
        <item x="898"/>
        <item x="557"/>
        <item x="155"/>
        <item x="738"/>
        <item x="13"/>
        <item x="309"/>
        <item x="851"/>
        <item x="695"/>
        <item x="945"/>
        <item x="84"/>
        <item x="753"/>
        <item x="797"/>
        <item x="338"/>
        <item x="278"/>
        <item x="480"/>
        <item x="53"/>
        <item x="934"/>
        <item x="509"/>
        <item x="875"/>
        <item x="745"/>
        <item x="136"/>
        <item x="233"/>
        <item x="166"/>
        <item x="988"/>
        <item x="97"/>
        <item x="141"/>
        <item x="150"/>
        <item x="845"/>
        <item x="179"/>
        <item x="718"/>
        <item x="38"/>
        <item x="854"/>
        <item x="622"/>
        <item x="744"/>
        <item x="383"/>
        <item x="546"/>
        <item x="216"/>
        <item x="904"/>
        <item x="200"/>
        <item x="325"/>
        <item x="145"/>
        <item x="277"/>
        <item x="184"/>
        <item x="59"/>
        <item x="732"/>
        <item x="728"/>
        <item x="432"/>
        <item x="547"/>
        <item x="390"/>
        <item x="384"/>
        <item x="422"/>
        <item x="477"/>
        <item x="984"/>
        <item x="315"/>
        <item x="23"/>
        <item x="193"/>
        <item x="812"/>
        <item x="750"/>
        <item x="802"/>
        <item x="709"/>
        <item x="803"/>
        <item x="613"/>
        <item x="856"/>
        <item x="927"/>
        <item x="836"/>
        <item x="486"/>
        <item x="561"/>
        <item x="26"/>
        <item x="603"/>
        <item x="171"/>
        <item x="274"/>
        <item x="68"/>
        <item x="402"/>
        <item x="448"/>
        <item x="314"/>
        <item x="583"/>
        <item x="340"/>
        <item x="646"/>
        <item x="863"/>
        <item x="295"/>
        <item x="429"/>
        <item x="832"/>
        <item x="152"/>
        <item x="355"/>
        <item x="972"/>
        <item x="791"/>
        <item x="283"/>
        <item x="244"/>
        <item x="131"/>
        <item x="957"/>
        <item x="61"/>
        <item x="632"/>
        <item x="717"/>
        <item x="188"/>
        <item x="494"/>
        <item x="82"/>
        <item x="601"/>
        <item x="162"/>
        <item x="217"/>
        <item x="715"/>
        <item x="317"/>
        <item x="670"/>
        <item x="21"/>
        <item x="297"/>
        <item x="846"/>
        <item x="125"/>
        <item x="237"/>
        <item x="85"/>
        <item x="664"/>
        <item x="371"/>
        <item x="819"/>
        <item x="487"/>
        <item x="199"/>
        <item x="627"/>
        <item x="588"/>
        <item x="693"/>
        <item x="631"/>
        <item x="789"/>
        <item x="513"/>
        <item x="501"/>
        <item x="862"/>
        <item x="67"/>
        <item x="175"/>
        <item x="234"/>
        <item x="961"/>
        <item x="351"/>
        <item x="785"/>
        <item x="49"/>
        <item x="465"/>
        <item x="220"/>
        <item x="542"/>
        <item x="210"/>
        <item x="573"/>
        <item x="703"/>
        <item x="307"/>
        <item x="943"/>
        <item x="398"/>
        <item x="983"/>
        <item x="504"/>
        <item x="760"/>
        <item x="256"/>
        <item x="187"/>
        <item x="944"/>
        <item x="740"/>
        <item x="771"/>
        <item x="22"/>
        <item x="168"/>
        <item x="544"/>
        <item x="823"/>
        <item x="968"/>
        <item x="81"/>
        <item x="45"/>
        <item x="438"/>
        <item x="892"/>
        <item x="500"/>
        <item x="425"/>
        <item x="489"/>
        <item x="321"/>
        <item x="71"/>
        <item x="126"/>
        <item x="884"/>
        <item x="404"/>
        <item x="154"/>
        <item x="69"/>
        <item x="227"/>
        <item x="367"/>
        <item x="702"/>
        <item x="284"/>
        <item x="424"/>
        <item x="219"/>
        <item x="306"/>
        <item x="257"/>
        <item x="24"/>
        <item x="523"/>
        <item x="609"/>
        <item x="893"/>
        <item x="498"/>
        <item x="289"/>
        <item x="528"/>
        <item x="331"/>
        <item x="459"/>
        <item x="495"/>
        <item x="471"/>
        <item x="773"/>
        <item x="736"/>
        <item x="577"/>
        <item x="810"/>
        <item x="326"/>
        <item x="323"/>
        <item x="36"/>
        <item x="447"/>
        <item x="897"/>
        <item x="861"/>
        <item x="305"/>
        <item x="886"/>
        <item x="261"/>
        <item x="828"/>
        <item x="776"/>
        <item x="707"/>
        <item x="974"/>
        <item x="452"/>
        <item x="837"/>
        <item x="694"/>
        <item x="296"/>
        <item x="201"/>
        <item x="40"/>
        <item x="356"/>
        <item x="484"/>
        <item x="87"/>
        <item x="140"/>
        <item x="411"/>
        <item x="133"/>
        <item x="312"/>
        <item x="537"/>
        <item x="335"/>
        <item x="783"/>
        <item x="273"/>
        <item x="729"/>
        <item x="130"/>
        <item x="78"/>
        <item x="99"/>
        <item x="600"/>
        <item x="847"/>
        <item x="619"/>
        <item x="172"/>
        <item x="826"/>
        <item x="522"/>
        <item x="75"/>
        <item x="360"/>
        <item x="358"/>
        <item x="939"/>
        <item x="374"/>
        <item x="104"/>
        <item x="891"/>
        <item x="236"/>
        <item x="399"/>
        <item x="562"/>
        <item x="483"/>
        <item x="100"/>
        <item x="440"/>
        <item x="859"/>
        <item x="491"/>
        <item x="6"/>
        <item x="786"/>
        <item x="348"/>
        <item x="575"/>
        <item x="14"/>
        <item x="950"/>
        <item x="676"/>
        <item x="604"/>
        <item x="413"/>
        <item x="644"/>
        <item x="419"/>
        <item x="293"/>
        <item x="290"/>
        <item x="822"/>
        <item x="687"/>
        <item x="435"/>
        <item x="240"/>
        <item x="93"/>
        <item x="73"/>
        <item x="669"/>
        <item x="183"/>
        <item x="877"/>
        <item x="692"/>
        <item x="514"/>
        <item x="433"/>
        <item x="375"/>
        <item x="48"/>
        <item x="833"/>
        <item x="673"/>
        <item x="127"/>
        <item x="796"/>
        <item x="933"/>
        <item x="590"/>
        <item x="475"/>
        <item x="114"/>
        <item x="29"/>
        <item x="706"/>
        <item x="533"/>
        <item x="454"/>
        <item x="417"/>
        <item x="671"/>
        <item x="457"/>
        <item x="267"/>
        <item x="249"/>
        <item x="556"/>
        <item x="354"/>
        <item x="124"/>
        <item x="57"/>
        <item x="52"/>
        <item x="517"/>
        <item x="626"/>
        <item x="882"/>
        <item x="970"/>
        <item x="748"/>
        <item x="922"/>
        <item x="896"/>
        <item x="801"/>
        <item x="912"/>
        <item x="106"/>
        <item x="704"/>
        <item x="421"/>
        <item x="218"/>
        <item x="94"/>
        <item x="169"/>
        <item x="903"/>
        <item x="406"/>
        <item x="493"/>
        <item x="541"/>
        <item x="80"/>
        <item x="969"/>
        <item x="4"/>
        <item x="683"/>
        <item x="665"/>
        <item x="349"/>
        <item x="368"/>
        <item x="910"/>
        <item x="11"/>
        <item x="872"/>
        <item x="850"/>
        <item x="860"/>
        <item x="887"/>
        <item x="378"/>
        <item x="174"/>
        <item x="955"/>
        <item x="743"/>
        <item x="697"/>
        <item x="589"/>
        <item x="394"/>
        <item x="204"/>
        <item x="948"/>
        <item x="865"/>
        <item x="108"/>
        <item x="412"/>
        <item x="788"/>
        <item x="848"/>
        <item x="754"/>
        <item x="343"/>
        <item x="467"/>
        <item x="733"/>
        <item x="242"/>
        <item x="208"/>
        <item x="129"/>
        <item x="441"/>
        <item x="641"/>
        <item x="474"/>
        <item x="973"/>
        <item x="507"/>
        <item x="835"/>
        <item x="117"/>
        <item x="908"/>
        <item x="525"/>
        <item x="639"/>
        <item x="813"/>
        <item x="714"/>
        <item x="224"/>
        <item x="482"/>
        <item x="867"/>
        <item x="308"/>
        <item x="144"/>
        <item x="444"/>
        <item x="843"/>
        <item x="156"/>
        <item x="463"/>
        <item x="47"/>
        <item x="827"/>
        <item x="560"/>
        <item x="275"/>
        <item x="161"/>
        <item x="820"/>
        <item x="206"/>
        <item x="966"/>
        <item x="778"/>
        <item x="649"/>
        <item x="271"/>
        <item x="230"/>
        <item x="462"/>
        <item x="758"/>
        <item x="660"/>
        <item x="377"/>
        <item x="864"/>
        <item x="246"/>
        <item x="63"/>
        <item x="768"/>
        <item x="304"/>
        <item x="870"/>
        <item x="158"/>
        <item x="902"/>
        <item x="245"/>
        <item x="654"/>
        <item x="552"/>
        <item x="430"/>
        <item x="416"/>
        <item x="329"/>
        <item x="270"/>
        <item x="548"/>
        <item x="62"/>
        <item x="298"/>
        <item x="322"/>
        <item x="595"/>
        <item x="712"/>
        <item x="809"/>
        <item x="10"/>
        <item x="940"/>
        <item x="814"/>
        <item x="643"/>
        <item x="960"/>
        <item x="747"/>
        <item x="39"/>
        <item x="132"/>
        <item x="153"/>
        <item x="163"/>
        <item x="229"/>
        <item x="280"/>
        <item x="569"/>
        <item x="576"/>
        <item x="890"/>
        <item x="755"/>
        <item x="563"/>
        <item x="840"/>
        <item x="451"/>
        <item x="899"/>
        <item x="515"/>
        <item x="917"/>
        <item x="564"/>
        <item x="979"/>
        <item x="767"/>
        <item x="401"/>
        <item x="844"/>
        <item x="252"/>
        <item x="492"/>
        <item x="337"/>
        <item x="938"/>
        <item x="386"/>
        <item x="190"/>
        <item x="516"/>
        <item x="925"/>
        <item x="534"/>
        <item x="885"/>
        <item x="98"/>
        <item x="685"/>
        <item x="668"/>
        <item x="680"/>
        <item x="726"/>
        <item x="353"/>
        <item x="357"/>
        <item x="330"/>
        <item x="143"/>
        <item x="431"/>
        <item x="311"/>
        <item x="746"/>
        <item x="263"/>
        <item x="937"/>
        <item x="332"/>
        <item x="681"/>
        <item x="579"/>
        <item x="195"/>
        <item x="164"/>
        <item x="372"/>
        <item x="292"/>
        <item x="731"/>
        <item x="798"/>
        <item x="28"/>
        <item x="485"/>
        <item x="510"/>
        <item x="455"/>
        <item x="119"/>
        <item x="469"/>
        <item x="538"/>
        <item x="635"/>
        <item x="350"/>
        <item x="855"/>
        <item x="625"/>
        <item x="287"/>
        <item x="657"/>
        <item x="597"/>
        <item x="630"/>
        <item x="909"/>
        <item x="962"/>
        <item x="320"/>
        <item x="176"/>
        <item x="334"/>
        <item x="624"/>
        <item x="405"/>
        <item x="566"/>
        <item x="656"/>
        <item x="857"/>
        <item x="617"/>
        <item x="138"/>
        <item x="8"/>
        <item x="96"/>
        <item x="327"/>
        <item x="593"/>
        <item x="151"/>
        <item x="920"/>
        <item x="181"/>
        <item x="12"/>
        <item x="838"/>
        <item x="30"/>
        <item x="488"/>
        <item x="741"/>
        <item x="19"/>
        <item x="678"/>
        <item x="763"/>
        <item x="947"/>
        <item x="453"/>
        <item x="369"/>
        <item x="120"/>
        <item x="496"/>
        <item x="414"/>
        <item x="698"/>
        <item x="395"/>
        <item x="963"/>
        <item x="781"/>
        <item x="967"/>
        <item x="265"/>
        <item x="807"/>
        <item t="default"/>
      </items>
    </pivotField>
    <pivotField compact="0" numFmtId="22" outline="0" showAll="0">
      <items count="1001">
        <item x="347"/>
        <item x="667"/>
        <item x="882"/>
        <item x="91"/>
        <item x="744"/>
        <item x="226"/>
        <item x="599"/>
        <item x="103"/>
        <item x="34"/>
        <item x="65"/>
        <item x="706"/>
        <item x="345"/>
        <item x="611"/>
        <item x="440"/>
        <item x="837"/>
        <item x="764"/>
        <item x="964"/>
        <item x="985"/>
        <item x="255"/>
        <item x="460"/>
        <item x="366"/>
        <item x="466"/>
        <item x="620"/>
        <item x="768"/>
        <item x="572"/>
        <item x="254"/>
        <item x="524"/>
        <item x="142"/>
        <item x="239"/>
        <item x="930"/>
        <item x="645"/>
        <item x="495"/>
        <item x="428"/>
        <item x="781"/>
        <item x="924"/>
        <item x="380"/>
        <item x="990"/>
        <item x="302"/>
        <item x="31"/>
        <item x="933"/>
        <item x="182"/>
        <item x="408"/>
        <item x="362"/>
        <item x="826"/>
        <item x="337"/>
        <item x="303"/>
        <item x="610"/>
        <item x="903"/>
        <item x="389"/>
        <item x="702"/>
        <item x="529"/>
        <item x="639"/>
        <item x="382"/>
        <item x="76"/>
        <item x="621"/>
        <item x="939"/>
        <item x="320"/>
        <item x="812"/>
        <item x="165"/>
        <item x="202"/>
        <item x="137"/>
        <item x="262"/>
        <item x="786"/>
        <item x="536"/>
        <item x="482"/>
        <item x="938"/>
        <item x="212"/>
        <item x="118"/>
        <item x="625"/>
        <item x="7"/>
        <item x="186"/>
        <item x="3"/>
        <item x="839"/>
        <item x="968"/>
        <item x="941"/>
        <item x="728"/>
        <item x="231"/>
        <item x="197"/>
        <item x="205"/>
        <item x="777"/>
        <item x="269"/>
        <item x="888"/>
        <item x="847"/>
        <item x="485"/>
        <item x="180"/>
        <item x="101"/>
        <item x="587"/>
        <item x="121"/>
        <item x="377"/>
        <item x="207"/>
        <item x="381"/>
        <item x="502"/>
        <item x="20"/>
        <item x="115"/>
        <item x="771"/>
        <item x="742"/>
        <item x="884"/>
        <item x="961"/>
        <item x="729"/>
        <item x="194"/>
        <item x="421"/>
        <item x="232"/>
        <item x="626"/>
        <item x="896"/>
        <item x="178"/>
        <item x="842"/>
        <item x="672"/>
        <item x="548"/>
        <item x="643"/>
        <item x="589"/>
        <item x="940"/>
        <item x="25"/>
        <item x="619"/>
        <item x="726"/>
        <item x="128"/>
        <item x="857"/>
        <item x="147"/>
        <item x="874"/>
        <item x="849"/>
        <item x="510"/>
        <item x="214"/>
        <item x="139"/>
        <item x="394"/>
        <item x="109"/>
        <item x="913"/>
        <item x="160"/>
        <item x="367"/>
        <item x="671"/>
        <item x="613"/>
        <item x="782"/>
        <item x="173"/>
        <item x="317"/>
        <item x="590"/>
        <item x="935"/>
        <item x="647"/>
        <item x="623"/>
        <item x="526"/>
        <item x="833"/>
        <item x="987"/>
        <item x="663"/>
        <item x="716"/>
        <item x="342"/>
        <item x="586"/>
        <item x="282"/>
        <item x="211"/>
        <item x="891"/>
        <item x="507"/>
        <item x="70"/>
        <item x="823"/>
        <item x="451"/>
        <item x="996"/>
        <item x="56"/>
        <item x="18"/>
        <item x="650"/>
        <item x="374"/>
        <item x="365"/>
        <item x="281"/>
        <item x="923"/>
        <item x="800"/>
        <item x="657"/>
        <item x="707"/>
        <item x="558"/>
        <item x="266"/>
        <item x="110"/>
        <item x="969"/>
        <item x="766"/>
        <item x="44"/>
        <item x="664"/>
        <item x="473"/>
        <item x="866"/>
        <item x="653"/>
        <item x="72"/>
        <item x="791"/>
        <item x="16"/>
        <item x="560"/>
        <item x="550"/>
        <item x="722"/>
        <item x="251"/>
        <item x="9"/>
        <item x="746"/>
        <item x="55"/>
        <item x="285"/>
        <item x="33"/>
        <item x="617"/>
        <item x="601"/>
        <item x="695"/>
        <item x="253"/>
        <item x="89"/>
        <item x="228"/>
        <item x="134"/>
        <item x="95"/>
        <item x="583"/>
        <item x="437"/>
        <item x="928"/>
        <item x="248"/>
        <item x="508"/>
        <item x="483"/>
        <item x="427"/>
        <item x="51"/>
        <item x="784"/>
        <item x="615"/>
        <item x="914"/>
        <item x="301"/>
        <item x="213"/>
        <item x="241"/>
        <item x="787"/>
        <item x="995"/>
        <item x="90"/>
        <item x="838"/>
        <item x="458"/>
        <item x="991"/>
        <item x="102"/>
        <item x="268"/>
        <item x="264"/>
        <item x="758"/>
        <item x="54"/>
        <item x="516"/>
        <item x="79"/>
        <item x="225"/>
        <item x="58"/>
        <item x="146"/>
        <item x="523"/>
        <item x="694"/>
        <item x="556"/>
        <item x="638"/>
        <item x="37"/>
        <item x="988"/>
        <item x="776"/>
        <item x="997"/>
        <item x="927"/>
        <item x="35"/>
        <item x="687"/>
        <item x="5"/>
        <item x="680"/>
        <item x="531"/>
        <item x="597"/>
        <item x="288"/>
        <item x="897"/>
        <item x="877"/>
        <item x="711"/>
        <item x="329"/>
        <item x="353"/>
        <item x="476"/>
        <item x="314"/>
        <item x="149"/>
        <item x="737"/>
        <item x="596"/>
        <item x="511"/>
        <item x="585"/>
        <item x="881"/>
        <item x="544"/>
        <item x="386"/>
        <item x="960"/>
        <item x="999"/>
        <item x="814"/>
        <item x="346"/>
        <item x="416"/>
        <item x="668"/>
        <item x="393"/>
        <item x="576"/>
        <item x="937"/>
        <item x="575"/>
        <item x="235"/>
        <item x="886"/>
        <item x="555"/>
        <item x="170"/>
        <item x="189"/>
        <item x="592"/>
        <item x="203"/>
        <item x="700"/>
        <item x="504"/>
        <item x="32"/>
        <item x="889"/>
        <item x="27"/>
        <item x="447"/>
        <item x="424"/>
        <item x="122"/>
        <item x="159"/>
        <item x="807"/>
        <item x="909"/>
        <item x="1"/>
        <item x="756"/>
        <item x="300"/>
        <item x="591"/>
        <item x="390"/>
        <item x="975"/>
        <item x="92"/>
        <item x="577"/>
        <item x="731"/>
        <item x="191"/>
        <item x="816"/>
        <item x="773"/>
        <item x="992"/>
        <item x="471"/>
        <item x="258"/>
        <item x="452"/>
        <item x="652"/>
        <item x="794"/>
        <item x="411"/>
        <item x="215"/>
        <item x="319"/>
        <item x="276"/>
        <item x="641"/>
        <item x="607"/>
        <item x="950"/>
        <item x="259"/>
        <item x="714"/>
        <item x="932"/>
        <item x="238"/>
        <item x="448"/>
        <item x="477"/>
        <item x="570"/>
        <item x="513"/>
        <item x="397"/>
        <item x="480"/>
        <item x="409"/>
        <item x="986"/>
        <item x="908"/>
        <item x="779"/>
        <item x="825"/>
        <item x="383"/>
        <item x="107"/>
        <item x="177"/>
        <item x="824"/>
        <item x="260"/>
        <item x="74"/>
        <item x="603"/>
        <item x="111"/>
        <item x="819"/>
        <item x="944"/>
        <item x="802"/>
        <item x="105"/>
        <item x="463"/>
        <item x="371"/>
        <item x="684"/>
        <item x="113"/>
        <item x="563"/>
        <item x="962"/>
        <item x="116"/>
        <item x="922"/>
        <item x="83"/>
        <item x="279"/>
        <item x="981"/>
        <item x="634"/>
        <item x="299"/>
        <item x="325"/>
        <item x="311"/>
        <item x="564"/>
        <item x="966"/>
        <item x="209"/>
        <item x="660"/>
        <item x="46"/>
        <item x="50"/>
        <item x="148"/>
        <item x="419"/>
        <item x="741"/>
        <item x="468"/>
        <item x="388"/>
        <item x="185"/>
        <item x="360"/>
        <item x="679"/>
        <item x="123"/>
        <item x="42"/>
        <item x="15"/>
        <item x="247"/>
        <item x="974"/>
        <item x="438"/>
        <item x="196"/>
        <item x="167"/>
        <item x="573"/>
        <item x="733"/>
        <item x="832"/>
        <item x="920"/>
        <item x="398"/>
        <item x="951"/>
        <item x="829"/>
        <item x="658"/>
        <item x="916"/>
        <item x="525"/>
        <item x="925"/>
        <item x="198"/>
        <item x="363"/>
        <item x="286"/>
        <item x="517"/>
        <item x="797"/>
        <item x="401"/>
        <item x="850"/>
        <item x="666"/>
        <item x="41"/>
        <item x="334"/>
        <item x="813"/>
        <item x="656"/>
        <item x="725"/>
        <item x="769"/>
        <item x="443"/>
        <item x="803"/>
        <item x="537"/>
        <item x="801"/>
        <item x="955"/>
        <item x="655"/>
        <item x="963"/>
        <item x="272"/>
        <item x="77"/>
        <item x="705"/>
        <item x="364"/>
        <item x="112"/>
        <item x="392"/>
        <item x="221"/>
        <item x="540"/>
        <item x="902"/>
        <item x="808"/>
        <item x="223"/>
        <item x="730"/>
        <item x="469"/>
        <item x="876"/>
        <item x="348"/>
        <item x="763"/>
        <item x="945"/>
        <item x="243"/>
        <item x="727"/>
        <item x="719"/>
        <item x="682"/>
        <item x="861"/>
        <item x="772"/>
        <item x="541"/>
        <item x="696"/>
        <item x="66"/>
        <item x="559"/>
        <item x="135"/>
        <item x="534"/>
        <item x="677"/>
        <item x="532"/>
        <item x="879"/>
        <item x="616"/>
        <item x="789"/>
        <item x="88"/>
        <item x="689"/>
        <item x="250"/>
        <item x="429"/>
        <item x="958"/>
        <item x="579"/>
        <item x="545"/>
        <item x="604"/>
        <item x="0"/>
        <item x="435"/>
        <item x="535"/>
        <item x="17"/>
        <item x="887"/>
        <item x="642"/>
        <item x="759"/>
        <item x="291"/>
        <item x="444"/>
        <item x="64"/>
        <item x="860"/>
        <item x="192"/>
        <item x="60"/>
        <item x="404"/>
        <item x="691"/>
        <item x="717"/>
        <item x="2"/>
        <item x="633"/>
        <item x="43"/>
        <item x="612"/>
        <item x="294"/>
        <item x="554"/>
        <item x="340"/>
        <item x="749"/>
        <item x="628"/>
        <item x="693"/>
        <item x="462"/>
        <item x="343"/>
        <item x="410"/>
        <item x="86"/>
        <item x="157"/>
        <item x="222"/>
        <item x="906"/>
        <item x="155"/>
        <item x="562"/>
        <item x="745"/>
        <item x="13"/>
        <item x="309"/>
        <item x="859"/>
        <item x="701"/>
        <item x="954"/>
        <item x="760"/>
        <item x="84"/>
        <item x="805"/>
        <item x="339"/>
        <item x="278"/>
        <item x="53"/>
        <item x="484"/>
        <item x="943"/>
        <item x="514"/>
        <item x="752"/>
        <item x="883"/>
        <item x="136"/>
        <item x="233"/>
        <item x="166"/>
        <item x="998"/>
        <item x="97"/>
        <item x="141"/>
        <item x="853"/>
        <item x="150"/>
        <item x="179"/>
        <item x="724"/>
        <item x="862"/>
        <item x="38"/>
        <item x="627"/>
        <item x="384"/>
        <item x="751"/>
        <item x="551"/>
        <item x="216"/>
        <item x="912"/>
        <item x="200"/>
        <item x="326"/>
        <item x="145"/>
        <item x="277"/>
        <item x="184"/>
        <item x="59"/>
        <item x="739"/>
        <item x="735"/>
        <item x="552"/>
        <item x="391"/>
        <item x="385"/>
        <item x="433"/>
        <item x="994"/>
        <item x="423"/>
        <item x="481"/>
        <item x="316"/>
        <item x="23"/>
        <item x="193"/>
        <item x="757"/>
        <item x="820"/>
        <item x="810"/>
        <item x="715"/>
        <item x="811"/>
        <item x="618"/>
        <item x="864"/>
        <item x="936"/>
        <item x="491"/>
        <item x="566"/>
        <item x="608"/>
        <item x="26"/>
        <item x="844"/>
        <item x="171"/>
        <item x="798"/>
        <item x="274"/>
        <item x="68"/>
        <item x="403"/>
        <item x="450"/>
        <item x="315"/>
        <item x="588"/>
        <item x="341"/>
        <item x="651"/>
        <item x="871"/>
        <item x="295"/>
        <item x="430"/>
        <item x="840"/>
        <item x="982"/>
        <item x="356"/>
        <item x="152"/>
        <item x="244"/>
        <item x="799"/>
        <item x="283"/>
        <item x="131"/>
        <item x="967"/>
        <item x="61"/>
        <item x="637"/>
        <item x="723"/>
        <item x="188"/>
        <item x="499"/>
        <item x="606"/>
        <item x="82"/>
        <item x="721"/>
        <item x="162"/>
        <item x="217"/>
        <item x="318"/>
        <item x="21"/>
        <item x="675"/>
        <item x="854"/>
        <item x="297"/>
        <item x="125"/>
        <item x="237"/>
        <item x="85"/>
        <item x="669"/>
        <item x="827"/>
        <item x="372"/>
        <item x="492"/>
        <item x="199"/>
        <item x="632"/>
        <item x="698"/>
        <item x="636"/>
        <item x="593"/>
        <item x="796"/>
        <item x="518"/>
        <item x="67"/>
        <item x="175"/>
        <item x="870"/>
        <item x="506"/>
        <item x="234"/>
        <item x="352"/>
        <item x="971"/>
        <item x="467"/>
        <item x="49"/>
        <item x="792"/>
        <item x="220"/>
        <item x="547"/>
        <item x="210"/>
        <item x="578"/>
        <item x="709"/>
        <item x="307"/>
        <item x="952"/>
        <item x="399"/>
        <item x="993"/>
        <item x="509"/>
        <item x="767"/>
        <item x="187"/>
        <item x="256"/>
        <item x="953"/>
        <item x="747"/>
        <item x="168"/>
        <item x="22"/>
        <item x="778"/>
        <item x="549"/>
        <item x="831"/>
        <item x="978"/>
        <item x="81"/>
        <item x="45"/>
        <item x="439"/>
        <item x="505"/>
        <item x="900"/>
        <item x="322"/>
        <item x="494"/>
        <item x="426"/>
        <item x="71"/>
        <item x="126"/>
        <item x="405"/>
        <item x="892"/>
        <item x="69"/>
        <item x="154"/>
        <item x="227"/>
        <item x="368"/>
        <item x="708"/>
        <item x="915"/>
        <item x="284"/>
        <item x="425"/>
        <item x="219"/>
        <item x="257"/>
        <item x="24"/>
        <item x="306"/>
        <item x="474"/>
        <item x="528"/>
        <item x="901"/>
        <item x="614"/>
        <item x="503"/>
        <item x="289"/>
        <item x="533"/>
        <item x="332"/>
        <item x="461"/>
        <item x="500"/>
        <item x="475"/>
        <item x="780"/>
        <item x="743"/>
        <item x="582"/>
        <item x="327"/>
        <item x="818"/>
        <item x="324"/>
        <item x="449"/>
        <item x="36"/>
        <item x="869"/>
        <item x="905"/>
        <item x="305"/>
        <item x="894"/>
        <item x="261"/>
        <item x="836"/>
        <item x="783"/>
        <item x="454"/>
        <item x="713"/>
        <item x="984"/>
        <item x="699"/>
        <item x="845"/>
        <item x="296"/>
        <item x="357"/>
        <item x="40"/>
        <item x="201"/>
        <item x="489"/>
        <item x="87"/>
        <item x="140"/>
        <item x="133"/>
        <item x="412"/>
        <item x="313"/>
        <item x="542"/>
        <item x="336"/>
        <item x="273"/>
        <item x="736"/>
        <item x="790"/>
        <item x="78"/>
        <item x="130"/>
        <item x="99"/>
        <item x="605"/>
        <item x="624"/>
        <item x="855"/>
        <item x="172"/>
        <item x="834"/>
        <item x="75"/>
        <item x="527"/>
        <item x="361"/>
        <item x="359"/>
        <item x="948"/>
        <item x="104"/>
        <item x="375"/>
        <item x="899"/>
        <item x="236"/>
        <item x="400"/>
        <item x="567"/>
        <item x="487"/>
        <item x="100"/>
        <item x="496"/>
        <item x="441"/>
        <item x="6"/>
        <item x="867"/>
        <item x="793"/>
        <item x="349"/>
        <item x="14"/>
        <item x="959"/>
        <item x="580"/>
        <item x="681"/>
        <item x="609"/>
        <item x="414"/>
        <item x="649"/>
        <item x="420"/>
        <item x="293"/>
        <item x="290"/>
        <item x="830"/>
        <item x="692"/>
        <item x="436"/>
        <item x="240"/>
        <item x="93"/>
        <item x="73"/>
        <item x="674"/>
        <item x="183"/>
        <item x="885"/>
        <item x="519"/>
        <item x="697"/>
        <item x="434"/>
        <item x="376"/>
        <item x="48"/>
        <item x="841"/>
        <item x="734"/>
        <item x="678"/>
        <item x="127"/>
        <item x="804"/>
        <item x="595"/>
        <item x="942"/>
        <item x="114"/>
        <item x="479"/>
        <item x="29"/>
        <item x="712"/>
        <item x="456"/>
        <item x="538"/>
        <item x="418"/>
        <item x="676"/>
        <item x="459"/>
        <item x="267"/>
        <item x="355"/>
        <item x="249"/>
        <item x="124"/>
        <item x="561"/>
        <item x="57"/>
        <item x="446"/>
        <item x="52"/>
        <item x="522"/>
        <item x="631"/>
        <item x="980"/>
        <item x="890"/>
        <item x="755"/>
        <item x="931"/>
        <item x="904"/>
        <item x="809"/>
        <item x="921"/>
        <item x="710"/>
        <item x="106"/>
        <item x="422"/>
        <item x="218"/>
        <item x="94"/>
        <item x="911"/>
        <item x="169"/>
        <item x="407"/>
        <item x="498"/>
        <item x="80"/>
        <item x="546"/>
        <item x="979"/>
        <item x="4"/>
        <item x="688"/>
        <item x="670"/>
        <item x="350"/>
        <item x="369"/>
        <item x="919"/>
        <item x="11"/>
        <item x="880"/>
        <item x="858"/>
        <item x="895"/>
        <item x="868"/>
        <item x="379"/>
        <item x="174"/>
        <item x="965"/>
        <item x="750"/>
        <item x="594"/>
        <item x="703"/>
        <item x="395"/>
        <item x="204"/>
        <item x="108"/>
        <item x="957"/>
        <item x="873"/>
        <item x="413"/>
        <item x="795"/>
        <item x="856"/>
        <item x="761"/>
        <item x="470"/>
        <item x="344"/>
        <item x="242"/>
        <item x="740"/>
        <item x="442"/>
        <item x="129"/>
        <item x="983"/>
        <item x="646"/>
        <item x="478"/>
        <item x="512"/>
        <item x="208"/>
        <item x="843"/>
        <item x="117"/>
        <item x="530"/>
        <item x="917"/>
        <item x="644"/>
        <item x="720"/>
        <item x="821"/>
        <item x="224"/>
        <item x="486"/>
        <item x="875"/>
        <item x="308"/>
        <item x="144"/>
        <item x="851"/>
        <item x="445"/>
        <item x="465"/>
        <item x="156"/>
        <item x="47"/>
        <item x="835"/>
        <item x="565"/>
        <item x="275"/>
        <item x="828"/>
        <item x="161"/>
        <item x="206"/>
        <item x="976"/>
        <item x="785"/>
        <item x="654"/>
        <item x="271"/>
        <item x="230"/>
        <item x="464"/>
        <item x="765"/>
        <item x="665"/>
        <item x="872"/>
        <item x="378"/>
        <item x="246"/>
        <item x="63"/>
        <item x="775"/>
        <item x="304"/>
        <item x="310"/>
        <item x="158"/>
        <item x="878"/>
        <item x="910"/>
        <item x="245"/>
        <item x="659"/>
        <item x="557"/>
        <item x="431"/>
        <item x="330"/>
        <item x="270"/>
        <item x="417"/>
        <item x="553"/>
        <item x="62"/>
        <item x="298"/>
        <item x="323"/>
        <item x="718"/>
        <item x="600"/>
        <item x="817"/>
        <item x="10"/>
        <item x="949"/>
        <item x="822"/>
        <item x="648"/>
        <item x="754"/>
        <item x="970"/>
        <item x="39"/>
        <item x="153"/>
        <item x="132"/>
        <item x="163"/>
        <item x="229"/>
        <item x="280"/>
        <item x="581"/>
        <item x="898"/>
        <item x="574"/>
        <item x="568"/>
        <item x="762"/>
        <item x="848"/>
        <item x="453"/>
        <item x="907"/>
        <item x="520"/>
        <item x="569"/>
        <item x="926"/>
        <item x="989"/>
        <item x="774"/>
        <item x="402"/>
        <item x="252"/>
        <item x="852"/>
        <item x="497"/>
        <item x="338"/>
        <item x="947"/>
        <item x="387"/>
        <item x="190"/>
        <item x="521"/>
        <item x="934"/>
        <item x="539"/>
        <item x="98"/>
        <item x="893"/>
        <item x="690"/>
        <item x="673"/>
        <item x="685"/>
        <item x="732"/>
        <item x="331"/>
        <item x="354"/>
        <item x="143"/>
        <item x="358"/>
        <item x="432"/>
        <item x="312"/>
        <item x="753"/>
        <item x="946"/>
        <item x="333"/>
        <item x="263"/>
        <item x="584"/>
        <item x="686"/>
        <item x="195"/>
        <item x="164"/>
        <item x="373"/>
        <item x="292"/>
        <item x="738"/>
        <item x="806"/>
        <item x="490"/>
        <item x="515"/>
        <item x="28"/>
        <item x="457"/>
        <item x="488"/>
        <item x="640"/>
        <item x="863"/>
        <item x="119"/>
        <item x="472"/>
        <item x="351"/>
        <item x="630"/>
        <item x="543"/>
        <item x="287"/>
        <item x="662"/>
        <item x="602"/>
        <item x="635"/>
        <item x="918"/>
        <item x="321"/>
        <item x="176"/>
        <item x="335"/>
        <item x="972"/>
        <item x="629"/>
        <item x="406"/>
        <item x="571"/>
        <item x="865"/>
        <item x="661"/>
        <item x="138"/>
        <item x="622"/>
        <item x="8"/>
        <item x="96"/>
        <item x="328"/>
        <item x="151"/>
        <item x="598"/>
        <item x="929"/>
        <item x="181"/>
        <item x="12"/>
        <item x="846"/>
        <item x="30"/>
        <item x="493"/>
        <item x="748"/>
        <item x="19"/>
        <item x="683"/>
        <item x="956"/>
        <item x="770"/>
        <item x="455"/>
        <item x="370"/>
        <item x="120"/>
        <item x="415"/>
        <item x="501"/>
        <item x="704"/>
        <item x="396"/>
        <item x="973"/>
        <item x="977"/>
        <item x="815"/>
        <item x="265"/>
        <item x="788"/>
        <item t="default"/>
      </items>
    </pivotField>
    <pivotField compact="0" numFmtId="22" outline="0" showAll="0">
      <items count="1000">
        <item x="346"/>
        <item x="666"/>
        <item x="881"/>
        <item x="91"/>
        <item x="743"/>
        <item x="226"/>
        <item x="598"/>
        <item x="103"/>
        <item x="34"/>
        <item x="65"/>
        <item x="344"/>
        <item x="705"/>
        <item x="610"/>
        <item x="439"/>
        <item x="763"/>
        <item x="836"/>
        <item x="963"/>
        <item x="984"/>
        <item x="254"/>
        <item x="459"/>
        <item x="365"/>
        <item x="465"/>
        <item x="767"/>
        <item x="619"/>
        <item x="571"/>
        <item x="253"/>
        <item x="523"/>
        <item x="142"/>
        <item x="238"/>
        <item x="929"/>
        <item x="644"/>
        <item x="494"/>
        <item x="427"/>
        <item x="780"/>
        <item x="923"/>
        <item x="379"/>
        <item x="301"/>
        <item x="989"/>
        <item x="31"/>
        <item x="932"/>
        <item x="182"/>
        <item x="407"/>
        <item x="361"/>
        <item x="825"/>
        <item x="336"/>
        <item x="302"/>
        <item x="609"/>
        <item x="902"/>
        <item x="388"/>
        <item x="701"/>
        <item x="528"/>
        <item x="638"/>
        <item x="381"/>
        <item x="76"/>
        <item x="620"/>
        <item x="938"/>
        <item x="319"/>
        <item x="811"/>
        <item x="165"/>
        <item x="202"/>
        <item x="137"/>
        <item x="261"/>
        <item x="785"/>
        <item x="535"/>
        <item x="481"/>
        <item x="937"/>
        <item x="212"/>
        <item x="118"/>
        <item x="624"/>
        <item x="7"/>
        <item x="186"/>
        <item x="3"/>
        <item x="838"/>
        <item x="967"/>
        <item x="940"/>
        <item x="727"/>
        <item x="230"/>
        <item x="197"/>
        <item x="205"/>
        <item x="776"/>
        <item x="268"/>
        <item x="887"/>
        <item x="846"/>
        <item x="484"/>
        <item x="180"/>
        <item x="101"/>
        <item x="586"/>
        <item x="121"/>
        <item x="376"/>
        <item x="207"/>
        <item x="380"/>
        <item x="501"/>
        <item x="20"/>
        <item x="115"/>
        <item x="770"/>
        <item x="741"/>
        <item x="883"/>
        <item x="728"/>
        <item x="194"/>
        <item x="960"/>
        <item x="420"/>
        <item x="231"/>
        <item x="625"/>
        <item x="895"/>
        <item x="178"/>
        <item x="841"/>
        <item x="671"/>
        <item x="547"/>
        <item x="642"/>
        <item x="588"/>
        <item x="939"/>
        <item x="25"/>
        <item x="618"/>
        <item x="128"/>
        <item x="725"/>
        <item x="856"/>
        <item x="147"/>
        <item x="873"/>
        <item x="848"/>
        <item x="509"/>
        <item x="214"/>
        <item x="139"/>
        <item x="393"/>
        <item x="912"/>
        <item x="109"/>
        <item x="160"/>
        <item x="366"/>
        <item x="670"/>
        <item x="781"/>
        <item x="612"/>
        <item x="173"/>
        <item x="316"/>
        <item x="589"/>
        <item x="934"/>
        <item x="646"/>
        <item x="622"/>
        <item x="525"/>
        <item x="832"/>
        <item x="986"/>
        <item x="662"/>
        <item x="715"/>
        <item x="585"/>
        <item x="341"/>
        <item x="281"/>
        <item x="211"/>
        <item x="890"/>
        <item x="506"/>
        <item x="70"/>
        <item x="822"/>
        <item x="450"/>
        <item x="995"/>
        <item x="56"/>
        <item x="18"/>
        <item x="649"/>
        <item x="373"/>
        <item x="364"/>
        <item x="280"/>
        <item x="799"/>
        <item x="922"/>
        <item x="656"/>
        <item x="706"/>
        <item x="557"/>
        <item x="265"/>
        <item x="110"/>
        <item x="968"/>
        <item x="765"/>
        <item x="44"/>
        <item x="663"/>
        <item x="472"/>
        <item x="865"/>
        <item x="652"/>
        <item x="790"/>
        <item x="72"/>
        <item x="16"/>
        <item x="559"/>
        <item x="549"/>
        <item x="721"/>
        <item x="250"/>
        <item x="9"/>
        <item x="745"/>
        <item x="55"/>
        <item x="284"/>
        <item x="33"/>
        <item x="616"/>
        <item x="600"/>
        <item x="694"/>
        <item x="252"/>
        <item x="89"/>
        <item x="228"/>
        <item x="95"/>
        <item x="134"/>
        <item x="436"/>
        <item x="582"/>
        <item x="927"/>
        <item x="247"/>
        <item x="507"/>
        <item x="482"/>
        <item x="426"/>
        <item x="51"/>
        <item x="783"/>
        <item x="614"/>
        <item x="913"/>
        <item x="300"/>
        <item x="213"/>
        <item x="240"/>
        <item x="786"/>
        <item x="994"/>
        <item x="90"/>
        <item x="457"/>
        <item x="837"/>
        <item x="990"/>
        <item x="102"/>
        <item x="267"/>
        <item x="757"/>
        <item x="263"/>
        <item x="54"/>
        <item x="515"/>
        <item x="79"/>
        <item x="58"/>
        <item x="225"/>
        <item x="146"/>
        <item x="522"/>
        <item x="693"/>
        <item x="555"/>
        <item x="637"/>
        <item x="37"/>
        <item x="987"/>
        <item x="775"/>
        <item x="996"/>
        <item x="926"/>
        <item x="686"/>
        <item x="5"/>
        <item x="35"/>
        <item x="679"/>
        <item x="530"/>
        <item x="596"/>
        <item x="287"/>
        <item x="896"/>
        <item x="876"/>
        <item x="710"/>
        <item x="328"/>
        <item x="352"/>
        <item x="475"/>
        <item x="313"/>
        <item x="149"/>
        <item x="736"/>
        <item x="595"/>
        <item x="510"/>
        <item x="584"/>
        <item x="880"/>
        <item x="543"/>
        <item x="385"/>
        <item x="959"/>
        <item x="998"/>
        <item x="813"/>
        <item x="345"/>
        <item x="415"/>
        <item x="667"/>
        <item x="392"/>
        <item x="575"/>
        <item x="936"/>
        <item x="574"/>
        <item x="234"/>
        <item x="885"/>
        <item x="554"/>
        <item x="170"/>
        <item x="189"/>
        <item x="591"/>
        <item x="203"/>
        <item x="699"/>
        <item x="503"/>
        <item x="32"/>
        <item x="888"/>
        <item x="27"/>
        <item x="446"/>
        <item x="423"/>
        <item x="122"/>
        <item x="159"/>
        <item x="806"/>
        <item x="908"/>
        <item x="1"/>
        <item x="755"/>
        <item x="299"/>
        <item x="389"/>
        <item x="590"/>
        <item x="974"/>
        <item x="92"/>
        <item x="576"/>
        <item x="730"/>
        <item x="191"/>
        <item x="815"/>
        <item x="772"/>
        <item x="991"/>
        <item x="470"/>
        <item x="257"/>
        <item x="451"/>
        <item x="651"/>
        <item x="793"/>
        <item x="410"/>
        <item x="215"/>
        <item x="318"/>
        <item x="275"/>
        <item x="640"/>
        <item x="606"/>
        <item x="949"/>
        <item x="258"/>
        <item x="713"/>
        <item x="931"/>
        <item x="237"/>
        <item x="447"/>
        <item x="476"/>
        <item x="569"/>
        <item x="512"/>
        <item x="396"/>
        <item x="479"/>
        <item x="408"/>
        <item x="985"/>
        <item x="907"/>
        <item x="778"/>
        <item x="824"/>
        <item x="382"/>
        <item x="107"/>
        <item x="177"/>
        <item x="823"/>
        <item x="259"/>
        <item x="74"/>
        <item x="602"/>
        <item x="111"/>
        <item x="818"/>
        <item x="943"/>
        <item x="801"/>
        <item x="105"/>
        <item x="462"/>
        <item x="370"/>
        <item x="683"/>
        <item x="113"/>
        <item x="562"/>
        <item x="961"/>
        <item x="116"/>
        <item x="921"/>
        <item x="83"/>
        <item x="278"/>
        <item x="980"/>
        <item x="633"/>
        <item x="298"/>
        <item x="324"/>
        <item x="310"/>
        <item x="563"/>
        <item x="965"/>
        <item x="209"/>
        <item x="659"/>
        <item x="46"/>
        <item x="50"/>
        <item x="148"/>
        <item x="418"/>
        <item x="740"/>
        <item x="467"/>
        <item x="387"/>
        <item x="185"/>
        <item x="359"/>
        <item x="678"/>
        <item x="123"/>
        <item x="42"/>
        <item x="15"/>
        <item x="246"/>
        <item x="973"/>
        <item x="437"/>
        <item x="196"/>
        <item x="167"/>
        <item x="732"/>
        <item x="572"/>
        <item x="831"/>
        <item x="919"/>
        <item x="397"/>
        <item x="950"/>
        <item x="828"/>
        <item x="657"/>
        <item x="915"/>
        <item x="524"/>
        <item x="924"/>
        <item x="198"/>
        <item x="362"/>
        <item x="285"/>
        <item x="516"/>
        <item x="796"/>
        <item x="400"/>
        <item x="849"/>
        <item x="665"/>
        <item x="41"/>
        <item x="333"/>
        <item x="812"/>
        <item x="724"/>
        <item x="768"/>
        <item x="442"/>
        <item x="802"/>
        <item x="655"/>
        <item x="800"/>
        <item x="536"/>
        <item x="954"/>
        <item x="654"/>
        <item x="962"/>
        <item x="271"/>
        <item x="77"/>
        <item x="704"/>
        <item x="363"/>
        <item x="112"/>
        <item x="391"/>
        <item x="221"/>
        <item x="539"/>
        <item x="901"/>
        <item x="807"/>
        <item x="223"/>
        <item x="729"/>
        <item x="468"/>
        <item x="875"/>
        <item x="347"/>
        <item x="762"/>
        <item x="944"/>
        <item x="242"/>
        <item x="726"/>
        <item x="718"/>
        <item x="681"/>
        <item x="860"/>
        <item x="771"/>
        <item x="540"/>
        <item x="695"/>
        <item x="66"/>
        <item x="135"/>
        <item x="558"/>
        <item x="533"/>
        <item x="676"/>
        <item x="531"/>
        <item x="878"/>
        <item x="615"/>
        <item x="788"/>
        <item x="88"/>
        <item x="688"/>
        <item x="249"/>
        <item x="957"/>
        <item x="428"/>
        <item x="578"/>
        <item x="544"/>
        <item x="603"/>
        <item x="0"/>
        <item x="434"/>
        <item x="534"/>
        <item x="17"/>
        <item x="886"/>
        <item x="641"/>
        <item x="758"/>
        <item x="290"/>
        <item x="443"/>
        <item x="64"/>
        <item x="859"/>
        <item x="192"/>
        <item x="60"/>
        <item x="403"/>
        <item x="690"/>
        <item x="716"/>
        <item x="2"/>
        <item x="632"/>
        <item x="43"/>
        <item x="611"/>
        <item x="293"/>
        <item x="553"/>
        <item x="339"/>
        <item x="748"/>
        <item x="627"/>
        <item x="692"/>
        <item x="461"/>
        <item x="342"/>
        <item x="409"/>
        <item x="86"/>
        <item x="157"/>
        <item x="222"/>
        <item x="905"/>
        <item x="155"/>
        <item x="561"/>
        <item x="744"/>
        <item x="13"/>
        <item x="858"/>
        <item x="308"/>
        <item x="700"/>
        <item x="953"/>
        <item x="759"/>
        <item x="84"/>
        <item x="804"/>
        <item x="338"/>
        <item x="277"/>
        <item x="53"/>
        <item x="483"/>
        <item x="942"/>
        <item x="513"/>
        <item x="751"/>
        <item x="882"/>
        <item x="136"/>
        <item x="232"/>
        <item x="166"/>
        <item x="997"/>
        <item x="97"/>
        <item x="141"/>
        <item x="852"/>
        <item x="150"/>
        <item x="179"/>
        <item x="723"/>
        <item x="861"/>
        <item x="38"/>
        <item x="626"/>
        <item x="383"/>
        <item x="750"/>
        <item x="550"/>
        <item x="216"/>
        <item x="911"/>
        <item x="200"/>
        <item x="325"/>
        <item x="145"/>
        <item x="276"/>
        <item x="184"/>
        <item x="59"/>
        <item x="738"/>
        <item x="734"/>
        <item x="551"/>
        <item x="390"/>
        <item x="432"/>
        <item x="384"/>
        <item x="422"/>
        <item x="480"/>
        <item x="993"/>
        <item x="315"/>
        <item x="23"/>
        <item x="193"/>
        <item x="756"/>
        <item x="819"/>
        <item x="809"/>
        <item x="714"/>
        <item x="810"/>
        <item x="617"/>
        <item x="863"/>
        <item x="935"/>
        <item x="490"/>
        <item x="565"/>
        <item x="607"/>
        <item x="26"/>
        <item x="843"/>
        <item x="171"/>
        <item x="797"/>
        <item x="68"/>
        <item x="273"/>
        <item x="402"/>
        <item x="449"/>
        <item x="314"/>
        <item x="587"/>
        <item x="340"/>
        <item x="650"/>
        <item x="870"/>
        <item x="294"/>
        <item x="429"/>
        <item x="839"/>
        <item x="981"/>
        <item x="355"/>
        <item x="152"/>
        <item x="243"/>
        <item x="798"/>
        <item x="282"/>
        <item x="131"/>
        <item x="966"/>
        <item x="61"/>
        <item x="636"/>
        <item x="722"/>
        <item x="188"/>
        <item x="498"/>
        <item x="82"/>
        <item x="605"/>
        <item x="720"/>
        <item x="217"/>
        <item x="162"/>
        <item x="317"/>
        <item x="21"/>
        <item x="674"/>
        <item x="296"/>
        <item x="853"/>
        <item x="125"/>
        <item x="236"/>
        <item x="85"/>
        <item x="668"/>
        <item x="371"/>
        <item x="826"/>
        <item x="491"/>
        <item x="199"/>
        <item x="631"/>
        <item x="635"/>
        <item x="697"/>
        <item x="592"/>
        <item x="795"/>
        <item x="517"/>
        <item x="67"/>
        <item x="175"/>
        <item x="869"/>
        <item x="505"/>
        <item x="233"/>
        <item x="351"/>
        <item x="970"/>
        <item x="466"/>
        <item x="49"/>
        <item x="791"/>
        <item x="220"/>
        <item x="546"/>
        <item x="210"/>
        <item x="577"/>
        <item x="708"/>
        <item x="306"/>
        <item x="951"/>
        <item x="398"/>
        <item x="992"/>
        <item x="508"/>
        <item x="766"/>
        <item x="255"/>
        <item x="187"/>
        <item x="952"/>
        <item x="746"/>
        <item x="22"/>
        <item x="168"/>
        <item x="777"/>
        <item x="548"/>
        <item x="830"/>
        <item x="977"/>
        <item x="81"/>
        <item x="45"/>
        <item x="438"/>
        <item x="504"/>
        <item x="899"/>
        <item x="321"/>
        <item x="493"/>
        <item x="425"/>
        <item x="71"/>
        <item x="126"/>
        <item x="404"/>
        <item x="891"/>
        <item x="69"/>
        <item x="154"/>
        <item x="227"/>
        <item x="367"/>
        <item x="707"/>
        <item x="914"/>
        <item x="283"/>
        <item x="424"/>
        <item x="219"/>
        <item x="256"/>
        <item x="24"/>
        <item x="305"/>
        <item x="473"/>
        <item x="527"/>
        <item x="900"/>
        <item x="613"/>
        <item x="502"/>
        <item x="288"/>
        <item x="532"/>
        <item x="331"/>
        <item x="460"/>
        <item x="499"/>
        <item x="474"/>
        <item x="779"/>
        <item x="742"/>
        <item x="581"/>
        <item x="817"/>
        <item x="326"/>
        <item x="323"/>
        <item x="448"/>
        <item x="36"/>
        <item x="868"/>
        <item x="904"/>
        <item x="304"/>
        <item x="893"/>
        <item x="260"/>
        <item x="835"/>
        <item x="782"/>
        <item x="453"/>
        <item x="712"/>
        <item x="983"/>
        <item x="698"/>
        <item x="844"/>
        <item x="295"/>
        <item x="356"/>
        <item x="201"/>
        <item x="40"/>
        <item x="488"/>
        <item x="87"/>
        <item x="140"/>
        <item x="133"/>
        <item x="411"/>
        <item x="541"/>
        <item x="312"/>
        <item x="335"/>
        <item x="272"/>
        <item x="735"/>
        <item x="789"/>
        <item x="78"/>
        <item x="130"/>
        <item x="99"/>
        <item x="604"/>
        <item x="623"/>
        <item x="854"/>
        <item x="172"/>
        <item x="833"/>
        <item x="75"/>
        <item x="526"/>
        <item x="360"/>
        <item x="358"/>
        <item x="947"/>
        <item x="104"/>
        <item x="374"/>
        <item x="898"/>
        <item x="235"/>
        <item x="399"/>
        <item x="566"/>
        <item x="486"/>
        <item x="100"/>
        <item x="495"/>
        <item x="440"/>
        <item x="6"/>
        <item x="866"/>
        <item x="348"/>
        <item x="792"/>
        <item x="14"/>
        <item x="958"/>
        <item x="579"/>
        <item x="680"/>
        <item x="608"/>
        <item x="413"/>
        <item x="648"/>
        <item x="419"/>
        <item x="292"/>
        <item x="289"/>
        <item x="829"/>
        <item x="691"/>
        <item x="435"/>
        <item x="239"/>
        <item x="93"/>
        <item x="73"/>
        <item x="673"/>
        <item x="183"/>
        <item x="884"/>
        <item x="518"/>
        <item x="696"/>
        <item x="433"/>
        <item x="375"/>
        <item x="48"/>
        <item x="733"/>
        <item x="840"/>
        <item x="677"/>
        <item x="127"/>
        <item x="803"/>
        <item x="594"/>
        <item x="941"/>
        <item x="114"/>
        <item x="478"/>
        <item x="29"/>
        <item x="711"/>
        <item x="455"/>
        <item x="537"/>
        <item x="417"/>
        <item x="675"/>
        <item x="458"/>
        <item x="266"/>
        <item x="354"/>
        <item x="248"/>
        <item x="124"/>
        <item x="560"/>
        <item x="57"/>
        <item x="445"/>
        <item x="52"/>
        <item x="521"/>
        <item x="630"/>
        <item x="979"/>
        <item x="889"/>
        <item x="754"/>
        <item x="930"/>
        <item x="903"/>
        <item x="808"/>
        <item x="920"/>
        <item x="709"/>
        <item x="106"/>
        <item x="421"/>
        <item x="218"/>
        <item x="94"/>
        <item x="910"/>
        <item x="169"/>
        <item x="406"/>
        <item x="497"/>
        <item x="80"/>
        <item x="545"/>
        <item x="978"/>
        <item x="4"/>
        <item x="687"/>
        <item x="669"/>
        <item x="349"/>
        <item x="368"/>
        <item x="918"/>
        <item x="879"/>
        <item x="11"/>
        <item x="857"/>
        <item x="894"/>
        <item x="867"/>
        <item x="378"/>
        <item x="174"/>
        <item x="964"/>
        <item x="749"/>
        <item x="593"/>
        <item x="702"/>
        <item x="394"/>
        <item x="204"/>
        <item x="108"/>
        <item x="956"/>
        <item x="872"/>
        <item x="412"/>
        <item x="794"/>
        <item x="855"/>
        <item x="760"/>
        <item x="469"/>
        <item x="343"/>
        <item x="241"/>
        <item x="739"/>
        <item x="441"/>
        <item x="129"/>
        <item x="982"/>
        <item x="645"/>
        <item x="477"/>
        <item x="511"/>
        <item x="208"/>
        <item x="842"/>
        <item x="117"/>
        <item x="529"/>
        <item x="916"/>
        <item x="643"/>
        <item x="719"/>
        <item x="820"/>
        <item x="224"/>
        <item x="485"/>
        <item x="874"/>
        <item x="307"/>
        <item x="144"/>
        <item x="850"/>
        <item x="444"/>
        <item x="464"/>
        <item x="47"/>
        <item x="156"/>
        <item x="834"/>
        <item x="564"/>
        <item x="274"/>
        <item x="827"/>
        <item x="161"/>
        <item x="206"/>
        <item x="975"/>
        <item x="784"/>
        <item x="653"/>
        <item x="270"/>
        <item x="229"/>
        <item x="764"/>
        <item x="463"/>
        <item x="664"/>
        <item x="871"/>
        <item x="377"/>
        <item x="245"/>
        <item x="63"/>
        <item x="774"/>
        <item x="303"/>
        <item x="309"/>
        <item x="158"/>
        <item x="877"/>
        <item x="909"/>
        <item x="658"/>
        <item x="244"/>
        <item x="556"/>
        <item x="430"/>
        <item x="329"/>
        <item x="416"/>
        <item x="269"/>
        <item x="552"/>
        <item x="62"/>
        <item x="297"/>
        <item x="322"/>
        <item x="717"/>
        <item x="599"/>
        <item x="816"/>
        <item x="10"/>
        <item x="948"/>
        <item x="821"/>
        <item x="647"/>
        <item x="753"/>
        <item x="969"/>
        <item x="39"/>
        <item x="153"/>
        <item x="132"/>
        <item x="163"/>
        <item x="279"/>
        <item x="580"/>
        <item x="897"/>
        <item x="573"/>
        <item x="567"/>
        <item x="761"/>
        <item x="847"/>
        <item x="452"/>
        <item x="906"/>
        <item x="519"/>
        <item x="568"/>
        <item x="925"/>
        <item x="988"/>
        <item x="773"/>
        <item x="401"/>
        <item x="251"/>
        <item x="851"/>
        <item x="496"/>
        <item x="337"/>
        <item x="946"/>
        <item x="386"/>
        <item x="190"/>
        <item x="520"/>
        <item x="933"/>
        <item x="538"/>
        <item x="98"/>
        <item x="892"/>
        <item x="689"/>
        <item x="672"/>
        <item x="684"/>
        <item x="731"/>
        <item x="330"/>
        <item x="143"/>
        <item x="353"/>
        <item x="357"/>
        <item x="431"/>
        <item x="311"/>
        <item x="752"/>
        <item x="945"/>
        <item x="332"/>
        <item x="262"/>
        <item x="583"/>
        <item x="685"/>
        <item x="195"/>
        <item x="164"/>
        <item x="372"/>
        <item x="291"/>
        <item x="737"/>
        <item x="805"/>
        <item x="489"/>
        <item x="514"/>
        <item x="456"/>
        <item x="28"/>
        <item x="487"/>
        <item x="639"/>
        <item x="119"/>
        <item x="862"/>
        <item x="471"/>
        <item x="350"/>
        <item x="629"/>
        <item x="542"/>
        <item x="286"/>
        <item x="661"/>
        <item x="601"/>
        <item x="634"/>
        <item x="917"/>
        <item x="320"/>
        <item x="176"/>
        <item x="334"/>
        <item x="971"/>
        <item x="628"/>
        <item x="405"/>
        <item x="570"/>
        <item x="864"/>
        <item x="660"/>
        <item x="138"/>
        <item x="621"/>
        <item x="8"/>
        <item x="96"/>
        <item x="327"/>
        <item x="151"/>
        <item x="597"/>
        <item x="928"/>
        <item x="181"/>
        <item x="12"/>
        <item x="845"/>
        <item x="30"/>
        <item x="492"/>
        <item x="747"/>
        <item x="19"/>
        <item x="682"/>
        <item x="955"/>
        <item x="769"/>
        <item x="454"/>
        <item x="369"/>
        <item x="120"/>
        <item x="414"/>
        <item x="500"/>
        <item x="703"/>
        <item x="395"/>
        <item x="972"/>
        <item x="976"/>
        <item x="814"/>
        <item x="264"/>
        <item x="787"/>
        <item t="default"/>
      </items>
    </pivotField>
    <pivotField compact="0" numFmtId="14" outline="0" showAll="0">
      <items count="339">
        <item x="225"/>
        <item x="308"/>
        <item x="80"/>
        <item x="89"/>
        <item x="32"/>
        <item x="56"/>
        <item x="253"/>
        <item x="179"/>
        <item x="229"/>
        <item x="116"/>
        <item x="172"/>
        <item x="248"/>
        <item x="30"/>
        <item x="139"/>
        <item x="203"/>
        <item x="235"/>
        <item x="66"/>
        <item x="298"/>
        <item x="212"/>
        <item x="129"/>
        <item x="112"/>
        <item x="267"/>
        <item x="7"/>
        <item x="3"/>
        <item x="316"/>
        <item x="167"/>
        <item x="151"/>
        <item x="87"/>
        <item x="101"/>
        <item x="156"/>
        <item x="271"/>
        <item x="20"/>
        <item x="148"/>
        <item x="247"/>
        <item x="168"/>
        <item x="299"/>
        <item x="137"/>
        <item x="284"/>
        <item x="25"/>
        <item x="106"/>
        <item x="120"/>
        <item x="328"/>
        <item x="114"/>
        <item x="94"/>
        <item x="230"/>
        <item x="134"/>
        <item x="211"/>
        <item x="280"/>
        <item x="307"/>
        <item x="291"/>
        <item x="159"/>
        <item x="273"/>
        <item x="60"/>
        <item x="256"/>
        <item x="18"/>
        <item x="327"/>
        <item x="306"/>
        <item x="95"/>
        <item x="39"/>
        <item x="263"/>
        <item x="62"/>
        <item x="16"/>
        <item x="9"/>
        <item x="49"/>
        <item x="31"/>
        <item x="78"/>
        <item x="251"/>
        <item x="335"/>
        <item x="176"/>
        <item x="45"/>
        <item x="202"/>
        <item x="79"/>
        <item x="88"/>
        <item x="186"/>
        <item x="48"/>
        <item x="50"/>
        <item x="286"/>
        <item x="34"/>
        <item x="324"/>
        <item x="334"/>
        <item x="5"/>
        <item x="310"/>
        <item x="192"/>
        <item x="218"/>
        <item x="208"/>
        <item x="121"/>
        <item x="294"/>
        <item x="275"/>
        <item x="283"/>
        <item x="234"/>
        <item x="224"/>
        <item x="170"/>
        <item x="331"/>
        <item x="132"/>
        <item x="155"/>
        <item x="27"/>
        <item x="255"/>
        <item x="102"/>
        <item x="126"/>
        <item x="1"/>
        <item x="81"/>
        <item x="289"/>
        <item x="146"/>
        <item x="323"/>
        <item x="180"/>
        <item x="160"/>
        <item x="188"/>
        <item x="296"/>
        <item x="181"/>
        <item x="171"/>
        <item x="265"/>
        <item x="237"/>
        <item x="266"/>
        <item x="243"/>
        <item x="64"/>
        <item x="295"/>
        <item x="91"/>
        <item x="261"/>
        <item x="97"/>
        <item x="98"/>
        <item x="72"/>
        <item x="201"/>
        <item x="157"/>
        <item x="41"/>
        <item x="142"/>
        <item x="15"/>
        <item x="150"/>
        <item x="131"/>
        <item x="238"/>
        <item x="279"/>
        <item x="152"/>
        <item x="190"/>
        <item x="241"/>
        <item x="38"/>
        <item x="220"/>
        <item x="254"/>
        <item x="305"/>
        <item x="67"/>
        <item x="96"/>
        <item x="162"/>
        <item x="163"/>
        <item x="321"/>
        <item x="173"/>
        <item x="322"/>
        <item x="57"/>
        <item x="110"/>
        <item x="282"/>
        <item x="77"/>
        <item x="290"/>
        <item x="0"/>
        <item x="17"/>
        <item x="303"/>
        <item x="195"/>
        <item x="52"/>
        <item x="315"/>
        <item x="2"/>
        <item x="197"/>
        <item x="222"/>
        <item x="319"/>
        <item x="300"/>
        <item x="223"/>
        <item x="75"/>
        <item x="124"/>
        <item x="317"/>
        <item x="13"/>
        <item x="73"/>
        <item x="47"/>
        <item x="276"/>
        <item x="111"/>
        <item x="169"/>
        <item x="130"/>
        <item x="84"/>
        <item x="115"/>
        <item x="35"/>
        <item x="285"/>
        <item x="154"/>
        <item x="216"/>
        <item x="119"/>
        <item x="141"/>
        <item x="51"/>
        <item x="233"/>
        <item x="210"/>
        <item x="23"/>
        <item x="147"/>
        <item x="314"/>
        <item x="297"/>
        <item x="336"/>
        <item x="269"/>
        <item x="26"/>
        <item x="242"/>
        <item x="209"/>
        <item x="198"/>
        <item x="249"/>
        <item x="123"/>
        <item x="108"/>
        <item x="53"/>
        <item x="302"/>
        <item x="144"/>
        <item x="71"/>
        <item x="21"/>
        <item x="200"/>
        <item x="103"/>
        <item x="74"/>
        <item x="153"/>
        <item x="292"/>
        <item x="58"/>
        <item x="44"/>
        <item x="158"/>
        <item x="205"/>
        <item x="239"/>
        <item x="274"/>
        <item x="143"/>
        <item x="318"/>
        <item x="22"/>
        <item x="70"/>
        <item x="40"/>
        <item x="252"/>
        <item x="272"/>
        <item x="213"/>
        <item x="61"/>
        <item x="104"/>
        <item x="59"/>
        <item x="165"/>
        <item x="161"/>
        <item x="24"/>
        <item x="281"/>
        <item x="193"/>
        <item x="219"/>
        <item x="264"/>
        <item x="215"/>
        <item x="33"/>
        <item x="204"/>
        <item x="182"/>
        <item x="325"/>
        <item x="258"/>
        <item x="199"/>
        <item x="37"/>
        <item x="76"/>
        <item x="109"/>
        <item x="207"/>
        <item x="68"/>
        <item x="133"/>
        <item x="65"/>
        <item x="228"/>
        <item x="90"/>
        <item x="240"/>
        <item x="86"/>
        <item x="6"/>
        <item x="226"/>
        <item x="14"/>
        <item x="245"/>
        <item x="196"/>
        <item x="194"/>
        <item x="311"/>
        <item x="250"/>
        <item x="82"/>
        <item x="63"/>
        <item x="140"/>
        <item x="43"/>
        <item x="105"/>
        <item x="29"/>
        <item x="260"/>
        <item x="246"/>
        <item x="185"/>
        <item x="177"/>
        <item x="46"/>
        <item x="278"/>
        <item x="332"/>
        <item x="320"/>
        <item x="313"/>
        <item x="92"/>
        <item x="69"/>
        <item x="4"/>
        <item x="227"/>
        <item x="333"/>
        <item x="11"/>
        <item x="232"/>
        <item x="135"/>
        <item x="293"/>
        <item x="93"/>
        <item x="244"/>
        <item x="326"/>
        <item x="262"/>
        <item x="107"/>
        <item x="99"/>
        <item x="304"/>
        <item x="164"/>
        <item x="329"/>
        <item x="118"/>
        <item x="42"/>
        <item x="127"/>
        <item x="187"/>
        <item x="166"/>
        <item x="175"/>
        <item x="55"/>
        <item x="125"/>
        <item x="330"/>
        <item x="174"/>
        <item x="54"/>
        <item x="214"/>
        <item x="10"/>
        <item x="36"/>
        <item x="189"/>
        <item x="288"/>
        <item x="287"/>
        <item x="257"/>
        <item x="277"/>
        <item x="178"/>
        <item x="221"/>
        <item x="337"/>
        <item x="145"/>
        <item x="85"/>
        <item x="309"/>
        <item x="117"/>
        <item x="206"/>
        <item x="183"/>
        <item x="149"/>
        <item x="128"/>
        <item x="268"/>
        <item x="28"/>
        <item x="191"/>
        <item x="301"/>
        <item x="136"/>
        <item x="113"/>
        <item x="8"/>
        <item x="83"/>
        <item x="217"/>
        <item x="122"/>
        <item x="138"/>
        <item x="12"/>
        <item x="270"/>
        <item x="19"/>
        <item x="259"/>
        <item x="231"/>
        <item x="100"/>
        <item x="312"/>
        <item x="236"/>
        <item x="184"/>
        <item t="default"/>
      </items>
    </pivotField>
    <pivotField compact="0" outline="0" showAll="0"/>
    <pivotField compact="0" outline="0" showAll="0"/>
    <pivotField compact="0" outline="0" showAll="0"/>
    <pivotField compact="0" outline="0" showAll="0"/>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items count="5">
        <item x="0"/>
        <item x="1"/>
        <item x="2"/>
        <item x="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s>
  <rowFields count="1">
    <field x="17"/>
  </rowFields>
  <rowItems count="5">
    <i>
      <x v="2"/>
    </i>
    <i>
      <x/>
    </i>
    <i>
      <x v="3"/>
    </i>
    <i>
      <x v="1"/>
    </i>
    <i t="grand">
      <x/>
    </i>
  </rowItems>
  <colItems count="1">
    <i/>
  </colItems>
  <dataFields count="1">
    <dataField name="Count of deadhead_miles" fld="22"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47C2AEB-84B7-46B2-BA2A-1C3949068E94}" autoFormatId="16" applyNumberFormats="0" applyBorderFormats="0" applyFontFormats="0" applyPatternFormats="0" applyAlignmentFormats="0" applyWidthHeightFormats="0">
  <queryTableRefresh nextId="22">
    <queryTableFields count="21">
      <queryTableField id="1" name="truck_id" tableColumnId="1"/>
      <queryTableField id="2" name="driver_id" tableColumnId="2"/>
      <queryTableField id="3" name="carrier_id" tableColumnId="3"/>
      <queryTableField id="4" name="carrier_name" tableColumnId="4"/>
      <queryTableField id="5" name="truck_type" tableColumnId="5"/>
      <queryTableField id="6" name="truck_model_year" tableColumnId="6"/>
      <queryTableField id="7" name="home_terminal_state" tableColumnId="7"/>
      <queryTableField id="8" name="home_terminal_city" tableColumnId="8"/>
      <queryTableField id="9" name="insurance_policy_id" tableColumnId="9"/>
      <queryTableField id="10" name="insurance_coverage_limit_usd" tableColumnId="10"/>
      <queryTableField id="11" name="insurance_deductible_usd" tableColumnId="11"/>
      <queryTableField id="12" name="insurance_premium_monthly_usd" tableColumnId="12"/>
      <queryTableField id="13" name="insurance_claims_12m" tableColumnId="13"/>
      <queryTableField id="14" name="safety_score" tableColumnId="14"/>
      <queryTableField id="15" name="maintenance_interval_days" tableColumnId="15"/>
      <queryTableField id="16" name="last_maintenance_date" tableColumnId="16"/>
      <queryTableField id="17" name="next_maintenance_due" tableColumnId="17"/>
      <queryTableField id="18" name="maintenance_overdue_flag" tableColumnId="18"/>
      <queryTableField id="19" name="epr_compliant_flag" tableColumnId="19"/>
      <queryTableField id="20" name="epr_audit_score" tableColumnId="20"/>
      <queryTableField id="21" name="hazmat_certified_flag"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C5E4041-5E9C-48DF-9C20-37ED665CDD8D}" autoFormatId="16" applyNumberFormats="0" applyBorderFormats="0" applyFontFormats="0" applyPatternFormats="0" applyAlignmentFormats="0" applyWidthHeightFormats="0">
  <queryTableRefresh nextId="54">
    <queryTableFields count="53">
      <queryTableField id="1" name="order_id" tableColumnId="1"/>
      <queryTableField id="2" name="truck_id" tableColumnId="2"/>
      <queryTableField id="3" name="driver_id" tableColumnId="3"/>
      <queryTableField id="4" name="carrier_id" tableColumnId="4"/>
      <queryTableField id="5" name="carrier_name" tableColumnId="5"/>
      <queryTableField id="6" name="customer_id" tableColumnId="6"/>
      <queryTableField id="7" name="customer_name" tableColumnId="7"/>
      <queryTableField id="8" name="shipping_dat" tableColumnId="8"/>
      <queryTableField id="9" name="ship_date_clean" tableColumnId="9"/>
      <queryTableField id="10" name="pickup_datetime" tableColumnId="10"/>
      <queryTableField id="11" name="scheduled_delivery_datetime" tableColumnId="11"/>
      <queryTableField id="12" name="actual_delivery_datetime" tableColumnId="12"/>
      <queryTableField id="13" name="delivery_date" tableColumnId="13"/>
      <queryTableField id="14" name="origin_state" tableColumnId="14"/>
      <queryTableField id="15" name="origin_city" tableColumnId="15"/>
      <queryTableField id="16" name="destination_state" tableColumnId="16"/>
      <queryTableField id="17" name="destination_city" tableColumnId="17"/>
      <queryTableField id="18" name="region" tableColumnId="18"/>
      <queryTableField id="19" name="lane_id" tableColumnId="19"/>
      <queryTableField id="20" name="lanes_usa" tableColumnId="20"/>
      <queryTableField id="21" name="distance_miles" tableColumnId="21"/>
      <queryTableField id="22" name="empty_miles" tableColumnId="22"/>
      <queryTableField id="23" name="deadhead_miles" tableColumnId="23"/>
      <queryTableField id="24" name="loaded_miles" tableColumnId="24"/>
      <queryTableField id="25" name="total_miles" tableColumnId="25"/>
      <queryTableField id="26" name="truck_types" tableColumnId="26"/>
      <queryTableField id="27" name="delivery_times" tableColumnId="27"/>
      <queryTableField id="28" name="pickup_time_bucket" tableColumnId="28"/>
      <queryTableField id="29" name="day_of_the_week" tableColumnId="29"/>
      <queryTableField id="30" name="Delay Reason" tableColumnId="30"/>
      <queryTableField id="31" name="delay_minutes" tableColumnId="31"/>
      <queryTableField id="32" name="detention_minutes" tableColumnId="32"/>
      <queryTableField id="33" name="weather_severity_index" tableColumnId="33"/>
      <queryTableField id="34" name="traffic_index" tableColumnId="34"/>
      <queryTableField id="35" name="mechanical_flag" tableColumnId="35"/>
      <queryTableField id="36" name="utilization_rate" tableColumnId="36"/>
      <queryTableField id="37" name="load_factor" tableColumnId="37"/>
      <queryTableField id="38" name="shipment_value_usd" tableColumnId="38"/>
      <queryTableField id="39" name="shipment_value_bucket" tableColumnId="39"/>
      <queryTableField id="40" name="total_shipments" tableColumnId="40"/>
      <queryTableField id="41" name="on_time_deliveries" tableColumnId="41"/>
      <queryTableField id="42" name="late_deliveries" tableColumnId="42"/>
      <queryTableField id="43" name="on_time_count" tableColumnId="43"/>
      <queryTableField id="44" name="Late_count" tableColumnId="44"/>
      <queryTableField id="45" name="on_time_flag" tableColumnId="45"/>
      <queryTableField id="46" name="late_flag" tableColumnId="46"/>
      <queryTableField id="47" name="cost_per_mile" tableColumnId="47"/>
      <queryTableField id="48" name="variable_cost_per_mile" tableColumnId="48"/>
      <queryTableField id="49" name="fuel_cost_total" tableColumnId="49"/>
      <queryTableField id="50" name="maintenance_cost_total" tableColumnId="50"/>
      <queryTableField id="51" name="driver_pay_total" tableColumnId="51"/>
      <queryTableField id="52" name="insurance_risk_score" tableColumnId="52"/>
      <queryTableField id="53" name="maintenance_risk_score"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 xr10:uid="{8DABB20D-BF7D-4E0B-80AF-C24AD1F0AF1B}" sourceName="carrier_name">
  <pivotTables>
    <pivotTable tabId="12" name="PivotTable5"/>
  </pivotTables>
  <data>
    <tabular pivotCacheId="1238012707">
      <items count="10">
        <i x="9" s="1"/>
        <i x="1" s="1"/>
        <i x="2" s="1"/>
        <i x="8" s="1"/>
        <i x="3" s="1"/>
        <i x="5" s="1"/>
        <i x="7"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6A5C258-082C-4807-8D04-B386C9BC9EDA}" sourceName="customer_name">
  <pivotTables>
    <pivotTable tabId="12" name="PivotTable5"/>
  </pivotTables>
  <data>
    <tabular pivotCacheId="1238012707">
      <items count="15">
        <i x="6" s="1"/>
        <i x="9" s="1"/>
        <i x="0" s="1"/>
        <i x="2" s="1"/>
        <i x="11" s="1"/>
        <i x="14" s="1"/>
        <i x="10" s="1"/>
        <i x="5" s="1"/>
        <i x="8" s="1"/>
        <i x="12" s="1"/>
        <i x="13" s="1"/>
        <i x="1" s="1"/>
        <i x="4"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ty_miles" xr10:uid="{BE115164-1AA2-4E43-9F66-5DC413E7DBDE}" sourceName="empty_miles">
  <pivotTables>
    <pivotTable tabId="12" name="PivotTable5"/>
  </pivotTables>
  <data>
    <tabular pivotCacheId="1238012707">
      <items count="482">
        <i x="299" s="1"/>
        <i x="337" s="1"/>
        <i x="417" s="1"/>
        <i x="430" s="1"/>
        <i x="439" s="1"/>
        <i x="458" s="1"/>
        <i x="349" s="1"/>
        <i x="388" s="1"/>
        <i x="29" s="1"/>
        <i x="370" s="1"/>
        <i x="126" s="1"/>
        <i x="397" s="1"/>
        <i x="286" s="1"/>
        <i x="225" s="1"/>
        <i x="27" s="1"/>
        <i x="229" s="1"/>
        <i x="285" s="1"/>
        <i x="91" s="1"/>
        <i x="93" s="1"/>
        <i x="445" s="1"/>
        <i x="135" s="1"/>
        <i x="362" s="1"/>
        <i x="160" s="1"/>
        <i x="272" s="1"/>
        <i x="98" s="1"/>
        <i x="180" s="1"/>
        <i x="437" s="1"/>
        <i x="340" s="1"/>
        <i x="147" s="1"/>
        <i x="438" s="1"/>
        <i x="73" s="1"/>
        <i x="365" s="1"/>
        <i x="63" s="1"/>
        <i x="446" s="1"/>
        <i x="254" s="1"/>
        <i x="34" s="1"/>
        <i x="187" s="1"/>
        <i x="189" s="1"/>
        <i x="113" s="1"/>
        <i x="401" s="1"/>
        <i x="376" s="1"/>
        <i x="237" s="1"/>
        <i x="304" s="1"/>
        <i x="219" s="1"/>
        <i x="56" s="1"/>
        <i x="261" s="1"/>
        <i x="191" s="1"/>
        <i x="276" s="1"/>
        <i x="226" s="1"/>
        <i x="395" s="1"/>
        <i x="205" s="1"/>
        <i x="55" s="1"/>
        <i x="284" s="1"/>
        <i x="456" s="1"/>
        <i x="186" s="1"/>
        <i x="454" s="1"/>
        <i x="103" s="1"/>
        <i x="76" s="1"/>
        <i x="257" s="1"/>
        <i x="59" s="1"/>
        <i x="231" s="1"/>
        <i x="208" s="1"/>
        <i x="447" s="1"/>
        <i x="202" s="1"/>
        <i x="398" s="1"/>
        <i x="61" s="1"/>
        <i x="280" s="1"/>
        <i x="41" s="1"/>
        <i x="470" s="1"/>
        <i x="11" s="1"/>
        <i x="54" s="1"/>
        <i x="150" s="1"/>
        <i x="67" s="1"/>
        <i x="114" s="1"/>
        <i x="101" s="1"/>
        <i x="33" s="1"/>
        <i x="465" s="1"/>
        <i x="97" s="1"/>
        <i x="142" s="1"/>
        <i x="316" s="1"/>
        <i x="455" s="1"/>
        <i x="236" s="1"/>
        <i x="62" s="1"/>
        <i x="199" s="1"/>
        <i x="66" s="1"/>
        <i x="159" s="1"/>
        <i x="134" s="1"/>
        <i x="426" s="1"/>
        <i x="0" s="1"/>
        <i x="479" s="1"/>
        <i x="345" s="1"/>
        <i x="325" s="1"/>
        <i x="203" s="1"/>
        <i x="431" s="1"/>
        <i x="121" s="1"/>
        <i x="20" s="1"/>
        <i x="30" s="1"/>
        <i x="38" s="1"/>
        <i x="5" s="1"/>
        <i x="15" s="1"/>
        <i x="161" s="1"/>
        <i x="84" s="1"/>
        <i x="112" s="1"/>
        <i x="183" s="1"/>
        <i x="269" s="1"/>
        <i x="303" s="1"/>
        <i x="409" s="1"/>
        <i x="155" s="1"/>
        <i x="46" s="1"/>
        <i x="118" s="1"/>
        <i x="287" s="1"/>
        <i x="427" s="1"/>
        <i x="248" s="1"/>
        <i x="94" s="1"/>
        <i x="74" s="1"/>
        <i x="424" s="1"/>
        <i x="258" s="1"/>
        <i x="278" s="1"/>
        <i x="291" s="1"/>
        <i x="477" s="1"/>
        <i x="400" s="1"/>
        <i x="306" s="1"/>
        <i x="80" s="1"/>
        <i x="89" s="1"/>
        <i x="169" s="1"/>
        <i x="357" s="1"/>
        <i x="213" s="1"/>
        <i x="204" s="1"/>
        <i x="166" s="1"/>
        <i x="390" s="1"/>
        <i x="246" s="1"/>
        <i x="120" s="1"/>
        <i x="250" s="1"/>
        <i x="90" s="1"/>
        <i x="277" s="1"/>
        <i x="104" s="1"/>
        <i x="88" s="1"/>
        <i x="53" s="1"/>
        <i x="85" s="1"/>
        <i x="137" s="1"/>
        <i x="396" s="1"/>
        <i x="36" s="1"/>
        <i x="70" s="1"/>
        <i x="145" s="1"/>
        <i x="139" s="1"/>
        <i x="185" s="1"/>
        <i x="194" s="1"/>
        <i x="131" s="1"/>
        <i x="368" s="1"/>
        <i x="153" s="1"/>
        <i x="240" s="1"/>
        <i x="293" s="1"/>
        <i x="107" s="1"/>
        <i x="221" s="1"/>
        <i x="425" s="1"/>
        <i x="190" s="1"/>
        <i x="96" s="1"/>
        <i x="352" s="1"/>
        <i x="48" s="1"/>
        <i x="164" s="1"/>
        <i x="452" s="1"/>
        <i x="330" s="1"/>
        <i x="117" s="1"/>
        <i x="9" s="1"/>
        <i x="195" s="1"/>
        <i x="270" s="1"/>
        <i x="391" s="1"/>
        <i x="367" s="1"/>
        <i x="271" s="1"/>
        <i x="238" s="1"/>
        <i x="380" s="1"/>
        <i x="136" s="1"/>
        <i x="31" s="1"/>
        <i x="71" s="1"/>
        <i x="132" s="1"/>
        <i x="28" s="1"/>
        <i x="406" s="1"/>
        <i x="234" s="1"/>
        <i x="8" s="1"/>
        <i x="111" s="1"/>
        <i x="339" s="1"/>
        <i x="184" s="1"/>
        <i x="450" s="1"/>
        <i x="255" s="1"/>
        <i x="6" s="1"/>
        <i x="218" s="1"/>
        <i x="318" s="1"/>
        <i x="162" s="1"/>
        <i x="459" s="1"/>
        <i x="158" s="1"/>
        <i x="308" s="1"/>
        <i x="170" s="1"/>
        <i x="143" s="1"/>
        <i x="209" s="1"/>
        <i x="385" s="1"/>
        <i x="95" s="1"/>
        <i x="125" s="1"/>
        <i x="296" s="1"/>
        <i x="413" s="1"/>
        <i x="247" s="1"/>
        <i x="163" s="1"/>
        <i x="176" s="1"/>
        <i x="292" s="1"/>
        <i x="110" s="1"/>
        <i x="116" s="1"/>
        <i x="402" s="1"/>
        <i x="122" s="1"/>
        <i x="392" s="1"/>
        <i x="52" s="1"/>
        <i x="262" s="1"/>
        <i x="16" s="1"/>
        <i x="423" s="1"/>
        <i x="200" s="1"/>
        <i x="372" s="1"/>
        <i x="152" s="1"/>
        <i x="404" s="1"/>
        <i x="243" s="1"/>
        <i x="35" s="1"/>
        <i x="463" s="1"/>
        <i x="317" s="1"/>
        <i x="478" s="1"/>
        <i x="321" s="1"/>
        <i x="461" s="1"/>
        <i x="3" s="1"/>
        <i x="156" s="1"/>
        <i x="72" s="1"/>
        <i x="384" s="1"/>
        <i x="338" s="1"/>
        <i x="420" s="1"/>
        <i x="344" s="1"/>
        <i x="333" s="1"/>
        <i x="327" s="1"/>
        <i x="216" s="1"/>
        <i x="223" s="1"/>
        <i x="405" s="1"/>
        <i x="211" s="1"/>
        <i x="19" s="1"/>
        <i x="312" s="1"/>
        <i x="75" s="1"/>
        <i x="168" s="1"/>
        <i x="57" s="1"/>
        <i x="300" s="1"/>
        <i x="207" s="1"/>
        <i x="412" s="1"/>
        <i x="448" s="1"/>
        <i x="466" s="1"/>
        <i x="7" s="1"/>
        <i x="249" s="1"/>
        <i x="17" s="1"/>
        <i x="343" s="1"/>
        <i x="386" s="1"/>
        <i x="235" s="1"/>
        <i x="83" s="1"/>
        <i x="21" s="1"/>
        <i x="298" s="1"/>
        <i x="37" s="1"/>
        <i x="353" s="1"/>
        <i x="265" s="1"/>
        <i x="22" s="1"/>
        <i x="165" s="1"/>
        <i x="273" s="1"/>
        <i x="1" s="1"/>
        <i x="215" s="1"/>
        <i x="389" s="1"/>
        <i x="295" s="1"/>
        <i x="252" s="1"/>
        <i x="453" s="1"/>
        <i x="369" s="1"/>
        <i x="92" s="1"/>
        <i x="193" s="1"/>
        <i x="383" s="1"/>
        <i x="253" s="1"/>
        <i x="379" s="1"/>
        <i x="228" s="1"/>
        <i x="387" s="1"/>
        <i x="77" s="1"/>
        <i x="260" s="1"/>
        <i x="432" s="1"/>
        <i x="373" s="1"/>
        <i x="105" s="1"/>
        <i x="364" s="1"/>
        <i x="129" s="1"/>
        <i x="49" s="1"/>
        <i x="144" s="1"/>
        <i x="403" s="1"/>
        <i x="217" s="1"/>
        <i x="115" s="1"/>
        <i x="393" s="1"/>
        <i x="329" s="1"/>
        <i x="79" s="1"/>
        <i x="377" s="1"/>
        <i x="279" s="1"/>
        <i x="106" s="1"/>
        <i x="44" s="1"/>
        <i x="361" s="1"/>
        <i x="328" s="1"/>
        <i x="326" s="1"/>
        <i x="40" s="1"/>
        <i x="462" s="1"/>
        <i x="323" s="1"/>
        <i x="128" s="1"/>
        <i x="123" s="1"/>
        <i x="309" s="1"/>
        <i x="182" s="1"/>
        <i x="399" s="1"/>
        <i x="294" s="1"/>
        <i x="283" s="1"/>
        <i x="322" s="1"/>
        <i x="25" s="1"/>
        <i x="149" s="1"/>
        <i x="32" s="1"/>
        <i x="245" s="1"/>
        <i x="472" s="1"/>
        <i x="119" s="1"/>
        <i x="10" s="1"/>
        <i x="290" s="1"/>
        <i x="324" s="1"/>
        <i x="172" s="1"/>
        <i x="124" s="1"/>
        <i x="222" s="1"/>
        <i x="315" s="1"/>
        <i x="60" s="1"/>
        <i x="138" s="1"/>
        <i x="346" s="1"/>
        <i x="230" s="1"/>
        <i x="2" s="1"/>
        <i x="355" s="1"/>
        <i x="167" s="1"/>
        <i x="157" s="1"/>
        <i x="26" s="1"/>
        <i x="174" s="1"/>
        <i x="341" s="1"/>
        <i x="435" s="1"/>
        <i x="175" s="1"/>
        <i x="428" s="1"/>
        <i x="282" s="1"/>
        <i x="264" s="1"/>
        <i x="196" s="1"/>
        <i x="267" s="1"/>
        <i x="24" s="1"/>
        <i x="371" s="1"/>
        <i x="356" s="1"/>
        <i x="210" s="1"/>
        <i x="354" s="1"/>
        <i x="12" s="1"/>
        <i x="288" s="1"/>
        <i x="440" s="1"/>
        <i x="274" s="1"/>
        <i x="239" s="1"/>
        <i x="256" s="1"/>
        <i x="206" s="1"/>
        <i x="127" s="1"/>
        <i x="334" s="1"/>
        <i x="232" s="1"/>
        <i x="382" s="1"/>
        <i x="130" s="1"/>
        <i x="78" s="1"/>
        <i x="301" s="1"/>
        <i x="45" s="1"/>
        <i x="410" s="1"/>
        <i x="481" s="1"/>
        <i x="378" s="1"/>
        <i x="58" s="1"/>
        <i x="305" s="1"/>
        <i x="86" s="1"/>
        <i x="474" s="1"/>
        <i x="320" s="1"/>
        <i x="108" s="1"/>
        <i x="99" s="1"/>
        <i x="148" s="1"/>
        <i x="464" s="1"/>
        <i x="259" s="1"/>
        <i x="241" s="1"/>
        <i x="332" s="1"/>
        <i x="171" s="1"/>
        <i x="192" s="1"/>
        <i x="363" s="1"/>
        <i x="460" s="1"/>
        <i x="181" s="1"/>
        <i x="227" s="1"/>
        <i x="81" s="1"/>
        <i x="220" s="1"/>
        <i x="188" s="1"/>
        <i x="173" s="1"/>
        <i x="141" s="1"/>
        <i x="42" s="1"/>
        <i x="275" s="1"/>
        <i x="480" s="1"/>
        <i x="348" s="1"/>
        <i x="177" s="1"/>
        <i x="408" s="1"/>
        <i x="18" s="1"/>
        <i x="302" s="1"/>
        <i x="154" s="1"/>
        <i x="23" s="1"/>
        <i x="297" s="1"/>
        <i x="64" s="1"/>
        <i x="212" s="1"/>
        <i x="201" s="1"/>
        <i x="311" s="1"/>
        <i x="319" s="1"/>
        <i x="457" s="1"/>
        <i x="314" s="1"/>
        <i x="469" s="1"/>
        <i x="411" s="1"/>
        <i x="50" s="1"/>
        <i x="358" s="1"/>
        <i x="100" s="1"/>
        <i x="381" s="1"/>
        <i x="429" s="1"/>
        <i x="4" s="1"/>
        <i x="266" s="1"/>
        <i x="331" s="1"/>
        <i x="347" s="1"/>
        <i x="449" s="1"/>
        <i x="419" s="1"/>
        <i x="310" s="1"/>
        <i x="233" s="1"/>
        <i x="82" s="1"/>
        <i x="268" s="1"/>
        <i x="244" s="1"/>
        <i x="441" s="1"/>
        <i x="415" s="1"/>
        <i x="43" s="1"/>
        <i x="421" s="1"/>
        <i x="418" s="1"/>
        <i x="197" s="1"/>
        <i x="451" s="1"/>
        <i x="422" s="1"/>
        <i x="69" s="1"/>
        <i x="179" s="1"/>
        <i x="14" s="1"/>
        <i x="351" s="1"/>
        <i x="251" s="1"/>
        <i x="471" s="1"/>
        <i x="434" s="1"/>
        <i x="68" s="1"/>
        <i x="178" s="1"/>
        <i x="336" s="1"/>
        <i x="416" s="1"/>
        <i x="198" s="1"/>
        <i x="13" s="1"/>
        <i x="109" s="1"/>
        <i x="87" s="1"/>
        <i x="133" s="1"/>
        <i x="433" s="1"/>
        <i x="146" s="1"/>
        <i x="313" s="1"/>
        <i x="374" s="1"/>
        <i x="375" s="1"/>
        <i x="151" s="1"/>
        <i x="342" s="1"/>
        <i x="443" s="1"/>
        <i x="47" s="1"/>
        <i x="335" s="1"/>
        <i x="65" s="1"/>
        <i x="242" s="1"/>
        <i x="224" s="1"/>
        <i x="289" s="1"/>
        <i x="359" s="1"/>
        <i x="214" s="1"/>
        <i x="442" s="1"/>
        <i x="467" s="1"/>
        <i x="414" s="1"/>
        <i x="140" s="1"/>
        <i x="468" s="1"/>
        <i x="51" s="1"/>
        <i x="473" s="1"/>
        <i x="39" s="1"/>
        <i x="444" s="1"/>
        <i x="366" s="1"/>
        <i x="350" s="1"/>
        <i x="307" s="1"/>
        <i x="436" s="1"/>
        <i x="360" s="1"/>
        <i x="281" s="1"/>
        <i x="476" s="1"/>
        <i x="102" s="1"/>
        <i x="394" s="1"/>
        <i x="263" s="1"/>
        <i x="407" s="1"/>
        <i x="47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dhead_miles" xr10:uid="{E4F1DCC9-EE18-41C9-A37C-F64E82830594}" sourceName="deadhead_miles">
  <pivotTables>
    <pivotTable tabId="12" name="PivotTable5"/>
  </pivotTables>
  <data>
    <tabular pivotCacheId="1238012707">
      <items count="409">
        <i x="399" s="1"/>
        <i x="79" s="1"/>
        <i x="127" s="1"/>
        <i x="165" s="1"/>
        <i x="287" s="1"/>
        <i x="128" s="1"/>
        <i x="338" s="1"/>
        <i x="278" s="1"/>
        <i x="297" s="1"/>
        <i x="359" s="1"/>
        <i x="6" s="1"/>
        <i x="164" s="1"/>
        <i x="61" s="1"/>
        <i x="51" s="1"/>
        <i x="110" s="1"/>
        <i x="142" s="1"/>
        <i x="340" s="1"/>
        <i x="368" s="1"/>
        <i x="202" s="1"/>
        <i x="117" s="1"/>
        <i x="99" s="1"/>
        <i x="114" s="1"/>
        <i x="374" s="1"/>
        <i x="45" s="1"/>
        <i x="304" s="1"/>
        <i x="300" s="1"/>
        <i x="16" s="1"/>
        <i x="80" s="1"/>
        <i x="145" s="1"/>
        <i x="1" s="1"/>
        <i x="191" s="1"/>
        <i x="93" s="1"/>
        <i x="81" s="1"/>
        <i x="111" s="1"/>
        <i x="50" s="1"/>
        <i x="373" s="1"/>
        <i x="4" s="1"/>
        <i x="354" s="1"/>
        <i x="112" s="1"/>
        <i x="157" s="1"/>
        <i x="251" s="1"/>
        <i x="120" s="1"/>
        <i x="26" s="1"/>
        <i x="196" s="1"/>
        <i x="78" s="1"/>
        <i x="352" s="1"/>
        <i x="170" s="1"/>
        <i x="54" s="1"/>
        <i x="104" s="1"/>
        <i x="94" s="1"/>
        <i x="56" s="1"/>
        <i x="31" s="1"/>
        <i x="294" s="1"/>
        <i x="139" s="1"/>
        <i x="301" s="1"/>
        <i x="133" s="1"/>
        <i x="357" s="1"/>
        <i x="222" s="1"/>
        <i x="270" s="1"/>
        <i x="314" s="1"/>
        <i x="386" s="1"/>
        <i x="42" s="1"/>
        <i x="18" s="1"/>
        <i x="190" s="1"/>
        <i x="115" s="1"/>
        <i x="10" s="1"/>
        <i x="41" s="1"/>
        <i x="83" s="1"/>
        <i x="88" s="1"/>
        <i x="137" s="1"/>
        <i x="109" s="1"/>
        <i x="195" s="1"/>
        <i x="213" s="1"/>
        <i x="70" s="1"/>
        <i x="203" s="1"/>
        <i x="38" s="1"/>
        <i x="201" s="1"/>
        <i x="118" s="1"/>
        <i x="279" s="1"/>
        <i x="391" s="1"/>
        <i x="189" s="1"/>
        <i x="302" s="1"/>
        <i x="380" s="1"/>
        <i x="161" s="1"/>
        <i x="162" s="1"/>
        <i x="376" s="1"/>
        <i x="86" s="1"/>
        <i x="339" s="1"/>
        <i x="209" s="1"/>
        <i x="186" s="1"/>
        <i x="237" s="1"/>
        <i x="394" s="1"/>
        <i x="2" s="1"/>
        <i x="280" s="1"/>
        <i x="43" s="1"/>
        <i x="135" s="1"/>
        <i x="214" s="1"/>
        <i x="255" s="1"/>
        <i x="59" s="1"/>
        <i x="277" s="1"/>
        <i x="372" s="1"/>
        <i x="163" s="1"/>
        <i x="315" s="1"/>
        <i x="225" s="1"/>
        <i x="268" s="1"/>
        <i x="212" s="1"/>
        <i x="82" s="1"/>
        <i x="320" s="1"/>
        <i x="180" s="1"/>
        <i x="389" s="1"/>
        <i x="342" s="1"/>
        <i x="185" s="1"/>
        <i x="257" s="1"/>
        <i x="84" s="1"/>
        <i x="263" s="1"/>
        <i x="17" s="1"/>
        <i x="402" s="1"/>
        <i x="400" s="1"/>
        <i x="55" s="1"/>
        <i x="148" s="1"/>
        <i x="309" s="1"/>
        <i x="276" s="1"/>
        <i x="169" s="1"/>
        <i x="282" s="1"/>
        <i x="183" s="1"/>
        <i x="259" s="1"/>
        <i x="20" s="1"/>
        <i x="67" s="1"/>
        <i x="303" s="1"/>
        <i x="267" s="1"/>
        <i x="240" s="1"/>
        <i x="274" s="1"/>
        <i x="256" s="1"/>
        <i x="175" s="1"/>
        <i x="72" s="1"/>
        <i x="244" s="1"/>
        <i x="100" s="1"/>
        <i x="76" s="1"/>
        <i x="328" s="1"/>
        <i x="261" s="1"/>
        <i x="193" s="1"/>
        <i x="107" s="1"/>
        <i x="241" s="1"/>
        <i x="210" s="1"/>
        <i x="321" s="1"/>
        <i x="124" s="1"/>
        <i x="197" s="1"/>
        <i x="363" s="1"/>
        <i x="343" s="1"/>
        <i x="396" s="1"/>
        <i x="349" s="1"/>
        <i x="284" s="1"/>
        <i x="208" s="1"/>
        <i x="330" s="1"/>
        <i x="299" s="1"/>
        <i x="266" s="1"/>
        <i x="199" s="1"/>
        <i x="36" s="1"/>
        <i x="311" s="1"/>
        <i x="131" s="1"/>
        <i x="361" s="1"/>
        <i x="408" s="1"/>
        <i x="388" s="1"/>
        <i x="113" s="1"/>
        <i x="166" s="1"/>
        <i x="230" s="1"/>
        <i x="154" s="1"/>
        <i x="223" s="1"/>
        <i x="172" s="1"/>
        <i x="60" s="1"/>
        <i x="356" s="1"/>
        <i x="159" s="1"/>
        <i x="14" s="1"/>
        <i x="92" s="1"/>
        <i x="326" s="1"/>
        <i x="101" s="1"/>
        <i x="121" s="1"/>
        <i x="25" s="1"/>
        <i x="144" s="1"/>
        <i x="385" s="1"/>
        <i x="192" s="1"/>
        <i x="194" s="1"/>
        <i x="347" s="1"/>
        <i x="298" s="1"/>
        <i x="105" s="1"/>
        <i x="260" s="1"/>
        <i x="34" s="1"/>
        <i x="341" s="1"/>
        <i x="74" s="1"/>
        <i x="53" s="1"/>
        <i x="95" s="1"/>
        <i x="48" s="1"/>
        <i x="252" s="1"/>
        <i x="46" s="1"/>
        <i x="232" s="1"/>
        <i x="32" s="1"/>
        <i x="12" s="1"/>
        <i x="0" s="1"/>
        <i x="383" s="1"/>
        <i x="108" s="1"/>
        <i x="249" s="1"/>
        <i x="360" s="1"/>
        <i x="324" s="1"/>
        <i x="28" s="1"/>
        <i x="122" s="1"/>
        <i x="116" s="1"/>
        <i x="62" s="1"/>
        <i x="221" s="1"/>
        <i x="22" s="1"/>
        <i x="296" s="1"/>
        <i x="308" s="1"/>
        <i x="258" s="1"/>
        <i x="9" s="1"/>
        <i x="200" s="1"/>
        <i x="106" s="1"/>
        <i x="49" s="1"/>
        <i x="272" s="1"/>
        <i x="293" s="1"/>
        <i x="52" s="1"/>
        <i x="211" s="1"/>
        <i x="39" s="1"/>
        <i x="238" s="1"/>
        <i x="306" s="1"/>
        <i x="336" s="1"/>
        <i x="205" s="1"/>
        <i x="281" s="1"/>
        <i x="219" s="1"/>
        <i x="68" s="1"/>
        <i x="233" s="1"/>
        <i x="334" s="1"/>
        <i x="87" s="1"/>
        <i x="327" s="1"/>
        <i x="11" s="1"/>
        <i x="7" s="1"/>
        <i x="179" s="1"/>
        <i x="253" s="1"/>
        <i x="322" s="1"/>
        <i x="371" s="1"/>
        <i x="96" s="1"/>
        <i x="151" s="1"/>
        <i x="387" s="1"/>
        <i x="245" s="1"/>
        <i x="149" s="1"/>
        <i x="262" s="1"/>
        <i x="184" s="1"/>
        <i x="226" s="1"/>
        <i x="57" s="1"/>
        <i x="362" s="1"/>
        <i x="102" s="1"/>
        <i x="254" s="1"/>
        <i x="375" s="1"/>
        <i x="182" s="1"/>
        <i x="231" s="1"/>
        <i x="283" s="1"/>
        <i x="227" s="1"/>
        <i x="174" s="1"/>
        <i x="8" s="1"/>
        <i x="353" s="1"/>
        <i x="158" s="1"/>
        <i x="348" s="1"/>
        <i x="246" s="1"/>
        <i x="123" s="1"/>
        <i x="40" s="1"/>
        <i x="30" s="1"/>
        <i x="171" s="1"/>
        <i x="66" s="1"/>
        <i x="19" s="1"/>
        <i x="141" s="1"/>
        <i x="129" s="1"/>
        <i x="286" s="1"/>
        <i x="234" s="1"/>
        <i x="313" s="1"/>
        <i x="367" s="1"/>
        <i x="206" s="1"/>
        <i x="37" s="1"/>
        <i x="119" s="1"/>
        <i x="152" s="1"/>
        <i x="250" s="1"/>
        <i x="64" s="1"/>
        <i x="24" s="1"/>
        <i x="335" s="1"/>
        <i x="217" s="1"/>
        <i x="138" s="1"/>
        <i x="125" s="1"/>
        <i x="5" s="1"/>
        <i x="295" s="1"/>
        <i x="228" s="1"/>
        <i x="379" s="1"/>
        <i x="136" s="1"/>
        <i x="176" s="1"/>
        <i x="155" s="1"/>
        <i x="319" s="1"/>
        <i x="247" s="1"/>
        <i x="90" s="1"/>
        <i x="264" s="1"/>
        <i x="75" s="1"/>
        <i x="275" s="1"/>
        <i x="187" s="1"/>
        <i x="181" s="1"/>
        <i x="384" s="1"/>
        <i x="289" s="1"/>
        <i x="69" s="1"/>
        <i x="150" s="1"/>
        <i x="177" s="1"/>
        <i x="204" s="1"/>
        <i x="71" s="1"/>
        <i x="307" s="1"/>
        <i x="23" s="1"/>
        <i x="351" s="1"/>
        <i x="344" s="1"/>
        <i x="405" s="1"/>
        <i x="318" s="1"/>
        <i x="77" s="1"/>
        <i x="29" s="1"/>
        <i x="15" s="1"/>
        <i x="242" s="1"/>
        <i x="305" s="1"/>
        <i x="350" s="1"/>
        <i x="332" s="1"/>
        <i x="89" s="1"/>
        <i x="265" s="1"/>
        <i x="216" s="1"/>
        <i x="224" s="1"/>
        <i x="288" s="1"/>
        <i x="333" s="1"/>
        <i x="132" s="1"/>
        <i x="323" s="1"/>
        <i x="345" s="1"/>
        <i x="98" s="1"/>
        <i x="85" s="1"/>
        <i x="91" s="1"/>
        <i x="271" s="1"/>
        <i x="21" s="1"/>
        <i x="312" s="1"/>
        <i x="331" s="1"/>
        <i x="35" s="1"/>
        <i x="73" s="1"/>
        <i x="27" s="1"/>
        <i x="364" s="1"/>
        <i x="269" s="1"/>
        <i x="392" s="1"/>
        <i x="178" s="1"/>
        <i x="382" s="1"/>
        <i x="390" s="1"/>
        <i x="366" s="1"/>
        <i x="220" s="1"/>
        <i x="285" s="1"/>
        <i x="218" s="1"/>
        <i x="235" s="1"/>
        <i x="134" s="1"/>
        <i x="381" s="1"/>
        <i x="292" s="1"/>
        <i x="239" s="1"/>
        <i x="160" s="1"/>
        <i x="358" s="1"/>
        <i x="329" s="1"/>
        <i x="130" s="1"/>
        <i x="337" s="1"/>
        <i x="393" s="1"/>
        <i x="47" s="1"/>
        <i x="167" s="1"/>
        <i x="140" s="1"/>
        <i x="291" s="1"/>
        <i x="404" s="1"/>
        <i x="273" s="1"/>
        <i x="403" s="1"/>
        <i x="243" s="1"/>
        <i x="325" s="1"/>
        <i x="44" s="1"/>
        <i x="406" s="1"/>
        <i x="13" s="1"/>
        <i x="398" s="1"/>
        <i x="188" s="1"/>
        <i x="346" s="1"/>
        <i x="355" s="1"/>
        <i x="143" s="1"/>
        <i x="153" s="1"/>
        <i x="370" s="1"/>
        <i x="395" s="1"/>
        <i x="378" s="1"/>
        <i x="397" s="1"/>
        <i x="290" s="1"/>
        <i x="369" s="1"/>
        <i x="126" s="1"/>
        <i x="236" s="1"/>
        <i x="156" s="1"/>
        <i x="377" s="1"/>
        <i x="365" s="1"/>
        <i x="401" s="1"/>
        <i x="65" s="1"/>
        <i x="207" s="1"/>
        <i x="215" s="1"/>
        <i x="229" s="1"/>
        <i x="103" s="1"/>
        <i x="173" s="1"/>
        <i x="198" s="1"/>
        <i x="147" s="1"/>
        <i x="316" s="1"/>
        <i x="63" s="1"/>
        <i x="58" s="1"/>
        <i x="33" s="1"/>
        <i x="3" s="1"/>
        <i x="317" s="1"/>
        <i x="310" s="1"/>
        <i x="248" s="1"/>
        <i x="407" s="1"/>
        <i x="97" s="1"/>
        <i x="168" s="1"/>
        <i x="14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ck_types" xr10:uid="{FA7E3E83-097A-41A3-AC3A-5E190E169B80}" sourceName="truck_types">
  <pivotTables>
    <pivotTable tabId="12" name="PivotTable5"/>
  </pivotTables>
  <data>
    <tabular pivotCacheId="1238012707">
      <items count="5">
        <i x="0" s="1"/>
        <i x="3" s="1"/>
        <i x="1"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pay_total" xr10:uid="{BFBFC3DC-CAA7-4956-896B-8266AEA01DB5}" sourceName="driver_pay_total">
  <pivotTables>
    <pivotTable tabId="12" name="PivotTable5"/>
  </pivotTables>
  <data>
    <tabular pivotCacheId="1238012707">
      <items count="980">
        <i x="108" s="1"/>
        <i x="168" s="1"/>
        <i x="332" s="1"/>
        <i x="64" s="1"/>
        <i x="286" s="1"/>
        <i x="334" s="1"/>
        <i x="53" s="1"/>
        <i x="285" s="1"/>
        <i x="858" s="1"/>
        <i x="151" s="1"/>
        <i x="139" s="1"/>
        <i x="829" s="1"/>
        <i x="926" s="1"/>
        <i x="962" s="1"/>
        <i x="484" s="1"/>
        <i x="419" s="1"/>
        <i x="466" s="1"/>
        <i x="463" s="1"/>
        <i x="796" s="1"/>
        <i x="192" s="1"/>
        <i x="381" s="1"/>
        <i x="812" s="1"/>
        <i x="329" s="1"/>
        <i x="248" s="1"/>
        <i x="516" s="1"/>
        <i x="879" s="1"/>
        <i x="314" s="1"/>
        <i x="663" s="1"/>
        <i x="899" s="1"/>
        <i x="522" s="1"/>
        <i x="577" s="1"/>
        <i x="268" s="1"/>
        <i x="331" s="1"/>
        <i x="502" s="1"/>
        <i x="623" s="1"/>
        <i x="541" s="1"/>
        <i x="107" s="1"/>
        <i x="478" s="1"/>
        <i x="198" s="1"/>
        <i x="404" s="1"/>
        <i x="252" s="1"/>
        <i x="240" s="1"/>
        <i x="588" s="1"/>
        <i x="875" s="1"/>
        <i x="85" s="1"/>
        <i x="791" s="1"/>
        <i x="189" s="1"/>
        <i x="840" s="1"/>
        <i x="160" s="1"/>
        <i x="797" s="1"/>
        <i x="46" s="1"/>
        <i x="289" s="1"/>
        <i x="847" s="1"/>
        <i x="928" s="1"/>
        <i x="745" s="1"/>
        <i x="191" s="1"/>
        <i x="114" s="1"/>
        <i x="930" s="1"/>
        <i x="809" s="1"/>
        <i x="546" s="1"/>
        <i x="587" s="1"/>
        <i x="750" s="1"/>
        <i x="574" s="1"/>
        <i x="211" s="1"/>
        <i x="912" s="1"/>
        <i x="96" s="1"/>
        <i x="54" s="1"/>
        <i x="793" s="1"/>
        <i x="677" s="1"/>
        <i x="214" s="1"/>
        <i x="187" s="1"/>
        <i x="826" s="1"/>
        <i x="919" s="1"/>
        <i x="483" s="1"/>
        <i x="815" s="1"/>
        <i x="785" s="1"/>
        <i x="701" s="1"/>
        <i x="410" s="1"/>
        <i x="883" s="1"/>
        <i x="547" s="1"/>
        <i x="63" s="1"/>
        <i x="743" s="1"/>
        <i x="901" s="1"/>
        <i x="852" s="1"/>
        <i x="718" s="1"/>
        <i x="91" s="1"/>
        <i x="704" s="1"/>
        <i x="359" s="1"/>
        <i x="3" s="1"/>
        <i x="562" s="1"/>
        <i x="784" s="1"/>
        <i x="104" s="1"/>
        <i x="973" s="1"/>
        <i x="959" s="1"/>
        <i x="947" s="1"/>
        <i x="241" s="1"/>
        <i x="417" s="1"/>
        <i x="136" s="1"/>
        <i x="669" s="1"/>
        <i x="766" s="1"/>
        <i x="884" s="1"/>
        <i x="205" s="1"/>
        <i x="165" s="1"/>
        <i x="300" s="1"/>
        <i x="9" s="1"/>
        <i x="69" s="1"/>
        <i x="746" s="1"/>
        <i x="567" s="1"/>
        <i x="237" s="1"/>
        <i x="83" s="1"/>
        <i x="977" s="1"/>
        <i x="530" s="1"/>
        <i x="210" s="1"/>
        <i x="498" s="1"/>
        <i x="361" s="1"/>
        <i x="650" s="1"/>
        <i x="874" s="1"/>
        <i x="67" s="1"/>
        <i x="59" s="1"/>
        <i x="279" s="1"/>
        <i x="631" s="1"/>
        <i x="180" s="1"/>
        <i x="355" s="1"/>
        <i x="155" s="1"/>
        <i x="24" s="1"/>
        <i x="621" s="1"/>
        <i x="451" s="1"/>
        <i x="873" s="1"/>
        <i x="88" s="1"/>
        <i x="138" s="1"/>
        <i x="493" s="1"/>
        <i x="804" s="1"/>
        <i x="936" s="1"/>
        <i x="506" s="1"/>
        <i x="76" s="1"/>
        <i x="398" s="1"/>
        <i x="600" s="1"/>
        <i x="939" s="1"/>
        <i x="934" s="1"/>
        <i x="336" s="1"/>
        <i x="757" s="1"/>
        <i x="62" s="1"/>
        <i x="244" s="1"/>
        <i x="125" s="1"/>
        <i x="173" s="1"/>
        <i x="124" s="1"/>
        <i x="243" s="1"/>
        <i x="639" s="1"/>
        <i x="656" s="1"/>
        <i x="269" s="1"/>
        <i x="970" s="1"/>
        <i x="223" s="1"/>
        <i x="560" s="1"/>
        <i x="529" s="1"/>
        <i x="660" s="1"/>
        <i x="685" s="1"/>
        <i x="230" s="1"/>
        <i x="613" s="1"/>
        <i x="598" s="1"/>
        <i x="468" s="1"/>
        <i x="322" s="1"/>
        <i x="117" s="1"/>
        <i x="607" s="1"/>
        <i x="171" s="1"/>
        <i x="312" s="1"/>
        <i x="556" s="1"/>
        <i x="969" s="1"/>
        <i x="291" s="1"/>
        <i x="172" s="1"/>
        <i x="592" s="1"/>
        <i x="778" s="1"/>
        <i x="465" s="1"/>
        <i x="44" s="1"/>
        <i x="328" s="1"/>
        <i x="346" s="1"/>
        <i x="382" s="1"/>
        <i x="224" s="1"/>
        <i x="424" s="1"/>
        <i x="679" s="1"/>
        <i x="559" s="1"/>
        <i x="490" s="1"/>
        <i x="699" s="1"/>
        <i x="736" s="1"/>
        <i x="464" s="1"/>
        <i x="803" s="1"/>
        <i x="733" s="1"/>
        <i x="849" s="1"/>
        <i x="538" s="1"/>
        <i x="446" s="1"/>
        <i x="339" s="1"/>
        <i x="66" s="1"/>
        <i x="616" s="1"/>
        <i x="524" s="1"/>
        <i x="902" s="1"/>
        <i x="707" s="1"/>
        <i x="418" s="1"/>
        <i x="234" s="1"/>
        <i x="700" s="1"/>
        <i x="102" s="1"/>
        <i x="45" s="1"/>
        <i x="377" s="1"/>
        <i x="886" s="1"/>
        <i x="848" s="1"/>
        <i x="57" s="1"/>
        <i x="280" s="1"/>
        <i x="134" s="1"/>
        <i x="842" s="1"/>
        <i x="974" s="1"/>
        <i x="126" s="1"/>
        <i x="565" s="1"/>
        <i x="975" s="1"/>
        <i x="343" s="1"/>
        <i x="891" s="1"/>
        <i x="356" s="1"/>
        <i x="832" s="1"/>
        <i x="352" s="1"/>
        <i x="354" s="1"/>
        <i x="722" s="1"/>
        <i x="80" s="1"/>
        <i x="232" s="1"/>
        <i x="561" s="1"/>
        <i x="968" s="1"/>
        <i x="247" s="1"/>
        <i x="850" s="1"/>
        <i x="486" s="1"/>
        <i x="715" s="1"/>
        <i x="428" s="1"/>
        <i x="454" s="1"/>
        <i x="185" s="1"/>
        <i x="533" s="1"/>
        <i x="917" s="1"/>
        <i x="720" s="1"/>
        <i x="216" s="1"/>
        <i x="963" s="1"/>
        <i x="257" s="1"/>
        <i x="427" s="1"/>
        <i x="950" s="1"/>
        <i x="512" s="1"/>
        <i x="302" s="1"/>
        <i x="794" s="1"/>
        <i x="317" s="1"/>
        <i x="711" s="1"/>
        <i x="60" s="1"/>
        <i x="810" s="1"/>
        <i x="957" s="1"/>
        <i x="799" s="1"/>
        <i x="433" s="1"/>
        <i x="641" s="1"/>
        <i x="893" s="1"/>
        <i x="866" s="1"/>
        <i x="976" s="1"/>
        <i x="514" s="1"/>
        <i x="897" s="1"/>
        <i x="485" s="1"/>
        <i x="774" s="1"/>
        <i x="307" s="1"/>
        <i x="183" s="1"/>
        <i x="714" s="1"/>
        <i x="687" s="1"/>
        <i x="48" s="1"/>
        <i x="65" s="1"/>
        <i x="710" s="1"/>
        <i x="940" s="1"/>
        <i x="306" s="1"/>
        <i x="310" s="1"/>
        <i x="709" s="1"/>
        <i x="412" s="1"/>
        <i x="582" s="1"/>
        <i x="680" s="1"/>
        <i x="403" s="1"/>
        <i x="462" s="1"/>
        <i x="863" s="1"/>
        <i x="153" s="1"/>
        <i x="56" s="1"/>
        <i x="196" s="1"/>
        <i x="397" s="1"/>
        <i x="29" s="1"/>
        <i x="647" s="1"/>
        <i x="625" s="1"/>
        <i x="563" s="1"/>
        <i x="298" s="1"/>
        <i x="708" s="1"/>
        <i x="813" s="1"/>
        <i x="795" s="1"/>
        <i x="133" s="1"/>
        <i x="366" s="1"/>
        <i x="271" s="1"/>
        <i x="204" s="1"/>
        <i x="112" s="1"/>
        <i x="918" s="1"/>
        <i x="11" s="1"/>
        <i x="764" s="1"/>
        <i x="236" s="1"/>
        <i x="523" s="1"/>
        <i x="740" s="1"/>
        <i x="837" s="1"/>
        <i x="174" s="1"/>
        <i x="175" s="1"/>
        <i x="290" s="1"/>
        <i x="89" s="1"/>
        <i x="978" s="1"/>
        <i x="341" s="1"/>
        <i x="270" s="1"/>
        <i x="510" s="1"/>
        <i x="634" s="1"/>
        <i x="426" s="1"/>
        <i x="21" s="1"/>
        <i x="4" s="1"/>
        <i x="360" s="1"/>
        <i x="706" s="1"/>
        <i x="775" s="1"/>
        <i x="323" s="1"/>
        <i x="575" s="1"/>
        <i x="619" s="1"/>
        <i x="235" s="1"/>
        <i x="881" s="1"/>
        <i x="838" s="1"/>
        <i x="260" s="1"/>
        <i x="8" s="1"/>
        <i x="841" s="1"/>
        <i x="394" s="1"/>
        <i x="72" s="1"/>
        <i x="118" s="1"/>
        <i x="783" s="1"/>
        <i x="481" s="1"/>
        <i x="250" s="1"/>
        <i x="32" s="1"/>
        <i x="513" s="1"/>
        <i x="474" s="1"/>
        <i x="761" s="1"/>
        <i x="617" s="1"/>
        <i x="635" s="1"/>
        <i x="724" s="1"/>
        <i x="2" s="1"/>
        <i x="643" s="1"/>
        <i x="282" s="1"/>
        <i x="449" s="1"/>
        <i x="492" s="1"/>
        <i x="728" s="1"/>
        <i x="674" s="1"/>
        <i x="386" s="1"/>
        <i x="578" s="1"/>
        <i x="576" s="1"/>
        <i x="43" s="1"/>
        <i x="865" s="1"/>
        <i x="111" s="1"/>
        <i x="98" s="1"/>
        <i x="146" s="1"/>
        <i x="443" s="1"/>
        <i x="580" s="1"/>
        <i x="817" s="1"/>
        <i x="358" s="1"/>
        <i x="145" s="1"/>
        <i x="372" s="1"/>
        <i x="68" s="1"/>
        <i x="277" s="1"/>
        <i x="554" s="1"/>
        <i x="193" s="1"/>
        <i x="657" s="1"/>
        <i x="686" s="1"/>
        <i x="129" s="1"/>
        <i x="895" s="1"/>
        <i x="0" s="1"/>
        <i x="723" s="1"/>
        <i x="402" s="1"/>
        <i x="265" s="1"/>
        <i x="100" s="1"/>
        <i x="122" s="1"/>
        <i x="371" s="1"/>
        <i x="135" s="1"/>
        <i x="266" s="1"/>
        <i x="320" s="1"/>
        <i x="749" s="1"/>
        <i x="843" s="1"/>
        <i x="801" s="1"/>
        <i x="844" s="1"/>
        <i x="308" s="1"/>
        <i x="330" s="1"/>
        <i x="645" s="1"/>
        <i x="584" s="1"/>
        <i x="345" s="1"/>
        <i x="95" s="1"/>
        <i x="393" s="1"/>
        <i x="867" s="1"/>
        <i x="517" s="1"/>
        <i x="460" s="1"/>
        <i x="452" s="1"/>
        <i x="731" s="1"/>
        <i x="425" s="1"/>
        <i x="20" s="1"/>
        <i x="898" s="1"/>
        <i x="823" s="1"/>
        <i x="35" s="1"/>
        <i x="456" s="1"/>
        <i x="472" s="1"/>
        <i x="960" s="1"/>
        <i x="421" s="1"/>
        <i x="697" s="1"/>
        <i x="324" s="1"/>
        <i x="278" s="1"/>
        <i x="444" s="1"/>
        <i x="222" s="1"/>
        <i x="479" s="1"/>
        <i x="579" s="1"/>
        <i x="601" s="1"/>
        <i x="158" s="1"/>
        <i x="628" s="1"/>
        <i x="721" s="1"/>
        <i x="805" s="1"/>
        <i x="409" s="1"/>
        <i x="937" s="1"/>
        <i x="376" s="1"/>
        <i x="922" s="1"/>
        <i x="540" s="1"/>
        <i x="195" s="1"/>
        <i x="738" s="1"/>
        <i x="920" s="1"/>
        <i x="822" s="1"/>
        <i x="642" s="1"/>
        <i x="753" s="1"/>
        <i x="670" s="1"/>
        <i x="50" s="1"/>
        <i x="1" s="1"/>
        <i x="10" s="1"/>
        <i x="321" s="1"/>
        <i x="595" s="1"/>
        <i x="305" s="1"/>
        <i x="519" s="1"/>
        <i x="213" s="1"/>
        <i x="284" s="1"/>
        <i x="93" s="1"/>
        <i x="682" s="1"/>
        <i x="212" s="1"/>
        <i x="367" s="1"/>
        <i x="87" s="1"/>
        <i x="61" s="1"/>
        <i x="608" s="1"/>
        <i x="956" s="1"/>
        <i x="251" s="1"/>
        <i x="194" s="1"/>
        <i x="550" s="1"/>
        <i x="910" s="1"/>
        <i x="585" s="1"/>
        <i x="181" s="1"/>
        <i x="726" s="1"/>
        <i x="405" s="1"/>
        <i x="385" s="1"/>
        <i x="370" s="1"/>
        <i x="242" s="1"/>
        <i x="821" s="1"/>
        <i x="953" s="1"/>
        <i x="659" s="1"/>
        <i x="74" s="1"/>
        <i x="55" s="1"/>
        <i x="836" s="1"/>
        <i x="19" s="1"/>
        <i x="702" s="1"/>
        <i x="609" s="1"/>
        <i x="238" s="1"/>
        <i x="292" s="1"/>
        <i x="943" s="1"/>
        <i x="545" s="1"/>
        <i x="814" s="1"/>
        <i x="78" s="1"/>
        <i x="773" s="1"/>
        <i x="727" s="1"/>
        <i x="713" s="1"/>
        <i x="176" s="1"/>
        <i x="949" s="1"/>
        <i x="500" s="1"/>
        <i x="742" s="1"/>
        <i x="249" s="1"/>
        <i x="760" s="1"/>
        <i x="671" s="1"/>
        <i x="365" s="1"/>
        <i x="52" s="1"/>
        <i x="610" s="1"/>
        <i x="132" s="1"/>
        <i x="894" s="1"/>
        <i x="872" s="1"/>
        <i x="786" s="1"/>
        <i x="458" s="1"/>
        <i x="614" s="1"/>
        <i x="941" s="1"/>
        <i x="105" s="1"/>
        <i x="526" s="1"/>
        <i x="599" s="1"/>
        <i x="197" s="1"/>
        <i x="818" s="1"/>
        <i x="287" s="1"/>
        <i x="295" s="1"/>
        <i x="739" s="1"/>
        <i x="459" s="1"/>
        <i x="868" s="1"/>
        <i x="340" s="1"/>
        <i x="81" s="1"/>
        <i x="586" s="1"/>
        <i x="254" s="1"/>
        <i x="143" s="1"/>
        <i x="39" s="1"/>
        <i x="525" s="1"/>
        <i x="395" s="1"/>
        <i x="570" s="1"/>
        <i x="476" s="1"/>
        <i x="264" s="1"/>
        <i x="961" s="1"/>
        <i x="164" s="1"/>
        <i x="113" s="1"/>
        <i x="179" s="1"/>
        <i x="40" s="1"/>
        <i x="480" s="1"/>
        <i x="938" s="1"/>
        <i x="907" s="1"/>
        <i x="861" s="1"/>
        <i x="255" s="1"/>
        <i x="876" s="1"/>
        <i x="882" s="1"/>
        <i x="49" s="1"/>
        <i x="923" s="1"/>
        <i x="835" s="1"/>
        <i x="450" s="1"/>
        <i x="712" s="1"/>
        <i x="859" s="1"/>
        <i x="889" s="1"/>
        <i x="870" s="1"/>
        <i x="337" s="1"/>
        <i x="896" s="1"/>
        <i x="855" s="1"/>
        <i x="147" s="1"/>
        <i x="342" s="1"/>
        <i x="229" s="1"/>
        <i x="23" s="1"/>
        <i x="448" s="1"/>
        <i x="589" s="1"/>
        <i x="233" s="1"/>
        <i x="152" s="1"/>
        <i x="597" s="1"/>
        <i x="890" s="1"/>
        <i x="407" s="1"/>
        <i x="221" s="1"/>
        <i x="348" s="1"/>
        <i x="144" s="1"/>
        <i x="888" s="1"/>
        <i x="128" s="1"/>
        <i x="668" s="1"/>
        <i x="319" s="1"/>
        <i x="594" s="1"/>
        <i x="288" s="1"/>
        <i x="6" s="1"/>
        <i x="792" s="1"/>
        <i x="438" s="1"/>
        <i x="566" s="1"/>
        <i x="489" s="1"/>
        <i x="115" s="1"/>
        <i x="36" s="1"/>
        <i x="379" s="1"/>
        <i x="916" s="1"/>
        <i x="593" s="1"/>
        <i x="374" s="1"/>
        <i x="103" s="1"/>
        <i x="470" s="1"/>
        <i x="684" s="1"/>
        <i x="543" s="1"/>
        <i x="845" s="1"/>
        <i x="380" s="1"/>
        <i x="646" s="1"/>
        <i x="615" s="1"/>
        <i x="26" s="1"/>
        <i x="101" s="1"/>
        <i x="768" s="1"/>
        <i x="110" s="1"/>
        <i x="705" s="1"/>
        <i x="276" s="1"/>
        <i x="509" s="1"/>
        <i x="536" s="1"/>
        <i x="754" s="1"/>
        <i x="182" s="1"/>
        <i x="966" s="1"/>
        <i x="38" s="1"/>
        <i x="491" s="1"/>
        <i x="77" s="1"/>
        <i x="18" s="1"/>
        <i x="73" s="1"/>
        <i x="672" s="1"/>
        <i x="228" s="1"/>
        <i x="666" s="1"/>
        <i x="206" s="1"/>
        <i x="719" s="1"/>
        <i x="630" s="1"/>
        <i x="688" s="1"/>
        <i x="927" s="1"/>
        <i x="693" s="1"/>
        <i x="441" s="1"/>
        <i x="948" s="1"/>
        <i x="958" s="1"/>
        <i x="109" s="1"/>
        <i x="148" s="1"/>
        <i x="75" s="1"/>
        <i x="14" s="1"/>
        <i x="569" s="1"/>
        <i x="808" s="1"/>
        <i x="945" s="1"/>
        <i x="862" s="1"/>
        <i x="924" s="1"/>
        <i x="800" s="1"/>
        <i x="156" s="1"/>
        <i x="551" s="1"/>
        <i x="787" s="1"/>
        <i x="755" s="1"/>
        <i x="806" s="1"/>
        <i x="457" s="1"/>
        <i x="127" s="1"/>
        <i x="846" s="1"/>
        <i x="220" s="1"/>
        <i x="22" s="1"/>
        <i x="437" s="1"/>
        <i x="399" s="1"/>
        <i x="15" s="1"/>
        <i x="932" s="1"/>
        <i x="887" s="1"/>
        <i x="602" s="1"/>
        <i x="820" s="1"/>
        <i x="769" s="1"/>
        <i x="274" s="1"/>
        <i x="903" s="1"/>
        <i x="86" s="1"/>
        <i x="378" s="1"/>
        <i x="955" s="1"/>
        <i x="558" s="1"/>
        <i x="703" s="1"/>
        <i x="505" s="1"/>
        <i x="572" s="1"/>
        <i x="170" s="1"/>
        <i x="401" s="1"/>
        <i x="71" s="1"/>
        <i x="935" s="1"/>
        <i x="747" s="1"/>
        <i x="756" s="1"/>
        <i x="717" s="1"/>
        <i x="864" s="1"/>
        <i x="391" s="1"/>
        <i x="304" s="1"/>
        <i x="971" s="1"/>
        <i x="909" s="1"/>
        <i x="261" s="1"/>
        <i x="327" s="1"/>
        <i x="5" s="1"/>
        <i x="309" s="1"/>
        <i x="763" s="1"/>
        <i x="350" s="1"/>
        <i x="689" s="1"/>
        <i x="622" s="1"/>
        <i x="188" s="1"/>
        <i x="811" s="1"/>
        <i x="681" s="1"/>
        <i x="141" s="1"/>
        <i x="487" s="1"/>
        <i x="839" s="1"/>
        <i x="482" s="1"/>
        <i x="413" s="1"/>
        <i x="58" s="1"/>
        <i x="388" s="1"/>
        <i x="94" s="1"/>
        <i x="392" s="1"/>
        <i x="834" s="1"/>
        <i x="748" s="1"/>
        <i x="548" s="1"/>
        <i x="675" s="1"/>
        <i x="27" s="1"/>
        <i x="661" s="1"/>
        <i x="790" s="1"/>
        <i x="871" s="1"/>
        <i x="299" s="1"/>
        <i x="353" s="1"/>
        <i x="552" s="1"/>
        <i x="13" s="1"/>
        <i x="363" s="1"/>
        <i x="326" s="1"/>
        <i x="762" s="1"/>
        <i x="611" s="1"/>
        <i x="445" s="1"/>
        <i x="654" s="1"/>
        <i x="231" s="1"/>
        <i x="906" s="1"/>
        <i x="258" s="1"/>
        <i x="676" s="1"/>
        <i x="531" s="1"/>
        <i x="311" s="1"/>
        <i x="557" s="1"/>
        <i x="741" s="1"/>
        <i x="325" s="1"/>
        <i x="461" s="1"/>
        <i x="226" s="1"/>
        <i x="518" s="1"/>
        <i x="532" s="1"/>
        <i x="648" s="1"/>
        <i x="387" s="1"/>
        <i x="209" s="1"/>
        <i x="207" s="1"/>
        <i x="219" s="1"/>
        <i x="163" s="1"/>
        <i x="283" s="1"/>
        <i x="925" s="1"/>
        <i x="596" s="1"/>
        <i x="338" s="1"/>
        <i x="539" s="1"/>
        <i x="553" s="1"/>
        <i x="97" s="1"/>
        <i x="84" s="1"/>
        <i x="944" s="1"/>
        <i x="488" s="1"/>
        <i x="678" s="1"/>
        <i x="780" s="1"/>
        <i x="951" s="1"/>
        <i x="42" s="1"/>
        <i x="7" s="1"/>
        <i x="758" s="1"/>
        <i x="965" s="1"/>
        <i x="199" s="1"/>
        <i x="28" s="1"/>
        <i x="690" s="1"/>
        <i x="442" s="1"/>
        <i x="946" s="1"/>
        <i x="967" s="1"/>
        <i x="658" s="1"/>
        <i x="120" s="1"/>
        <i x="239" s="1"/>
        <i x="447" s="1"/>
        <i x="420" s="1"/>
        <i x="33" s="1"/>
        <i x="422" s="1"/>
        <i x="827" s="1"/>
        <i x="880" s="1"/>
        <i x="149" s="1"/>
        <i x="256" s="1"/>
        <i x="246" s="1"/>
        <i x="528" s="1"/>
        <i x="200" s="1"/>
        <i x="17" s="1"/>
        <i x="275" s="1"/>
        <i x="735" s="1"/>
        <i x="692" s="1"/>
        <i x="825" s="1"/>
        <i x="664" s="1"/>
        <i x="732" s="1"/>
        <i x="496" s="1"/>
        <i x="131" s="1"/>
        <i x="140" s="1"/>
        <i x="854" s="1"/>
        <i x="964" s="1"/>
        <i x="860" s="1"/>
        <i x="167" s="1"/>
        <i x="218" s="1"/>
        <i x="439" s="1"/>
        <i x="789" s="1"/>
        <i x="318" s="1"/>
        <i x="618" s="1"/>
        <i x="612" s="1"/>
        <i x="653" s="1"/>
        <i x="892" s="1"/>
        <i x="335" s="1"/>
        <i x="415" s="1"/>
        <i x="564" s="1"/>
        <i x="573" s="1"/>
        <i x="904" s="1"/>
        <i x="177" s="1"/>
        <i x="416" s="1"/>
        <i x="37" s="1"/>
        <i x="798" s="1"/>
        <i x="655" s="1"/>
        <i x="31" s="1"/>
        <i x="694" s="1"/>
        <i x="752" s="1"/>
        <i x="549" s="1"/>
        <i x="351" s="1"/>
        <i x="384" s="1"/>
        <i x="759" s="1"/>
        <i x="408" s="1"/>
        <i x="744" s="1"/>
        <i x="301" s="1"/>
        <i x="473" s="1"/>
        <i x="591" s="1"/>
        <i x="267" s="1"/>
        <i x="816" s="1"/>
        <i x="606" s="1"/>
        <i x="765" s="1"/>
        <i x="900" s="1"/>
        <i x="877" s="1"/>
        <i x="469" s="1"/>
        <i x="640" s="1"/>
        <i x="262" s="1"/>
        <i x="169" s="1"/>
        <i x="369" s="1"/>
        <i x="41" s="1"/>
        <i x="776" s="1"/>
        <i x="431" s="1"/>
        <i x="954" s="1"/>
        <i x="571" s="1"/>
        <i x="638" s="1"/>
        <i x="627" s="1"/>
        <i x="349" s="1"/>
        <i x="389" s="1"/>
        <i x="494" s="1"/>
        <i x="406" s="1"/>
        <i x="364" s="1"/>
        <i x="47" s="1"/>
        <i x="649" s="1"/>
        <i x="583" s="1"/>
        <i x="390" s="1"/>
        <i x="227" s="1"/>
        <i x="652" s="1"/>
        <i x="495" s="1"/>
        <i x="333" s="1"/>
        <i x="831" s="1"/>
        <i x="293" s="1"/>
        <i x="99" s="1"/>
        <i x="142" s="1"/>
        <i x="633" s="1"/>
        <i x="819" s="1"/>
        <i x="788" s="1"/>
        <i x="979" s="1"/>
        <i x="921" s="1"/>
        <i x="698" s="1"/>
        <i x="931" s="1"/>
        <i x="123" s="1"/>
        <i x="581" s="1"/>
        <i x="396" s="1"/>
        <i x="477" s="1"/>
        <i x="121" s="1"/>
        <i x="914" s="1"/>
        <i x="857" s="1"/>
        <i x="455" s="1"/>
        <i x="665" s="1"/>
        <i x="296" s="1"/>
        <i x="929" s="1"/>
        <i x="159" s="1"/>
        <i x="106" s="1"/>
        <i x="25" s="1"/>
        <i x="281" s="1"/>
        <i x="716" s="1"/>
        <i x="116" s="1"/>
        <i x="375" s="1"/>
        <i x="507" s="1"/>
        <i x="662" s="1"/>
        <i x="908" s="1"/>
        <i x="673" s="1"/>
        <i x="184" s="1"/>
        <i x="161" s="1"/>
        <i x="82" s="1"/>
        <i x="942" s="1"/>
        <i x="297" s="1"/>
        <i x="357" s="1"/>
        <i x="856" s="1"/>
        <i x="911" s="1"/>
        <i x="624" s="1"/>
        <i x="430" s="1"/>
        <i x="414" s="1"/>
        <i x="504" s="1"/>
        <i x="878" s="1"/>
        <i x="667" s="1"/>
        <i x="620" s="1"/>
        <i x="782" s="1"/>
        <i x="497" s="1"/>
        <i x="637" s="1"/>
        <i x="157" s="1"/>
        <i x="434" s="1"/>
        <i x="272" s="1"/>
        <i x="905" s="1"/>
        <i x="568" s="1"/>
        <i x="534" s="1"/>
        <i x="544" s="1"/>
        <i x="203" s="1"/>
        <i x="636" s="1"/>
        <i x="273" s="1"/>
        <i x="626" s="1"/>
        <i x="202" s="1"/>
        <i x="303" s="1"/>
        <i x="683" s="1"/>
        <i x="373" s="1"/>
        <i x="802" s="1"/>
        <i x="432" s="1"/>
        <i x="499" s="1"/>
        <i x="225" s="1"/>
        <i x="730" s="1"/>
        <i x="201" s="1"/>
        <i x="70" s="1"/>
        <i x="515" s="1"/>
        <i x="605" s="1"/>
        <i x="737" s="1"/>
        <i x="34" s="1"/>
        <i x="12" s="1"/>
        <i x="503" s="1"/>
        <i x="347" s="1"/>
        <i x="691" s="1"/>
        <i x="772" s="1"/>
        <i x="734" s="1"/>
        <i x="215" s="1"/>
        <i x="767" s="1"/>
        <i x="130" s="1"/>
        <i x="178" s="1"/>
        <i x="150" s="1"/>
        <i x="294" s="1"/>
        <i x="521" s="1"/>
        <i x="467" s="1"/>
        <i x="913" s="1"/>
        <i x="751" s="1"/>
        <i x="411" s="1"/>
        <i x="933" s="1"/>
        <i x="644" s="1"/>
        <i x="315" s="1"/>
        <i x="186" s="1"/>
        <i x="263" s="1"/>
        <i x="851" s="1"/>
        <i x="629" s="1"/>
        <i x="725" s="1"/>
        <i x="807" s="1"/>
        <i x="527" s="1"/>
        <i x="632" s="1"/>
        <i x="423" s="1"/>
        <i x="869" s="1"/>
        <i x="603" s="1"/>
        <i x="651" s="1"/>
        <i x="781" s="1"/>
        <i x="16" s="1"/>
        <i x="770" s="1"/>
        <i x="511" s="1"/>
        <i x="853" s="1"/>
        <i x="537" s="1"/>
        <i x="259" s="1"/>
        <i x="771" s="1"/>
        <i x="542" s="1"/>
        <i x="471" s="1"/>
        <i x="217" s="1"/>
        <i x="90" s="1"/>
        <i x="440" s="1"/>
        <i x="696" s="1"/>
        <i x="30" s="1"/>
        <i x="501" s="1"/>
        <i x="828" s="1"/>
        <i x="400" s="1"/>
        <i x="92" s="1"/>
        <i x="590" s="1"/>
        <i x="824" s="1"/>
        <i x="952" s="1"/>
        <i x="604" s="1"/>
        <i x="383" s="1"/>
        <i x="316" s="1"/>
        <i x="51" s="1"/>
        <i x="833" s="1"/>
        <i x="368" s="1"/>
        <i x="885" s="1"/>
        <i x="436" s="1"/>
        <i x="166" s="1"/>
        <i x="119" s="1"/>
        <i x="344" s="1"/>
        <i x="190" s="1"/>
        <i x="535" s="1"/>
        <i x="508" s="1"/>
        <i x="362" s="1"/>
        <i x="79" s="1"/>
        <i x="729" s="1"/>
        <i x="429" s="1"/>
        <i x="435" s="1"/>
        <i x="253" s="1"/>
        <i x="779" s="1"/>
        <i x="313" s="1"/>
        <i x="137" s="1"/>
        <i x="475" s="1"/>
        <i x="208" s="1"/>
        <i x="154" s="1"/>
        <i x="245" s="1"/>
        <i x="453" s="1"/>
        <i x="830" s="1"/>
        <i x="915" s="1"/>
        <i x="555" s="1"/>
        <i x="695" s="1"/>
        <i x="162" s="1"/>
        <i x="972" s="1"/>
        <i x="520" s="1"/>
        <i x="77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cheduled_delivery_datetime" xr10:uid="{C6123813-6AD1-4F29-9552-390989EB51DE}" sourceName="Years (scheduled_delivery_datetime)">
  <pivotTables>
    <pivotTable tabId="12" name="PivotTable5"/>
  </pivotTables>
  <data>
    <tabular pivotCacheId="1238012707">
      <items count="4">
        <i x="1" s="1"/>
        <i x="2"/>
        <i x="0" nd="1"/>
        <i x="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per_mile" xr10:uid="{1895CA8F-781C-4843-9D28-366111F18CA6}" sourceName="cost_per_mile">
  <pivotTables>
    <pivotTable tabId="6" name="PivotTable1"/>
  </pivotTables>
  <data>
    <tabular pivotCacheId="1238012707">
      <items count="115">
        <i x="97" s="1"/>
        <i x="101" s="1"/>
        <i x="57" s="1"/>
        <i x="103" s="1"/>
        <i x="100" s="1"/>
        <i x="87" s="1"/>
        <i x="107" s="1"/>
        <i x="102" s="1"/>
        <i x="74" s="1"/>
        <i x="110" s="1"/>
        <i x="86" s="1"/>
        <i x="72" s="1"/>
        <i x="92" s="1"/>
        <i x="79" s="1"/>
        <i x="23" s="1"/>
        <i x="2" s="1"/>
        <i x="80" s="1"/>
        <i x="7" s="1"/>
        <i x="44" s="1"/>
        <i x="96" s="1"/>
        <i x="10" s="1"/>
        <i x="19" s="1"/>
        <i x="83" s="1"/>
        <i x="21" s="1"/>
        <i x="99" s="1"/>
        <i x="85" s="1"/>
        <i x="28" s="1"/>
        <i x="25" s="1"/>
        <i x="16" s="1"/>
        <i x="76" s="1"/>
        <i x="63" s="1"/>
        <i x="0" s="1"/>
        <i x="109" s="1"/>
        <i x="81" s="1"/>
        <i x="26" s="1"/>
        <i x="55" s="1"/>
        <i x="30" s="1"/>
        <i x="68" s="1"/>
        <i x="9" s="1"/>
        <i x="3" s="1"/>
        <i x="70" s="1"/>
        <i x="8" s="1"/>
        <i x="37" s="1"/>
        <i x="50" s="1"/>
        <i x="62" s="1"/>
        <i x="18" s="1"/>
        <i x="24" s="1"/>
        <i x="27" s="1"/>
        <i x="13" s="1"/>
        <i x="58" s="1"/>
        <i x="32" s="1"/>
        <i x="52" s="1"/>
        <i x="17" s="1"/>
        <i x="14" s="1"/>
        <i x="22" s="1"/>
        <i x="46" s="1"/>
        <i x="1" s="1"/>
        <i x="61" s="1"/>
        <i x="42" s="1"/>
        <i x="12" s="1"/>
        <i x="5" s="1"/>
        <i x="65" s="1"/>
        <i x="20" s="1"/>
        <i x="6" s="1"/>
        <i x="67" s="1"/>
        <i x="43" s="1"/>
        <i x="39" s="1"/>
        <i x="51" s="1"/>
        <i x="33" s="1"/>
        <i x="56" s="1"/>
        <i x="59" s="1"/>
        <i x="4" s="1"/>
        <i x="54" s="1"/>
        <i x="31" s="1"/>
        <i x="35" s="1"/>
        <i x="108" s="1"/>
        <i x="11" s="1"/>
        <i x="40" s="1"/>
        <i x="48" s="1"/>
        <i x="41" s="1"/>
        <i x="95" s="1"/>
        <i x="45" s="1"/>
        <i x="69" s="1"/>
        <i x="77" s="1"/>
        <i x="38" s="1"/>
        <i x="60" s="1"/>
        <i x="53" s="1"/>
        <i x="104" s="1"/>
        <i x="47" s="1"/>
        <i x="15" s="1"/>
        <i x="112" s="1"/>
        <i x="75" s="1"/>
        <i x="49" s="1"/>
        <i x="91" s="1"/>
        <i x="90" s="1"/>
        <i x="64" s="1"/>
        <i x="34" s="1"/>
        <i x="114" s="1"/>
        <i x="94" s="1"/>
        <i x="88" s="1"/>
        <i x="84" s="1"/>
        <i x="29" s="1"/>
        <i x="73" s="1"/>
        <i x="71" s="1"/>
        <i x="89" s="1"/>
        <i x="66" s="1"/>
        <i x="78" s="1"/>
        <i x="111" s="1"/>
        <i x="105" s="1"/>
        <i x="93" s="1"/>
        <i x="113" s="1"/>
        <i x="106" s="1"/>
        <i x="82" s="1"/>
        <i x="36" s="1"/>
        <i x="9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ble_cost_per_mile" xr10:uid="{BAEAA9EB-AA60-41F3-98E8-18E52AA2312E}" sourceName="variable_cost_per_mile">
  <pivotTables>
    <pivotTable tabId="6" name="PivotTable1"/>
  </pivotTables>
  <data>
    <tabular pivotCacheId="1238012707">
      <items count="107">
        <i x="81" s="1"/>
        <i x="99" s="1"/>
        <i x="84" s="1"/>
        <i x="106" s="1"/>
        <i x="83" s="1"/>
        <i x="54" s="1"/>
        <i x="70" s="1"/>
        <i x="100" s="1"/>
        <i x="57" s="1"/>
        <i x="21" s="1"/>
        <i x="87" s="1"/>
        <i x="95" s="1"/>
        <i x="19" s="1"/>
        <i x="27" s="1"/>
        <i x="2" s="1"/>
        <i x="45" s="1"/>
        <i x="11" s="1"/>
        <i x="73" s="1"/>
        <i x="66" s="1"/>
        <i x="93" s="1"/>
        <i x="59" s="1"/>
        <i x="40" s="1"/>
        <i x="65" s="1"/>
        <i x="74" s="1"/>
        <i x="41" s="1"/>
        <i x="24" s="1"/>
        <i x="23" s="1"/>
        <i x="75" s="1"/>
        <i x="77" s="1"/>
        <i x="10" s="1"/>
        <i x="29" s="1"/>
        <i x="63" s="1"/>
        <i x="88" s="1"/>
        <i x="13" s="1"/>
        <i x="67" s="1"/>
        <i x="4" s="1"/>
        <i x="8" s="1"/>
        <i x="37" s="1"/>
        <i x="31" s="1"/>
        <i x="42" s="1"/>
        <i x="30" s="1"/>
        <i x="16" s="1"/>
        <i x="36" s="1"/>
        <i x="38" s="1"/>
        <i x="0" s="1"/>
        <i x="17" s="1"/>
        <i x="52" s="1"/>
        <i x="25" s="1"/>
        <i x="6" s="1"/>
        <i x="49" s="1"/>
        <i x="46" s="1"/>
        <i x="22" s="1"/>
        <i x="5" s="1"/>
        <i x="26" s="1"/>
        <i x="56" s="1"/>
        <i x="9" s="1"/>
        <i x="58" s="1"/>
        <i x="18" s="1"/>
        <i x="85" s="1"/>
        <i x="35" s="1"/>
        <i x="3" s="1"/>
        <i x="50" s="1"/>
        <i x="61" s="1"/>
        <i x="48" s="1"/>
        <i x="69" s="1"/>
        <i x="91" s="1"/>
        <i x="1" s="1"/>
        <i x="68" s="1"/>
        <i x="7" s="1"/>
        <i x="14" s="1"/>
        <i x="82" s="1"/>
        <i x="32" s="1"/>
        <i x="33" s="1"/>
        <i x="20" s="1"/>
        <i x="12" s="1"/>
        <i x="89" s="1"/>
        <i x="96" s="1"/>
        <i x="55" s="1"/>
        <i x="15" s="1"/>
        <i x="39" s="1"/>
        <i x="101" s="1"/>
        <i x="76" s="1"/>
        <i x="47" s="1"/>
        <i x="34" s="1"/>
        <i x="62" s="1"/>
        <i x="72" s="1"/>
        <i x="44" s="1"/>
        <i x="43" s="1"/>
        <i x="90" s="1"/>
        <i x="102" s="1"/>
        <i x="71" s="1"/>
        <i x="104" s="1"/>
        <i x="51" s="1"/>
        <i x="78" s="1"/>
        <i x="94" s="1"/>
        <i x="64" s="1"/>
        <i x="105" s="1"/>
        <i x="53" s="1"/>
        <i x="86" s="1"/>
        <i x="80" s="1"/>
        <i x="28" s="1"/>
        <i x="98" s="1"/>
        <i x="92" s="1"/>
        <i x="103" s="1"/>
        <i x="97" s="1"/>
        <i x="79" s="1"/>
        <i x="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_per_mile" xr10:uid="{8173DD87-E43E-4285-AB7B-2018669EF7A0}" cache="Slicer_cost_per_mile" caption="cost_per_mile" rowHeight="247650"/>
  <slicer name="variable_cost_per_mile" xr10:uid="{64A7176E-3661-4705-98C1-F355F0A0D606}" cache="Slicer_variable_cost_per_mile" caption="variable_cost_per_mi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_name" xr10:uid="{B9343A1F-D616-4BE1-8BF8-5E8FAC6C2094}" cache="Slicer_carrier_name" caption="carrier_name" rowHeight="247650"/>
  <slicer name="customer_name" xr10:uid="{7FEA95F2-2EBA-4F6B-B20B-3D0B4B2D73D2}" cache="Slicer_customer_name" caption="customer_name" rowHeight="247650"/>
  <slicer name="empty_miles" xr10:uid="{0F130E93-5D4A-4D63-A1D3-82807A1672C6}" cache="Slicer_empty_miles" caption="empty_miles" startItem="226" rowHeight="247650"/>
  <slicer name="deadhead_miles" xr10:uid="{8ACD31D6-2207-4E74-812D-4D2644697DD4}" cache="Slicer_deadhead_miles" caption="deadhead_miles" rowHeight="247650"/>
  <slicer name="truck_types" xr10:uid="{622CC4B6-448D-4A6D-A8D9-CFFC62C8809E}" cache="Slicer_truck_types" caption="truck_types" rowHeight="247650"/>
  <slicer name="driver_pay_total" xr10:uid="{7D18CDB0-1B59-4324-87EC-3ED97C2E1C17}" cache="Slicer_driver_pay_total" caption="driver_pay_total" rowHeight="247650"/>
  <slicer name="Years (scheduled_delivery_datetime)" xr10:uid="{8E1A0566-9B3F-43EF-B9DD-4E5F965D0757}" cache="Slicer_Years__scheduled_delivery_datetime" caption="Years (scheduled_delivery_dateti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E94678-326B-46B0-BC15-A3182C7BDDB5}" name="dim_fleet_260" displayName="dim_fleet_260" ref="A1:U261" tableType="queryTable" totalsRowShown="0">
  <autoFilter ref="A1:U261" xr:uid="{EBE94678-326B-46B0-BC15-A3182C7BDDB5}"/>
  <tableColumns count="21">
    <tableColumn id="1" xr3:uid="{78A0D31A-93DF-4CEA-A8FB-7DE614257A03}" uniqueName="1" name="truck_id" queryTableFieldId="1"/>
    <tableColumn id="2" xr3:uid="{05F95BE8-50DC-41F0-ADD7-7AA46F41803D}" uniqueName="2" name="driver_id" queryTableFieldId="2"/>
    <tableColumn id="3" xr3:uid="{76DC7C2C-2E4A-4EA9-9CB4-84A2C143E649}" uniqueName="3" name="carrier_id" queryTableFieldId="3"/>
    <tableColumn id="4" xr3:uid="{27F93896-3C61-4656-A44A-A11194F88428}" uniqueName="4" name="carrier_name" queryTableFieldId="4" dataDxfId="110"/>
    <tableColumn id="5" xr3:uid="{BD9BE646-B9E1-492E-9903-189E09626CDD}" uniqueName="5" name="truck_type" queryTableFieldId="5" dataDxfId="109"/>
    <tableColumn id="6" xr3:uid="{8BD9FFF2-8BF5-482D-9FFF-E29C0AF101E2}" uniqueName="6" name="truck_model_year" queryTableFieldId="6"/>
    <tableColumn id="7" xr3:uid="{E6286345-5F4C-4C8A-BAB9-01D66C2E98D9}" uniqueName="7" name="home_terminal_state" queryTableFieldId="7" dataDxfId="108"/>
    <tableColumn id="8" xr3:uid="{E327AD08-6188-490A-B51C-7711BB5F0C7B}" uniqueName="8" name="home_terminal_city" queryTableFieldId="8" dataDxfId="107"/>
    <tableColumn id="9" xr3:uid="{016DA1DC-7412-455D-9262-00B198F3B9D6}" uniqueName="9" name="insurance_policy_id" queryTableFieldId="9"/>
    <tableColumn id="10" xr3:uid="{917833CE-2F17-47D5-9A87-BCAC4F389BDC}" uniqueName="10" name="insurance_coverage_limit_usd" queryTableFieldId="10"/>
    <tableColumn id="11" xr3:uid="{1858D097-49A3-497A-9E4B-F8D880DA0F4A}" uniqueName="11" name="insurance_deductible_usd" queryTableFieldId="11"/>
    <tableColumn id="12" xr3:uid="{0F716A6E-3474-4FC7-86ED-C3045B7CA675}" uniqueName="12" name="insurance_premium_monthly_usd" queryTableFieldId="12"/>
    <tableColumn id="13" xr3:uid="{16F0C245-CE72-4CE3-BD20-5D97E27684C5}" uniqueName="13" name="insurance_claims_12m" queryTableFieldId="13"/>
    <tableColumn id="14" xr3:uid="{CA364091-E1F7-4CBD-A1FF-38214D260700}" uniqueName="14" name="safety_score" queryTableFieldId="14"/>
    <tableColumn id="15" xr3:uid="{3E67E496-ACAD-4F42-9664-63D35811A1CB}" uniqueName="15" name="maintenance_interval_days" queryTableFieldId="15"/>
    <tableColumn id="16" xr3:uid="{AB624AE0-8EA2-42DF-8905-C96223A471C5}" uniqueName="16" name="last_maintenance_date" queryTableFieldId="16" dataDxfId="106"/>
    <tableColumn id="17" xr3:uid="{92A90F12-9330-4427-9475-D16E93331585}" uniqueName="17" name="next_maintenance_due" queryTableFieldId="17" dataDxfId="105"/>
    <tableColumn id="18" xr3:uid="{35BDA90A-B5E0-4A91-9661-0C28E2D90359}" uniqueName="18" name="maintenance_overdue_flag" queryTableFieldId="18"/>
    <tableColumn id="19" xr3:uid="{76F5550E-5CB8-488E-977C-E1973E909733}" uniqueName="19" name="epr_compliant_flag" queryTableFieldId="19"/>
    <tableColumn id="20" xr3:uid="{161CE585-5D2A-4555-B5F4-0FB60B6B00BB}" uniqueName="20" name="epr_audit_score" queryTableFieldId="20"/>
    <tableColumn id="21" xr3:uid="{21E3D73A-BF65-412F-838D-8B44B33B618F}" uniqueName="21" name="hazmat_certified_flag" queryTableFieldId="21"/>
  </tableColumns>
  <tableStyleInfo name="TableStyleMedium7"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2D2C35-81E5-4E86-A076-811C6BD673B3}" name="fact_orders_1000" displayName="fact_orders_1000" ref="A1:BA1002" tableType="queryTable" totalsRowCount="1">
  <autoFilter ref="A1:BA1001" xr:uid="{8F2D2C35-81E5-4E86-A076-811C6BD673B3}"/>
  <tableColumns count="53">
    <tableColumn id="1" xr3:uid="{9DBBD0F9-CE82-4DF1-A137-C8DC8BE44EC1}" uniqueName="1" name="order_id" queryTableFieldId="1" dataDxfId="103" totalsRowDxfId="104"/>
    <tableColumn id="2" xr3:uid="{F69C2158-7B19-438B-B178-BB9AF29FA1B2}" uniqueName="2" name="truck_id" queryTableFieldId="2" dataDxfId="101" totalsRowDxfId="102"/>
    <tableColumn id="3" xr3:uid="{B6577C05-114D-4FD4-B742-75EFB39ADA49}" uniqueName="3" name="driver_id" queryTableFieldId="3" dataDxfId="99" totalsRowDxfId="100"/>
    <tableColumn id="4" xr3:uid="{301CC9F2-5E46-42A0-86E7-CBB96E7ED48C}" uniqueName="4" name="carrier_id" queryTableFieldId="4" dataDxfId="97" totalsRowDxfId="98"/>
    <tableColumn id="5" xr3:uid="{6AB51C93-B9C8-4AE8-B93E-5E47764B49FA}" uniqueName="5" name="carrier_name" queryTableFieldId="5" dataDxfId="95" totalsRowDxfId="96"/>
    <tableColumn id="6" xr3:uid="{30FCA60E-6CA8-4BE7-A679-CBDC1708E9D2}" uniqueName="6" name="customer_id" queryTableFieldId="6" dataDxfId="93" totalsRowDxfId="94"/>
    <tableColumn id="7" xr3:uid="{59A09FC5-A275-47BC-9712-C5FF340516C5}" uniqueName="7" name="customer_name" queryTableFieldId="7" dataDxfId="91" totalsRowDxfId="92"/>
    <tableColumn id="8" xr3:uid="{F46F4F78-EB1B-4AF9-B5FE-FF2A4BE0C8FE}" uniqueName="8" name="shipping_dat" queryTableFieldId="8" dataDxfId="89" totalsRowDxfId="90"/>
    <tableColumn id="9" xr3:uid="{27A817ED-6C4F-4DDA-B7E4-3DE9F0047946}" uniqueName="9" name="ship_date_clean" queryTableFieldId="9" dataDxfId="87" totalsRowDxfId="88"/>
    <tableColumn id="10" xr3:uid="{DC1427C1-7702-4166-96CF-6F2A60BD7679}" uniqueName="10" name="pickup_datetime" queryTableFieldId="10" dataDxfId="85" totalsRowDxfId="86"/>
    <tableColumn id="11" xr3:uid="{9BE1E1B9-26EE-49A8-8427-1528F048CE00}" uniqueName="11" name="scheduled_delivery_datetime" queryTableFieldId="11" dataDxfId="83" totalsRowDxfId="84"/>
    <tableColumn id="12" xr3:uid="{92AEC90E-0D94-4F20-B1EF-D1CFAA9E5C00}" uniqueName="12" name="actual_delivery_datetime" queryTableFieldId="12" dataDxfId="81" totalsRowDxfId="82"/>
    <tableColumn id="13" xr3:uid="{3B366955-5C18-4F47-8926-FB963584D628}" uniqueName="13" name="delivery_date" queryTableFieldId="13" dataDxfId="79" totalsRowDxfId="80"/>
    <tableColumn id="14" xr3:uid="{3D538F10-1A98-448B-82A0-9D2C581275FE}" uniqueName="14" name="origin_state" queryTableFieldId="14" dataDxfId="77" totalsRowDxfId="78"/>
    <tableColumn id="15" xr3:uid="{7182B5B2-B16A-4869-96E8-AB4692456114}" uniqueName="15" name="origin_city" queryTableFieldId="15" dataDxfId="75" totalsRowDxfId="76"/>
    <tableColumn id="16" xr3:uid="{2670890E-A185-48AA-8B60-45CE37909EED}" uniqueName="16" name="destination_state" queryTableFieldId="16" dataDxfId="73" totalsRowDxfId="74"/>
    <tableColumn id="17" xr3:uid="{765C93F5-379D-4434-9F22-4B2C02953E24}" uniqueName="17" name="destination_city" queryTableFieldId="17" dataDxfId="71" totalsRowDxfId="72"/>
    <tableColumn id="18" xr3:uid="{AE27AA22-7B23-42F9-A31A-6540D3966DCF}" uniqueName="18" name="region" queryTableFieldId="18" dataDxfId="69" totalsRowDxfId="70"/>
    <tableColumn id="19" xr3:uid="{4A4865A8-8952-4F3B-9654-07745952A061}" uniqueName="19" name="lane_id" queryTableFieldId="19" dataDxfId="67" totalsRowDxfId="68"/>
    <tableColumn id="20" xr3:uid="{42638F0F-7E1F-4A48-ABD3-7C3DC8A7D9CD}" uniqueName="20" name="lanes_usa" queryTableFieldId="20" dataDxfId="65" totalsRowDxfId="66"/>
    <tableColumn id="21" xr3:uid="{8AFD534B-9DA9-420C-81DC-6CF8FBCFC40B}" uniqueName="21" name="distance_miles" queryTableFieldId="21"/>
    <tableColumn id="22" xr3:uid="{1747568E-CF47-46B2-9491-4EEE720CB3FA}" uniqueName="22" name="empty_miles" queryTableFieldId="22" dataDxfId="63" totalsRowDxfId="64"/>
    <tableColumn id="23" xr3:uid="{7FB5E948-5585-4697-997B-46D705E0EA5A}" uniqueName="23" name="deadhead_miles" totalsRowFunction="custom" queryTableFieldId="23" dataDxfId="61" totalsRowDxfId="62">
      <totalsRowFormula>AVERAGE(W1:W1000)</totalsRowFormula>
    </tableColumn>
    <tableColumn id="24" xr3:uid="{95984736-A435-4DE0-A6D2-497AE3EC5DC5}" uniqueName="24" name="loaded_miles" queryTableFieldId="24" dataDxfId="59" totalsRowDxfId="60"/>
    <tableColumn id="25" xr3:uid="{34AFED04-221B-4583-A2BE-D1276793A554}" uniqueName="25" name="total_miles" queryTableFieldId="25" dataDxfId="57" totalsRowDxfId="58"/>
    <tableColumn id="26" xr3:uid="{B789B575-1AB5-48C8-9413-1AB2996576EE}" uniqueName="26" name="truck_types" queryTableFieldId="26" dataDxfId="55" totalsRowDxfId="56"/>
    <tableColumn id="27" xr3:uid="{7B1127DD-27E3-4E91-B47A-CC36E80A35BC}" uniqueName="27" name="delivery_times" queryTableFieldId="27" dataDxfId="53" totalsRowDxfId="54"/>
    <tableColumn id="28" xr3:uid="{E3E32199-31BA-47F8-84C0-D3A78BB20C73}" uniqueName="28" name="pickup_time_bucket" queryTableFieldId="28" dataDxfId="51" totalsRowDxfId="52"/>
    <tableColumn id="29" xr3:uid="{E45B7673-B340-4EAA-86B0-43E6775AA6DB}" uniqueName="29" name="day_of_the_week" queryTableFieldId="29" dataDxfId="49" totalsRowDxfId="50"/>
    <tableColumn id="30" xr3:uid="{0655F8EC-9920-4101-A5BA-354EEB1AD550}" uniqueName="30" name="Delay Reason" queryTableFieldId="30" dataDxfId="47" totalsRowDxfId="48"/>
    <tableColumn id="31" xr3:uid="{4AE2FCE3-173F-49F8-A6E2-2ACA45B16BA2}" uniqueName="31" name="delay_minutes" queryTableFieldId="31"/>
    <tableColumn id="32" xr3:uid="{73ADDE1A-4E8F-4630-AA6B-5280E3D9289C}" uniqueName="32" name="detention_minutes" queryTableFieldId="32"/>
    <tableColumn id="33" xr3:uid="{DE9C8E92-0526-4D31-B3CC-8F6A2C61D0C6}" uniqueName="33" name="weather_severity_index" queryTableFieldId="33"/>
    <tableColumn id="34" xr3:uid="{25666C7B-4C81-43DF-A59B-09EB3F571754}" uniqueName="34" name="traffic_index" queryTableFieldId="34" dataDxfId="45" totalsRowDxfId="46"/>
    <tableColumn id="35" xr3:uid="{DF22E5F5-DE0E-4507-9F6B-4D01F000F9BA}" uniqueName="35" name="mechanical_flag" queryTableFieldId="35" dataDxfId="43" totalsRowDxfId="44"/>
    <tableColumn id="36" xr3:uid="{49F607A7-5F81-4D55-AE14-8444FDC4A3BA}" uniqueName="36" name="utilization_rate" queryTableFieldId="36" dataDxfId="41" totalsRowDxfId="42"/>
    <tableColumn id="37" xr3:uid="{8EB4497D-D824-4A63-AEFC-793AF8675A32}" uniqueName="37" name="load_factor" queryTableFieldId="37" dataDxfId="40"/>
    <tableColumn id="38" xr3:uid="{CF1799F2-37FE-4F89-B025-CE0F280FCF7D}" uniqueName="38" name="shipment_value_usd" totalsRowFunction="custom" queryTableFieldId="38" dataDxfId="38" totalsRowDxfId="39">
      <totalsRowFormula>SUM(AL2:AL1001)</totalsRowFormula>
    </tableColumn>
    <tableColumn id="39" xr3:uid="{D8E38791-4A79-4BDF-A8F3-02DBC82E2CD2}" uniqueName="39" name="shipment_value_bucket" queryTableFieldId="39" dataDxfId="36" totalsRowDxfId="37"/>
    <tableColumn id="40" xr3:uid="{1A41350A-5B2F-4A79-8FB2-2E60400581C4}" uniqueName="40" name="total_shipments" queryTableFieldId="40" dataDxfId="34" totalsRowDxfId="35"/>
    <tableColumn id="41" xr3:uid="{89556EB9-7A1D-4A68-BE87-EC74323E0837}" uniqueName="41" name="on_time_deliveries" queryTableFieldId="41" dataDxfId="32" totalsRowDxfId="33"/>
    <tableColumn id="42" xr3:uid="{EF2198BE-FD67-4A5D-92A2-E4E5074FC095}" uniqueName="42" name="late_deliveries" queryTableFieldId="42" dataDxfId="30" totalsRowDxfId="31"/>
    <tableColumn id="43" xr3:uid="{BC611224-F838-4AF4-867C-031F6E37F092}" uniqueName="43" name="on_time_count" queryTableFieldId="43" dataDxfId="28" totalsRowDxfId="29"/>
    <tableColumn id="44" xr3:uid="{93D015A2-4803-48FA-9534-58348E0BBA59}" uniqueName="44" name="Late_count" queryTableFieldId="44" dataDxfId="26" totalsRowDxfId="27"/>
    <tableColumn id="45" xr3:uid="{55023BB4-1F95-4338-90E4-ADB7D0BBC283}" uniqueName="45" name="on_time_flag" queryTableFieldId="45" dataDxfId="24" totalsRowDxfId="25"/>
    <tableColumn id="46" xr3:uid="{1CDF53C8-D6F1-41BE-821D-138204A0D17D}" uniqueName="46" name="late_flag" queryTableFieldId="46" dataDxfId="22" totalsRowDxfId="23"/>
    <tableColumn id="47" xr3:uid="{109617E3-727C-43AE-9B88-C7962DADA236}" uniqueName="47" name="cost_per_mile" queryTableFieldId="47" dataDxfId="20" totalsRowDxfId="21"/>
    <tableColumn id="48" xr3:uid="{EB979F69-E95C-45AC-8B5A-7DCA711D7A15}" uniqueName="48" name="variable_cost_per_mile" queryTableFieldId="48" dataDxfId="18" totalsRowDxfId="19"/>
    <tableColumn id="49" xr3:uid="{AFF3F62B-AA56-44B5-8307-24FD02269B97}" uniqueName="49" name="fuel_cost_total" queryTableFieldId="49" dataDxfId="16" totalsRowDxfId="17"/>
    <tableColumn id="50" xr3:uid="{7F944B0E-8271-4522-BCA4-145A673CEBA1}" uniqueName="50" name="maintenance_cost_total" queryTableFieldId="50" dataDxfId="14" totalsRowDxfId="15"/>
    <tableColumn id="51" xr3:uid="{2E05B32D-994D-4E32-844D-3DE94915A550}" uniqueName="51" name="driver_pay_total" queryTableFieldId="51" dataDxfId="12" totalsRowDxfId="13"/>
    <tableColumn id="52" xr3:uid="{246185FD-3BD0-440A-BF9A-0205AD68636E}" uniqueName="52" name="insurance_risk_score" queryTableFieldId="52" dataDxfId="10" totalsRowDxfId="11"/>
    <tableColumn id="53" xr3:uid="{121F871F-206B-468B-9934-D502918404EA}" uniqueName="53" name="maintenance_risk_score" queryTableFieldId="53" dataDxfId="8" totalsRow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7611-0FEB-443B-95D9-48934139665A}">
  <dimension ref="A1:U261"/>
  <sheetViews>
    <sheetView topLeftCell="A16" workbookViewId="0">
      <selection activeCell="A8" sqref="A8"/>
    </sheetView>
  </sheetViews>
  <sheetFormatPr defaultColWidth="25.21875" defaultRowHeight="14.4" x14ac:dyDescent="0.3"/>
  <cols>
    <col min="8" max="8" width="30.21875" customWidth="1"/>
  </cols>
  <sheetData>
    <row r="1" spans="1:21" x14ac:dyDescent="0.3">
      <c r="A1" t="s">
        <v>0</v>
      </c>
      <c r="B1" t="s">
        <v>7</v>
      </c>
      <c r="C1" t="s">
        <v>8</v>
      </c>
      <c r="D1" t="s">
        <v>9</v>
      </c>
      <c r="E1" t="s">
        <v>901</v>
      </c>
      <c r="F1" t="s">
        <v>902</v>
      </c>
      <c r="G1" t="s">
        <v>903</v>
      </c>
      <c r="H1" t="s">
        <v>904</v>
      </c>
      <c r="I1" t="s">
        <v>905</v>
      </c>
      <c r="J1" t="s">
        <v>906</v>
      </c>
      <c r="K1" t="s">
        <v>907</v>
      </c>
      <c r="L1" t="s">
        <v>908</v>
      </c>
      <c r="M1" t="s">
        <v>909</v>
      </c>
      <c r="N1" t="s">
        <v>910</v>
      </c>
      <c r="O1" t="s">
        <v>911</v>
      </c>
      <c r="P1" t="s">
        <v>912</v>
      </c>
      <c r="Q1" t="s">
        <v>913</v>
      </c>
      <c r="R1" t="s">
        <v>914</v>
      </c>
      <c r="S1" t="s">
        <v>915</v>
      </c>
      <c r="T1" t="s">
        <v>916</v>
      </c>
      <c r="U1" t="s">
        <v>917</v>
      </c>
    </row>
    <row r="2" spans="1:21" x14ac:dyDescent="0.3">
      <c r="A2">
        <v>770487</v>
      </c>
      <c r="B2">
        <v>9683481</v>
      </c>
      <c r="C2">
        <v>8270</v>
      </c>
      <c r="D2" t="s">
        <v>211</v>
      </c>
      <c r="E2" t="s">
        <v>215</v>
      </c>
      <c r="F2">
        <v>2024</v>
      </c>
      <c r="G2" t="s">
        <v>176</v>
      </c>
      <c r="H2" t="s">
        <v>328</v>
      </c>
      <c r="I2">
        <v>26784725</v>
      </c>
      <c r="J2">
        <v>1000000</v>
      </c>
      <c r="K2">
        <v>2500</v>
      </c>
      <c r="L2">
        <v>1909.09</v>
      </c>
      <c r="M2">
        <v>0</v>
      </c>
      <c r="N2">
        <v>80</v>
      </c>
      <c r="O2">
        <v>45</v>
      </c>
      <c r="P2" s="1">
        <v>45769</v>
      </c>
      <c r="Q2" s="1">
        <v>45814</v>
      </c>
      <c r="R2">
        <v>0</v>
      </c>
      <c r="S2">
        <v>0</v>
      </c>
      <c r="T2">
        <v>73.7</v>
      </c>
      <c r="U2">
        <v>0</v>
      </c>
    </row>
    <row r="3" spans="1:21" x14ac:dyDescent="0.3">
      <c r="A3">
        <v>216739</v>
      </c>
      <c r="B3">
        <v>8574680</v>
      </c>
      <c r="C3">
        <v>1860</v>
      </c>
      <c r="D3" t="s">
        <v>106</v>
      </c>
      <c r="E3" t="s">
        <v>80</v>
      </c>
      <c r="F3">
        <v>2021</v>
      </c>
      <c r="G3" t="s">
        <v>150</v>
      </c>
      <c r="H3" t="s">
        <v>196</v>
      </c>
      <c r="I3">
        <v>24081983</v>
      </c>
      <c r="J3">
        <v>2000000</v>
      </c>
      <c r="K3">
        <v>5000</v>
      </c>
      <c r="L3">
        <v>1656.09</v>
      </c>
      <c r="M3">
        <v>0</v>
      </c>
      <c r="N3">
        <v>76.099999999999994</v>
      </c>
      <c r="O3">
        <v>45</v>
      </c>
      <c r="P3" s="1">
        <v>45768</v>
      </c>
      <c r="Q3" s="1">
        <v>45813</v>
      </c>
      <c r="R3">
        <v>0</v>
      </c>
      <c r="S3">
        <v>1</v>
      </c>
      <c r="T3">
        <v>97.1</v>
      </c>
      <c r="U3">
        <v>0</v>
      </c>
    </row>
    <row r="4" spans="1:21" x14ac:dyDescent="0.3">
      <c r="A4">
        <v>126225</v>
      </c>
      <c r="B4">
        <v>3030113</v>
      </c>
      <c r="C4">
        <v>6390</v>
      </c>
      <c r="D4" t="s">
        <v>142</v>
      </c>
      <c r="E4" t="s">
        <v>63</v>
      </c>
      <c r="F4">
        <v>2011</v>
      </c>
      <c r="G4" t="s">
        <v>176</v>
      </c>
      <c r="H4" t="s">
        <v>227</v>
      </c>
      <c r="I4">
        <v>25137284</v>
      </c>
      <c r="J4">
        <v>3000000</v>
      </c>
      <c r="K4">
        <v>1000</v>
      </c>
      <c r="L4">
        <v>1538.42</v>
      </c>
      <c r="M4">
        <v>0</v>
      </c>
      <c r="N4">
        <v>83.5</v>
      </c>
      <c r="O4">
        <v>30</v>
      </c>
      <c r="P4" s="1">
        <v>45742</v>
      </c>
      <c r="Q4" s="1">
        <v>45772</v>
      </c>
      <c r="R4">
        <v>0</v>
      </c>
      <c r="S4">
        <v>1</v>
      </c>
      <c r="T4">
        <v>83</v>
      </c>
      <c r="U4">
        <v>0</v>
      </c>
    </row>
    <row r="5" spans="1:21" x14ac:dyDescent="0.3">
      <c r="A5">
        <v>877572</v>
      </c>
      <c r="B5">
        <v>5159166</v>
      </c>
      <c r="C5">
        <v>6191</v>
      </c>
      <c r="D5" t="s">
        <v>101</v>
      </c>
      <c r="E5" t="s">
        <v>2</v>
      </c>
      <c r="F5">
        <v>2025</v>
      </c>
      <c r="G5" t="s">
        <v>70</v>
      </c>
      <c r="H5" t="s">
        <v>152</v>
      </c>
      <c r="I5">
        <v>29756883</v>
      </c>
      <c r="J5">
        <v>1000000</v>
      </c>
      <c r="K5">
        <v>1000</v>
      </c>
      <c r="L5">
        <v>1866.24</v>
      </c>
      <c r="M5">
        <v>0</v>
      </c>
      <c r="N5">
        <v>86</v>
      </c>
      <c r="O5">
        <v>45</v>
      </c>
      <c r="P5" s="1">
        <v>45658</v>
      </c>
      <c r="Q5" s="1">
        <v>45703</v>
      </c>
      <c r="R5">
        <v>0</v>
      </c>
      <c r="S5">
        <v>0</v>
      </c>
      <c r="T5">
        <v>78.2</v>
      </c>
      <c r="U5">
        <v>0</v>
      </c>
    </row>
    <row r="6" spans="1:21" x14ac:dyDescent="0.3">
      <c r="A6">
        <v>388389</v>
      </c>
      <c r="B6">
        <v>4769795</v>
      </c>
      <c r="C6">
        <v>6734</v>
      </c>
      <c r="D6" t="s">
        <v>106</v>
      </c>
      <c r="E6" t="s">
        <v>63</v>
      </c>
      <c r="F6">
        <v>2021</v>
      </c>
      <c r="G6" t="s">
        <v>132</v>
      </c>
      <c r="H6" t="s">
        <v>186</v>
      </c>
      <c r="I6">
        <v>26191135</v>
      </c>
      <c r="J6">
        <v>2000000</v>
      </c>
      <c r="K6">
        <v>1000</v>
      </c>
      <c r="L6">
        <v>1638.04</v>
      </c>
      <c r="M6">
        <v>1</v>
      </c>
      <c r="N6">
        <v>68.2</v>
      </c>
      <c r="O6">
        <v>45</v>
      </c>
      <c r="P6" s="1">
        <v>45924</v>
      </c>
      <c r="Q6" s="1">
        <v>45969</v>
      </c>
      <c r="R6">
        <v>0</v>
      </c>
      <c r="S6">
        <v>1</v>
      </c>
      <c r="T6">
        <v>86.6</v>
      </c>
      <c r="U6">
        <v>0</v>
      </c>
    </row>
    <row r="7" spans="1:21" x14ac:dyDescent="0.3">
      <c r="A7">
        <v>356787</v>
      </c>
      <c r="B7">
        <v>2074176</v>
      </c>
      <c r="C7">
        <v>7265</v>
      </c>
      <c r="D7" t="s">
        <v>101</v>
      </c>
      <c r="E7" t="s">
        <v>63</v>
      </c>
      <c r="F7">
        <v>2016</v>
      </c>
      <c r="G7" t="s">
        <v>134</v>
      </c>
      <c r="H7" t="s">
        <v>248</v>
      </c>
      <c r="I7">
        <v>27939993</v>
      </c>
      <c r="J7">
        <v>1000000</v>
      </c>
      <c r="K7">
        <v>5000</v>
      </c>
      <c r="L7">
        <v>1871.91</v>
      </c>
      <c r="M7">
        <v>2</v>
      </c>
      <c r="N7">
        <v>86.7</v>
      </c>
      <c r="O7">
        <v>30</v>
      </c>
      <c r="P7" s="1">
        <v>46010</v>
      </c>
      <c r="Q7" s="1">
        <v>46040</v>
      </c>
      <c r="R7">
        <v>0</v>
      </c>
      <c r="S7">
        <v>1</v>
      </c>
      <c r="T7">
        <v>87.6</v>
      </c>
      <c r="U7">
        <v>0</v>
      </c>
    </row>
    <row r="8" spans="1:21" x14ac:dyDescent="0.3">
      <c r="A8">
        <v>334053</v>
      </c>
      <c r="B8">
        <v>6672134</v>
      </c>
      <c r="C8">
        <v>1466</v>
      </c>
      <c r="D8" t="s">
        <v>126</v>
      </c>
      <c r="E8" t="s">
        <v>63</v>
      </c>
      <c r="F8">
        <v>2012</v>
      </c>
      <c r="G8" t="s">
        <v>116</v>
      </c>
      <c r="H8" t="s">
        <v>139</v>
      </c>
      <c r="I8">
        <v>29285735</v>
      </c>
      <c r="J8">
        <v>1000000</v>
      </c>
      <c r="K8">
        <v>2500</v>
      </c>
      <c r="L8">
        <v>1442.49</v>
      </c>
      <c r="M8">
        <v>1</v>
      </c>
      <c r="N8">
        <v>77.099999999999994</v>
      </c>
      <c r="O8">
        <v>60</v>
      </c>
      <c r="P8" s="1">
        <v>45739</v>
      </c>
      <c r="Q8" s="1">
        <v>45799</v>
      </c>
      <c r="R8">
        <v>0</v>
      </c>
      <c r="S8">
        <v>1</v>
      </c>
      <c r="T8">
        <v>88.6</v>
      </c>
      <c r="U8">
        <v>0</v>
      </c>
    </row>
    <row r="9" spans="1:21" x14ac:dyDescent="0.3">
      <c r="A9">
        <v>246316</v>
      </c>
      <c r="B9">
        <v>1352896</v>
      </c>
      <c r="C9">
        <v>5426</v>
      </c>
      <c r="D9" t="s">
        <v>185</v>
      </c>
      <c r="E9" t="s">
        <v>63</v>
      </c>
      <c r="F9">
        <v>2023</v>
      </c>
      <c r="G9" t="s">
        <v>176</v>
      </c>
      <c r="H9" t="s">
        <v>316</v>
      </c>
      <c r="I9">
        <v>28907391</v>
      </c>
      <c r="J9">
        <v>3000000</v>
      </c>
      <c r="K9">
        <v>2500</v>
      </c>
      <c r="L9">
        <v>1566.51</v>
      </c>
      <c r="M9">
        <v>1</v>
      </c>
      <c r="N9">
        <v>78.2</v>
      </c>
      <c r="O9">
        <v>45</v>
      </c>
      <c r="P9" s="1">
        <v>45900</v>
      </c>
      <c r="Q9" s="1">
        <v>45945</v>
      </c>
      <c r="R9">
        <v>0</v>
      </c>
      <c r="S9">
        <v>1</v>
      </c>
      <c r="T9">
        <v>89.8</v>
      </c>
      <c r="U9">
        <v>0</v>
      </c>
    </row>
    <row r="10" spans="1:21" x14ac:dyDescent="0.3">
      <c r="A10">
        <v>872246</v>
      </c>
      <c r="B10">
        <v>4860684</v>
      </c>
      <c r="C10">
        <v>6578</v>
      </c>
      <c r="D10" t="s">
        <v>126</v>
      </c>
      <c r="E10" t="s">
        <v>2</v>
      </c>
      <c r="F10">
        <v>2021</v>
      </c>
      <c r="G10" t="s">
        <v>86</v>
      </c>
      <c r="H10" t="s">
        <v>87</v>
      </c>
      <c r="I10">
        <v>25767292</v>
      </c>
      <c r="J10">
        <v>2000000</v>
      </c>
      <c r="K10">
        <v>5000</v>
      </c>
      <c r="L10">
        <v>2355.31</v>
      </c>
      <c r="M10">
        <v>2</v>
      </c>
      <c r="N10">
        <v>80.400000000000006</v>
      </c>
      <c r="O10">
        <v>60</v>
      </c>
      <c r="P10" s="1">
        <v>45928</v>
      </c>
      <c r="Q10" s="1">
        <v>45988</v>
      </c>
      <c r="R10">
        <v>0</v>
      </c>
      <c r="S10">
        <v>1</v>
      </c>
      <c r="T10">
        <v>87.2</v>
      </c>
      <c r="U10">
        <v>0</v>
      </c>
    </row>
    <row r="11" spans="1:21" x14ac:dyDescent="0.3">
      <c r="A11">
        <v>207473</v>
      </c>
      <c r="B11">
        <v>4694634</v>
      </c>
      <c r="C11">
        <v>9322</v>
      </c>
      <c r="D11" t="s">
        <v>84</v>
      </c>
      <c r="E11" t="s">
        <v>63</v>
      </c>
      <c r="F11">
        <v>2019</v>
      </c>
      <c r="G11" t="s">
        <v>116</v>
      </c>
      <c r="H11" t="s">
        <v>139</v>
      </c>
      <c r="I11">
        <v>27138769</v>
      </c>
      <c r="J11">
        <v>2000000</v>
      </c>
      <c r="K11">
        <v>5000</v>
      </c>
      <c r="L11">
        <v>1479.49</v>
      </c>
      <c r="M11">
        <v>1</v>
      </c>
      <c r="N11">
        <v>80.099999999999994</v>
      </c>
      <c r="O11">
        <v>60</v>
      </c>
      <c r="P11" s="1">
        <v>45967</v>
      </c>
      <c r="Q11" s="1">
        <v>46027</v>
      </c>
      <c r="R11">
        <v>0</v>
      </c>
      <c r="S11">
        <v>1</v>
      </c>
      <c r="T11">
        <v>89.5</v>
      </c>
      <c r="U11">
        <v>0</v>
      </c>
    </row>
    <row r="12" spans="1:21" x14ac:dyDescent="0.3">
      <c r="A12">
        <v>809570</v>
      </c>
      <c r="B12">
        <v>1120642</v>
      </c>
      <c r="C12">
        <v>2685</v>
      </c>
      <c r="D12" t="s">
        <v>106</v>
      </c>
      <c r="E12" t="s">
        <v>215</v>
      </c>
      <c r="F12">
        <v>2024</v>
      </c>
      <c r="G12" t="s">
        <v>132</v>
      </c>
      <c r="H12" t="s">
        <v>328</v>
      </c>
      <c r="I12">
        <v>29233986</v>
      </c>
      <c r="J12">
        <v>3000000</v>
      </c>
      <c r="K12">
        <v>2500</v>
      </c>
      <c r="L12">
        <v>2235.23</v>
      </c>
      <c r="M12">
        <v>0</v>
      </c>
      <c r="N12">
        <v>90.6</v>
      </c>
      <c r="O12">
        <v>30</v>
      </c>
      <c r="P12" s="1">
        <v>45812</v>
      </c>
      <c r="Q12" s="1">
        <v>45842</v>
      </c>
      <c r="R12">
        <v>0</v>
      </c>
      <c r="S12">
        <v>0</v>
      </c>
      <c r="T12">
        <v>84</v>
      </c>
      <c r="U12">
        <v>0</v>
      </c>
    </row>
    <row r="13" spans="1:21" x14ac:dyDescent="0.3">
      <c r="A13">
        <v>876646</v>
      </c>
      <c r="B13">
        <v>2191066</v>
      </c>
      <c r="C13">
        <v>1769</v>
      </c>
      <c r="D13" t="s">
        <v>84</v>
      </c>
      <c r="E13" t="s">
        <v>215</v>
      </c>
      <c r="F13">
        <v>2023</v>
      </c>
      <c r="G13" t="s">
        <v>170</v>
      </c>
      <c r="H13" t="s">
        <v>221</v>
      </c>
      <c r="I13">
        <v>25549757</v>
      </c>
      <c r="J13">
        <v>3000000</v>
      </c>
      <c r="K13">
        <v>5000</v>
      </c>
      <c r="L13">
        <v>2037.21</v>
      </c>
      <c r="M13">
        <v>0</v>
      </c>
      <c r="N13">
        <v>84.6</v>
      </c>
      <c r="O13">
        <v>60</v>
      </c>
      <c r="P13" s="1">
        <v>45768</v>
      </c>
      <c r="Q13" s="1">
        <v>45828</v>
      </c>
      <c r="R13">
        <v>0</v>
      </c>
      <c r="S13">
        <v>0</v>
      </c>
      <c r="T13">
        <v>79.900000000000006</v>
      </c>
      <c r="U13">
        <v>0</v>
      </c>
    </row>
    <row r="14" spans="1:21" x14ac:dyDescent="0.3">
      <c r="A14">
        <v>671858</v>
      </c>
      <c r="B14">
        <v>1987737</v>
      </c>
      <c r="C14">
        <v>7949</v>
      </c>
      <c r="D14" t="s">
        <v>211</v>
      </c>
      <c r="E14" t="s">
        <v>2</v>
      </c>
      <c r="F14">
        <v>2012</v>
      </c>
      <c r="G14" t="s">
        <v>116</v>
      </c>
      <c r="H14" t="s">
        <v>212</v>
      </c>
      <c r="I14">
        <v>25902401</v>
      </c>
      <c r="J14">
        <v>2000000</v>
      </c>
      <c r="K14">
        <v>1000</v>
      </c>
      <c r="L14">
        <v>1955.97</v>
      </c>
      <c r="M14">
        <v>0</v>
      </c>
      <c r="N14">
        <v>76.5</v>
      </c>
      <c r="O14">
        <v>45</v>
      </c>
      <c r="P14" s="1">
        <v>45776</v>
      </c>
      <c r="Q14" s="1">
        <v>45821</v>
      </c>
      <c r="R14">
        <v>0</v>
      </c>
      <c r="S14">
        <v>1</v>
      </c>
      <c r="T14">
        <v>94.1</v>
      </c>
      <c r="U14">
        <v>0</v>
      </c>
    </row>
    <row r="15" spans="1:21" x14ac:dyDescent="0.3">
      <c r="A15">
        <v>191161</v>
      </c>
      <c r="B15">
        <v>4841005</v>
      </c>
      <c r="C15">
        <v>3433</v>
      </c>
      <c r="D15" t="s">
        <v>92</v>
      </c>
      <c r="E15" t="s">
        <v>2</v>
      </c>
      <c r="F15">
        <v>2015</v>
      </c>
      <c r="G15" t="s">
        <v>170</v>
      </c>
      <c r="H15" t="s">
        <v>189</v>
      </c>
      <c r="I15">
        <v>27612582</v>
      </c>
      <c r="J15">
        <v>3000000</v>
      </c>
      <c r="K15">
        <v>1000</v>
      </c>
      <c r="L15">
        <v>1895.72</v>
      </c>
      <c r="M15">
        <v>0</v>
      </c>
      <c r="N15">
        <v>85.3</v>
      </c>
      <c r="O15">
        <v>60</v>
      </c>
      <c r="P15" s="1">
        <v>45918</v>
      </c>
      <c r="Q15" s="1">
        <v>45978</v>
      </c>
      <c r="R15">
        <v>0</v>
      </c>
      <c r="S15">
        <v>1</v>
      </c>
      <c r="T15">
        <v>84.8</v>
      </c>
      <c r="U15">
        <v>0</v>
      </c>
    </row>
    <row r="16" spans="1:21" x14ac:dyDescent="0.3">
      <c r="A16">
        <v>719176</v>
      </c>
      <c r="B16">
        <v>2130789</v>
      </c>
      <c r="C16">
        <v>6311</v>
      </c>
      <c r="D16" t="s">
        <v>211</v>
      </c>
      <c r="E16" t="s">
        <v>63</v>
      </c>
      <c r="F16">
        <v>2014</v>
      </c>
      <c r="G16" t="s">
        <v>93</v>
      </c>
      <c r="H16" t="s">
        <v>290</v>
      </c>
      <c r="I16">
        <v>24545223</v>
      </c>
      <c r="J16">
        <v>2000000</v>
      </c>
      <c r="K16">
        <v>1000</v>
      </c>
      <c r="L16">
        <v>1256.18</v>
      </c>
      <c r="M16">
        <v>0</v>
      </c>
      <c r="N16">
        <v>71.7</v>
      </c>
      <c r="O16">
        <v>30</v>
      </c>
      <c r="P16" s="1">
        <v>45956</v>
      </c>
      <c r="Q16" s="1">
        <v>45986</v>
      </c>
      <c r="R16">
        <v>0</v>
      </c>
      <c r="S16">
        <v>1</v>
      </c>
      <c r="T16">
        <v>81.8</v>
      </c>
      <c r="U16">
        <v>0</v>
      </c>
    </row>
    <row r="17" spans="1:21" x14ac:dyDescent="0.3">
      <c r="A17">
        <v>542417</v>
      </c>
      <c r="B17">
        <v>1527021</v>
      </c>
      <c r="C17">
        <v>6051</v>
      </c>
      <c r="D17" t="s">
        <v>57</v>
      </c>
      <c r="E17" t="s">
        <v>112</v>
      </c>
      <c r="F17">
        <v>2022</v>
      </c>
      <c r="G17" t="s">
        <v>78</v>
      </c>
      <c r="H17" t="s">
        <v>166</v>
      </c>
      <c r="I17">
        <v>25144280</v>
      </c>
      <c r="J17">
        <v>2000000</v>
      </c>
      <c r="K17">
        <v>1000</v>
      </c>
      <c r="L17">
        <v>2069.77</v>
      </c>
      <c r="M17">
        <v>1</v>
      </c>
      <c r="N17">
        <v>79</v>
      </c>
      <c r="O17">
        <v>60</v>
      </c>
      <c r="P17" s="1">
        <v>45724</v>
      </c>
      <c r="Q17" s="1">
        <v>45784</v>
      </c>
      <c r="R17">
        <v>1</v>
      </c>
      <c r="S17">
        <v>0</v>
      </c>
      <c r="T17">
        <v>79.7</v>
      </c>
      <c r="U17">
        <v>0</v>
      </c>
    </row>
    <row r="18" spans="1:21" x14ac:dyDescent="0.3">
      <c r="A18">
        <v>133326</v>
      </c>
      <c r="B18">
        <v>6543670</v>
      </c>
      <c r="C18">
        <v>7420</v>
      </c>
      <c r="D18" t="s">
        <v>84</v>
      </c>
      <c r="E18" t="s">
        <v>2</v>
      </c>
      <c r="F18">
        <v>2009</v>
      </c>
      <c r="G18" t="s">
        <v>93</v>
      </c>
      <c r="H18" t="s">
        <v>217</v>
      </c>
      <c r="I18">
        <v>24217853</v>
      </c>
      <c r="J18">
        <v>2000000</v>
      </c>
      <c r="K18">
        <v>2500</v>
      </c>
      <c r="L18">
        <v>1991.85</v>
      </c>
      <c r="M18">
        <v>1</v>
      </c>
      <c r="N18">
        <v>77.7</v>
      </c>
      <c r="O18">
        <v>60</v>
      </c>
      <c r="P18" s="1">
        <v>45793</v>
      </c>
      <c r="Q18" s="1">
        <v>45853</v>
      </c>
      <c r="R18">
        <v>0</v>
      </c>
      <c r="S18">
        <v>0</v>
      </c>
      <c r="T18">
        <v>79.099999999999994</v>
      </c>
      <c r="U18">
        <v>0</v>
      </c>
    </row>
    <row r="19" spans="1:21" x14ac:dyDescent="0.3">
      <c r="A19">
        <v>131244</v>
      </c>
      <c r="B19">
        <v>2188789</v>
      </c>
      <c r="C19">
        <v>2184</v>
      </c>
      <c r="D19" t="s">
        <v>211</v>
      </c>
      <c r="E19" t="s">
        <v>63</v>
      </c>
      <c r="F19">
        <v>2020</v>
      </c>
      <c r="G19" t="s">
        <v>116</v>
      </c>
      <c r="H19" t="s">
        <v>117</v>
      </c>
      <c r="I19">
        <v>23867786</v>
      </c>
      <c r="J19">
        <v>2000000</v>
      </c>
      <c r="K19">
        <v>10000</v>
      </c>
      <c r="L19">
        <v>1712.77</v>
      </c>
      <c r="M19">
        <v>2</v>
      </c>
      <c r="N19">
        <v>72.099999999999994</v>
      </c>
      <c r="O19">
        <v>45</v>
      </c>
      <c r="P19" s="1">
        <v>45987</v>
      </c>
      <c r="Q19" s="1">
        <v>46032</v>
      </c>
      <c r="R19">
        <v>0</v>
      </c>
      <c r="S19">
        <v>1</v>
      </c>
      <c r="T19">
        <v>98.3</v>
      </c>
      <c r="U19">
        <v>0</v>
      </c>
    </row>
    <row r="20" spans="1:21" x14ac:dyDescent="0.3">
      <c r="A20">
        <v>198246</v>
      </c>
      <c r="B20">
        <v>9626108</v>
      </c>
      <c r="C20">
        <v>5555</v>
      </c>
      <c r="D20" t="s">
        <v>57</v>
      </c>
      <c r="E20" t="s">
        <v>80</v>
      </c>
      <c r="F20">
        <v>2023</v>
      </c>
      <c r="G20" t="s">
        <v>129</v>
      </c>
      <c r="H20" t="s">
        <v>241</v>
      </c>
      <c r="I20">
        <v>22024269</v>
      </c>
      <c r="J20">
        <v>500000</v>
      </c>
      <c r="K20">
        <v>1000</v>
      </c>
      <c r="L20">
        <v>1574.07</v>
      </c>
      <c r="M20">
        <v>0</v>
      </c>
      <c r="N20">
        <v>80.8</v>
      </c>
      <c r="O20">
        <v>30</v>
      </c>
      <c r="P20" s="1">
        <v>45952</v>
      </c>
      <c r="Q20" s="1">
        <v>45982</v>
      </c>
      <c r="R20">
        <v>0</v>
      </c>
      <c r="S20">
        <v>1</v>
      </c>
      <c r="T20">
        <v>83.8</v>
      </c>
      <c r="U20">
        <v>0</v>
      </c>
    </row>
    <row r="21" spans="1:21" x14ac:dyDescent="0.3">
      <c r="A21">
        <v>329258</v>
      </c>
      <c r="B21">
        <v>4993055</v>
      </c>
      <c r="C21">
        <v>4385</v>
      </c>
      <c r="D21" t="s">
        <v>92</v>
      </c>
      <c r="E21" t="s">
        <v>112</v>
      </c>
      <c r="F21">
        <v>2024</v>
      </c>
      <c r="G21" t="s">
        <v>121</v>
      </c>
      <c r="H21" t="s">
        <v>122</v>
      </c>
      <c r="I21">
        <v>23231028</v>
      </c>
      <c r="J21">
        <v>3000000</v>
      </c>
      <c r="K21">
        <v>1000</v>
      </c>
      <c r="L21">
        <v>2067.84</v>
      </c>
      <c r="M21">
        <v>1</v>
      </c>
      <c r="N21">
        <v>61.1</v>
      </c>
      <c r="O21">
        <v>60</v>
      </c>
      <c r="P21" s="1">
        <v>46017</v>
      </c>
      <c r="Q21" s="1">
        <v>46077</v>
      </c>
      <c r="R21">
        <v>0</v>
      </c>
      <c r="S21">
        <v>1</v>
      </c>
      <c r="T21">
        <v>86.4</v>
      </c>
      <c r="U21">
        <v>0</v>
      </c>
    </row>
    <row r="22" spans="1:21" x14ac:dyDescent="0.3">
      <c r="A22">
        <v>343962</v>
      </c>
      <c r="B22">
        <v>5672073</v>
      </c>
      <c r="C22">
        <v>7396</v>
      </c>
      <c r="D22" t="s">
        <v>92</v>
      </c>
      <c r="E22" t="s">
        <v>80</v>
      </c>
      <c r="F22">
        <v>2016</v>
      </c>
      <c r="G22" t="s">
        <v>116</v>
      </c>
      <c r="H22" t="s">
        <v>117</v>
      </c>
      <c r="I22">
        <v>25294016</v>
      </c>
      <c r="J22">
        <v>3000000</v>
      </c>
      <c r="K22">
        <v>2500</v>
      </c>
      <c r="L22">
        <v>1428.1</v>
      </c>
      <c r="M22">
        <v>0</v>
      </c>
      <c r="N22">
        <v>77.099999999999994</v>
      </c>
      <c r="O22">
        <v>60</v>
      </c>
      <c r="P22" s="1">
        <v>45933</v>
      </c>
      <c r="Q22" s="1">
        <v>45993</v>
      </c>
      <c r="R22">
        <v>0</v>
      </c>
      <c r="S22">
        <v>1</v>
      </c>
      <c r="T22">
        <v>76.5</v>
      </c>
      <c r="U22">
        <v>0</v>
      </c>
    </row>
    <row r="23" spans="1:21" x14ac:dyDescent="0.3">
      <c r="A23">
        <v>629903</v>
      </c>
      <c r="B23">
        <v>9143903</v>
      </c>
      <c r="C23">
        <v>9666</v>
      </c>
      <c r="D23" t="s">
        <v>225</v>
      </c>
      <c r="E23" t="s">
        <v>112</v>
      </c>
      <c r="F23">
        <v>2023</v>
      </c>
      <c r="G23" t="s">
        <v>93</v>
      </c>
      <c r="H23" t="s">
        <v>94</v>
      </c>
      <c r="I23">
        <v>22005795</v>
      </c>
      <c r="J23">
        <v>500000</v>
      </c>
      <c r="K23">
        <v>10000</v>
      </c>
      <c r="L23">
        <v>1757.4</v>
      </c>
      <c r="M23">
        <v>0</v>
      </c>
      <c r="N23">
        <v>82.8</v>
      </c>
      <c r="O23">
        <v>45</v>
      </c>
      <c r="P23" s="1">
        <v>45801</v>
      </c>
      <c r="Q23" s="1">
        <v>45846</v>
      </c>
      <c r="R23">
        <v>0</v>
      </c>
      <c r="S23">
        <v>1</v>
      </c>
      <c r="T23">
        <v>85.3</v>
      </c>
      <c r="U23">
        <v>0</v>
      </c>
    </row>
    <row r="24" spans="1:21" x14ac:dyDescent="0.3">
      <c r="A24">
        <v>731262</v>
      </c>
      <c r="B24">
        <v>4594297</v>
      </c>
      <c r="C24">
        <v>3558</v>
      </c>
      <c r="D24" t="s">
        <v>126</v>
      </c>
      <c r="E24" t="s">
        <v>2</v>
      </c>
      <c r="F24">
        <v>2011</v>
      </c>
      <c r="G24" t="s">
        <v>109</v>
      </c>
      <c r="H24" t="s">
        <v>110</v>
      </c>
      <c r="I24">
        <v>28990305</v>
      </c>
      <c r="J24">
        <v>3000000</v>
      </c>
      <c r="K24">
        <v>1000</v>
      </c>
      <c r="L24">
        <v>1951.46</v>
      </c>
      <c r="M24">
        <v>0</v>
      </c>
      <c r="N24">
        <v>83.4</v>
      </c>
      <c r="O24">
        <v>60</v>
      </c>
      <c r="P24" s="1">
        <v>45873</v>
      </c>
      <c r="Q24" s="1">
        <v>45933</v>
      </c>
      <c r="R24">
        <v>1</v>
      </c>
      <c r="S24">
        <v>1</v>
      </c>
      <c r="T24">
        <v>95</v>
      </c>
      <c r="U24">
        <v>0</v>
      </c>
    </row>
    <row r="25" spans="1:21" x14ac:dyDescent="0.3">
      <c r="A25">
        <v>127824</v>
      </c>
      <c r="B25">
        <v>3219824</v>
      </c>
      <c r="C25">
        <v>8849</v>
      </c>
      <c r="D25" t="s">
        <v>57</v>
      </c>
      <c r="E25" t="s">
        <v>63</v>
      </c>
      <c r="F25">
        <v>2024</v>
      </c>
      <c r="G25" t="s">
        <v>132</v>
      </c>
      <c r="H25" t="s">
        <v>133</v>
      </c>
      <c r="I25">
        <v>23106298</v>
      </c>
      <c r="J25">
        <v>500000</v>
      </c>
      <c r="K25">
        <v>2500</v>
      </c>
      <c r="L25">
        <v>1533.17</v>
      </c>
      <c r="M25">
        <v>0</v>
      </c>
      <c r="N25">
        <v>72.8</v>
      </c>
      <c r="O25">
        <v>45</v>
      </c>
      <c r="P25" s="1">
        <v>45899</v>
      </c>
      <c r="Q25" s="1">
        <v>45944</v>
      </c>
      <c r="R25">
        <v>0</v>
      </c>
      <c r="S25">
        <v>1</v>
      </c>
      <c r="T25">
        <v>84.7</v>
      </c>
      <c r="U25">
        <v>0</v>
      </c>
    </row>
    <row r="26" spans="1:21" x14ac:dyDescent="0.3">
      <c r="A26">
        <v>688508</v>
      </c>
      <c r="B26">
        <v>8930103</v>
      </c>
      <c r="C26">
        <v>3047</v>
      </c>
      <c r="D26" t="s">
        <v>225</v>
      </c>
      <c r="E26" t="s">
        <v>80</v>
      </c>
      <c r="F26">
        <v>2011</v>
      </c>
      <c r="G26" t="s">
        <v>129</v>
      </c>
      <c r="H26" t="s">
        <v>156</v>
      </c>
      <c r="I26">
        <v>23213524</v>
      </c>
      <c r="J26">
        <v>1000000</v>
      </c>
      <c r="K26">
        <v>1000</v>
      </c>
      <c r="L26">
        <v>1571.17</v>
      </c>
      <c r="M26">
        <v>0</v>
      </c>
      <c r="N26">
        <v>93.4</v>
      </c>
      <c r="O26">
        <v>60</v>
      </c>
      <c r="P26" s="1">
        <v>45686</v>
      </c>
      <c r="Q26" s="1">
        <v>45746</v>
      </c>
      <c r="R26">
        <v>0</v>
      </c>
      <c r="S26">
        <v>1</v>
      </c>
      <c r="T26">
        <v>92.5</v>
      </c>
      <c r="U26">
        <v>0</v>
      </c>
    </row>
    <row r="27" spans="1:21" x14ac:dyDescent="0.3">
      <c r="A27">
        <v>308496</v>
      </c>
      <c r="B27">
        <v>5076817</v>
      </c>
      <c r="C27">
        <v>3747</v>
      </c>
      <c r="D27" t="s">
        <v>126</v>
      </c>
      <c r="E27" t="s">
        <v>80</v>
      </c>
      <c r="F27">
        <v>2017</v>
      </c>
      <c r="G27" t="s">
        <v>93</v>
      </c>
      <c r="H27" t="s">
        <v>95</v>
      </c>
      <c r="I27">
        <v>23630331</v>
      </c>
      <c r="J27">
        <v>2000000</v>
      </c>
      <c r="K27">
        <v>1000</v>
      </c>
      <c r="L27">
        <v>1505.96</v>
      </c>
      <c r="M27">
        <v>0</v>
      </c>
      <c r="N27">
        <v>74.2</v>
      </c>
      <c r="O27">
        <v>30</v>
      </c>
      <c r="P27" s="1">
        <v>45856</v>
      </c>
      <c r="Q27" s="1">
        <v>45886</v>
      </c>
      <c r="R27">
        <v>1</v>
      </c>
      <c r="S27">
        <v>1</v>
      </c>
      <c r="T27">
        <v>86.7</v>
      </c>
      <c r="U27">
        <v>0</v>
      </c>
    </row>
    <row r="28" spans="1:21" x14ac:dyDescent="0.3">
      <c r="A28">
        <v>850800</v>
      </c>
      <c r="B28">
        <v>8935169</v>
      </c>
      <c r="C28">
        <v>1189</v>
      </c>
      <c r="D28" t="s">
        <v>84</v>
      </c>
      <c r="E28" t="s">
        <v>63</v>
      </c>
      <c r="F28">
        <v>2023</v>
      </c>
      <c r="G28" t="s">
        <v>176</v>
      </c>
      <c r="H28" t="s">
        <v>227</v>
      </c>
      <c r="I28">
        <v>28123504</v>
      </c>
      <c r="J28">
        <v>500000</v>
      </c>
      <c r="K28">
        <v>10000</v>
      </c>
      <c r="L28">
        <v>1350.69</v>
      </c>
      <c r="M28">
        <v>0</v>
      </c>
      <c r="N28">
        <v>90.7</v>
      </c>
      <c r="O28">
        <v>60</v>
      </c>
      <c r="P28" s="1">
        <v>45916</v>
      </c>
      <c r="Q28" s="1">
        <v>45976</v>
      </c>
      <c r="R28">
        <v>0</v>
      </c>
      <c r="S28">
        <v>0</v>
      </c>
      <c r="T28">
        <v>75.3</v>
      </c>
      <c r="U28">
        <v>0</v>
      </c>
    </row>
    <row r="29" spans="1:21" x14ac:dyDescent="0.3">
      <c r="A29">
        <v>781453</v>
      </c>
      <c r="B29">
        <v>7829332</v>
      </c>
      <c r="C29">
        <v>3734</v>
      </c>
      <c r="D29" t="s">
        <v>106</v>
      </c>
      <c r="E29" t="s">
        <v>63</v>
      </c>
      <c r="F29">
        <v>2012</v>
      </c>
      <c r="G29" t="s">
        <v>200</v>
      </c>
      <c r="H29" t="s">
        <v>275</v>
      </c>
      <c r="I29">
        <v>24638893</v>
      </c>
      <c r="J29">
        <v>3000000</v>
      </c>
      <c r="K29">
        <v>10000</v>
      </c>
      <c r="L29">
        <v>1640.34</v>
      </c>
      <c r="M29">
        <v>1</v>
      </c>
      <c r="N29">
        <v>81.8</v>
      </c>
      <c r="O29">
        <v>45</v>
      </c>
      <c r="P29" s="1">
        <v>45719</v>
      </c>
      <c r="Q29" s="1">
        <v>45764</v>
      </c>
      <c r="R29">
        <v>1</v>
      </c>
      <c r="S29">
        <v>1</v>
      </c>
      <c r="T29">
        <v>80</v>
      </c>
      <c r="U29">
        <v>0</v>
      </c>
    </row>
    <row r="30" spans="1:21" x14ac:dyDescent="0.3">
      <c r="A30">
        <v>835392</v>
      </c>
      <c r="B30">
        <v>4194548</v>
      </c>
      <c r="C30">
        <v>4005</v>
      </c>
      <c r="D30" t="s">
        <v>211</v>
      </c>
      <c r="E30" t="s">
        <v>63</v>
      </c>
      <c r="F30">
        <v>2014</v>
      </c>
      <c r="G30" t="s">
        <v>170</v>
      </c>
      <c r="H30" t="s">
        <v>183</v>
      </c>
      <c r="I30">
        <v>29891626</v>
      </c>
      <c r="J30">
        <v>3000000</v>
      </c>
      <c r="K30">
        <v>1000</v>
      </c>
      <c r="L30">
        <v>1501.34</v>
      </c>
      <c r="M30">
        <v>1</v>
      </c>
      <c r="N30">
        <v>72.2</v>
      </c>
      <c r="O30">
        <v>45</v>
      </c>
      <c r="P30" s="1">
        <v>45942</v>
      </c>
      <c r="Q30" s="1">
        <v>45987</v>
      </c>
      <c r="R30">
        <v>0</v>
      </c>
      <c r="S30">
        <v>1</v>
      </c>
      <c r="T30">
        <v>88.6</v>
      </c>
      <c r="U30">
        <v>0</v>
      </c>
    </row>
    <row r="31" spans="1:21" x14ac:dyDescent="0.3">
      <c r="A31">
        <v>671412</v>
      </c>
      <c r="B31">
        <v>2582524</v>
      </c>
      <c r="C31">
        <v>5658</v>
      </c>
      <c r="D31" t="s">
        <v>185</v>
      </c>
      <c r="E31" t="s">
        <v>112</v>
      </c>
      <c r="F31">
        <v>2022</v>
      </c>
      <c r="G31" t="s">
        <v>59</v>
      </c>
      <c r="H31" t="s">
        <v>60</v>
      </c>
      <c r="I31">
        <v>28801946</v>
      </c>
      <c r="J31">
        <v>1000000</v>
      </c>
      <c r="K31">
        <v>10000</v>
      </c>
      <c r="L31">
        <v>1399.44</v>
      </c>
      <c r="M31">
        <v>0</v>
      </c>
      <c r="N31">
        <v>98</v>
      </c>
      <c r="O31">
        <v>30</v>
      </c>
      <c r="P31" s="1">
        <v>45871</v>
      </c>
      <c r="Q31" s="1">
        <v>45901</v>
      </c>
      <c r="R31">
        <v>1</v>
      </c>
      <c r="S31">
        <v>1</v>
      </c>
      <c r="T31">
        <v>67.099999999999994</v>
      </c>
      <c r="U31">
        <v>0</v>
      </c>
    </row>
    <row r="32" spans="1:21" x14ac:dyDescent="0.3">
      <c r="A32">
        <v>539898</v>
      </c>
      <c r="B32">
        <v>2626229</v>
      </c>
      <c r="C32">
        <v>2899</v>
      </c>
      <c r="D32" t="s">
        <v>106</v>
      </c>
      <c r="E32" t="s">
        <v>215</v>
      </c>
      <c r="F32">
        <v>2022</v>
      </c>
      <c r="G32" t="s">
        <v>150</v>
      </c>
      <c r="H32" t="s">
        <v>196</v>
      </c>
      <c r="I32">
        <v>24747930</v>
      </c>
      <c r="J32">
        <v>500000</v>
      </c>
      <c r="K32">
        <v>2500</v>
      </c>
      <c r="L32">
        <v>2252.39</v>
      </c>
      <c r="M32">
        <v>0</v>
      </c>
      <c r="N32">
        <v>71.3</v>
      </c>
      <c r="O32">
        <v>30</v>
      </c>
      <c r="P32" s="1">
        <v>46005</v>
      </c>
      <c r="Q32" s="1">
        <v>46035</v>
      </c>
      <c r="R32">
        <v>0</v>
      </c>
      <c r="S32">
        <v>1</v>
      </c>
      <c r="T32">
        <v>86.7</v>
      </c>
      <c r="U32">
        <v>0</v>
      </c>
    </row>
    <row r="33" spans="1:21" x14ac:dyDescent="0.3">
      <c r="A33">
        <v>331148</v>
      </c>
      <c r="B33">
        <v>8231838</v>
      </c>
      <c r="C33">
        <v>8734</v>
      </c>
      <c r="D33" t="s">
        <v>84</v>
      </c>
      <c r="E33" t="s">
        <v>63</v>
      </c>
      <c r="F33">
        <v>2021</v>
      </c>
      <c r="G33" t="s">
        <v>134</v>
      </c>
      <c r="H33" t="s">
        <v>282</v>
      </c>
      <c r="I33">
        <v>21686548</v>
      </c>
      <c r="J33">
        <v>1000000</v>
      </c>
      <c r="K33">
        <v>5000</v>
      </c>
      <c r="L33">
        <v>1558.47</v>
      </c>
      <c r="M33">
        <v>0</v>
      </c>
      <c r="N33">
        <v>90.3</v>
      </c>
      <c r="O33">
        <v>45</v>
      </c>
      <c r="P33" s="1">
        <v>45673</v>
      </c>
      <c r="Q33" s="1">
        <v>45718</v>
      </c>
      <c r="R33">
        <v>0</v>
      </c>
      <c r="S33">
        <v>1</v>
      </c>
      <c r="T33">
        <v>76.599999999999994</v>
      </c>
      <c r="U33">
        <v>0</v>
      </c>
    </row>
    <row r="34" spans="1:21" x14ac:dyDescent="0.3">
      <c r="A34">
        <v>571029</v>
      </c>
      <c r="B34">
        <v>6944126</v>
      </c>
      <c r="C34">
        <v>2267</v>
      </c>
      <c r="D34" t="s">
        <v>106</v>
      </c>
      <c r="E34" t="s">
        <v>2</v>
      </c>
      <c r="F34">
        <v>2022</v>
      </c>
      <c r="G34" t="s">
        <v>93</v>
      </c>
      <c r="H34" t="s">
        <v>95</v>
      </c>
      <c r="I34">
        <v>23256752</v>
      </c>
      <c r="J34">
        <v>2000000</v>
      </c>
      <c r="K34">
        <v>2500</v>
      </c>
      <c r="L34">
        <v>1616.45</v>
      </c>
      <c r="M34">
        <v>0</v>
      </c>
      <c r="N34">
        <v>91</v>
      </c>
      <c r="O34">
        <v>45</v>
      </c>
      <c r="P34" s="1">
        <v>45754</v>
      </c>
      <c r="Q34" s="1">
        <v>45799</v>
      </c>
      <c r="R34">
        <v>0</v>
      </c>
      <c r="S34">
        <v>1</v>
      </c>
      <c r="T34">
        <v>96.4</v>
      </c>
      <c r="U34">
        <v>0</v>
      </c>
    </row>
    <row r="35" spans="1:21" x14ac:dyDescent="0.3">
      <c r="A35">
        <v>717889</v>
      </c>
      <c r="B35">
        <v>8106470</v>
      </c>
      <c r="C35">
        <v>2528</v>
      </c>
      <c r="D35" t="s">
        <v>92</v>
      </c>
      <c r="E35" t="s">
        <v>63</v>
      </c>
      <c r="F35">
        <v>2019</v>
      </c>
      <c r="G35" t="s">
        <v>86</v>
      </c>
      <c r="H35" t="s">
        <v>268</v>
      </c>
      <c r="I35">
        <v>24970190</v>
      </c>
      <c r="J35">
        <v>5000000</v>
      </c>
      <c r="K35">
        <v>2500</v>
      </c>
      <c r="L35">
        <v>1328.83</v>
      </c>
      <c r="M35">
        <v>0</v>
      </c>
      <c r="N35">
        <v>76</v>
      </c>
      <c r="O35">
        <v>60</v>
      </c>
      <c r="P35" s="1">
        <v>45877</v>
      </c>
      <c r="Q35" s="1">
        <v>45937</v>
      </c>
      <c r="R35">
        <v>1</v>
      </c>
      <c r="S35">
        <v>1</v>
      </c>
      <c r="T35">
        <v>93.4</v>
      </c>
      <c r="U35">
        <v>1</v>
      </c>
    </row>
    <row r="36" spans="1:21" x14ac:dyDescent="0.3">
      <c r="A36">
        <v>391704</v>
      </c>
      <c r="B36">
        <v>7897151</v>
      </c>
      <c r="C36">
        <v>4556</v>
      </c>
      <c r="D36" t="s">
        <v>84</v>
      </c>
      <c r="E36" t="s">
        <v>215</v>
      </c>
      <c r="F36">
        <v>2014</v>
      </c>
      <c r="G36" t="s">
        <v>150</v>
      </c>
      <c r="H36" t="s">
        <v>311</v>
      </c>
      <c r="I36">
        <v>23816534</v>
      </c>
      <c r="J36">
        <v>2000000</v>
      </c>
      <c r="K36">
        <v>2500</v>
      </c>
      <c r="L36">
        <v>2274.3000000000002</v>
      </c>
      <c r="M36">
        <v>0</v>
      </c>
      <c r="N36">
        <v>94.5</v>
      </c>
      <c r="O36">
        <v>30</v>
      </c>
      <c r="P36" s="1">
        <v>45766</v>
      </c>
      <c r="Q36" s="1">
        <v>45796</v>
      </c>
      <c r="R36">
        <v>0</v>
      </c>
      <c r="S36">
        <v>1</v>
      </c>
      <c r="T36">
        <v>91.3</v>
      </c>
      <c r="U36">
        <v>0</v>
      </c>
    </row>
    <row r="37" spans="1:21" x14ac:dyDescent="0.3">
      <c r="A37">
        <v>948749</v>
      </c>
      <c r="B37">
        <v>8835373</v>
      </c>
      <c r="C37">
        <v>4890</v>
      </c>
      <c r="D37" t="s">
        <v>101</v>
      </c>
      <c r="E37" t="s">
        <v>112</v>
      </c>
      <c r="F37">
        <v>2016</v>
      </c>
      <c r="G37" t="s">
        <v>132</v>
      </c>
      <c r="H37" t="s">
        <v>328</v>
      </c>
      <c r="I37">
        <v>26054579</v>
      </c>
      <c r="J37">
        <v>1000000</v>
      </c>
      <c r="K37">
        <v>2500</v>
      </c>
      <c r="L37">
        <v>1996.9</v>
      </c>
      <c r="M37">
        <v>0</v>
      </c>
      <c r="N37">
        <v>79.7</v>
      </c>
      <c r="O37">
        <v>45</v>
      </c>
      <c r="P37" s="1">
        <v>45918</v>
      </c>
      <c r="Q37" s="1">
        <v>45963</v>
      </c>
      <c r="R37">
        <v>0</v>
      </c>
      <c r="S37">
        <v>1</v>
      </c>
      <c r="T37">
        <v>98.6</v>
      </c>
      <c r="U37">
        <v>1</v>
      </c>
    </row>
    <row r="38" spans="1:21" x14ac:dyDescent="0.3">
      <c r="A38">
        <v>106814</v>
      </c>
      <c r="B38">
        <v>1908841</v>
      </c>
      <c r="C38">
        <v>9838</v>
      </c>
      <c r="D38" t="s">
        <v>225</v>
      </c>
      <c r="E38" t="s">
        <v>112</v>
      </c>
      <c r="F38">
        <v>2013</v>
      </c>
      <c r="G38" t="s">
        <v>109</v>
      </c>
      <c r="H38" t="s">
        <v>198</v>
      </c>
      <c r="I38">
        <v>23010529</v>
      </c>
      <c r="J38">
        <v>2000000</v>
      </c>
      <c r="K38">
        <v>1000</v>
      </c>
      <c r="L38">
        <v>1752.5</v>
      </c>
      <c r="M38">
        <v>0</v>
      </c>
      <c r="N38">
        <v>84.6</v>
      </c>
      <c r="O38">
        <v>45</v>
      </c>
      <c r="P38" s="1">
        <v>45935</v>
      </c>
      <c r="Q38" s="1">
        <v>45980</v>
      </c>
      <c r="R38">
        <v>0</v>
      </c>
      <c r="S38">
        <v>1</v>
      </c>
      <c r="T38">
        <v>81.400000000000006</v>
      </c>
      <c r="U38">
        <v>0</v>
      </c>
    </row>
    <row r="39" spans="1:21" x14ac:dyDescent="0.3">
      <c r="A39">
        <v>895667</v>
      </c>
      <c r="B39">
        <v>2651177</v>
      </c>
      <c r="C39">
        <v>6393</v>
      </c>
      <c r="D39" t="s">
        <v>142</v>
      </c>
      <c r="E39" t="s">
        <v>63</v>
      </c>
      <c r="F39">
        <v>2024</v>
      </c>
      <c r="G39" t="s">
        <v>103</v>
      </c>
      <c r="H39" t="s">
        <v>285</v>
      </c>
      <c r="I39">
        <v>25071208</v>
      </c>
      <c r="J39">
        <v>1000000</v>
      </c>
      <c r="K39">
        <v>1000</v>
      </c>
      <c r="L39">
        <v>1362.64</v>
      </c>
      <c r="M39">
        <v>0</v>
      </c>
      <c r="N39">
        <v>84.3</v>
      </c>
      <c r="O39">
        <v>30</v>
      </c>
      <c r="P39" s="1">
        <v>45695</v>
      </c>
      <c r="Q39" s="1">
        <v>45725</v>
      </c>
      <c r="R39">
        <v>0</v>
      </c>
      <c r="S39">
        <v>1</v>
      </c>
      <c r="T39">
        <v>99.9</v>
      </c>
      <c r="U39">
        <v>0</v>
      </c>
    </row>
    <row r="40" spans="1:21" x14ac:dyDescent="0.3">
      <c r="A40">
        <v>944962</v>
      </c>
      <c r="B40">
        <v>2016911</v>
      </c>
      <c r="C40">
        <v>9792</v>
      </c>
      <c r="D40" t="s">
        <v>185</v>
      </c>
      <c r="E40" t="s">
        <v>63</v>
      </c>
      <c r="F40">
        <v>2020</v>
      </c>
      <c r="G40" t="s">
        <v>93</v>
      </c>
      <c r="H40" t="s">
        <v>217</v>
      </c>
      <c r="I40">
        <v>20237370</v>
      </c>
      <c r="J40">
        <v>2000000</v>
      </c>
      <c r="K40">
        <v>1000</v>
      </c>
      <c r="L40">
        <v>1428.05</v>
      </c>
      <c r="M40">
        <v>0</v>
      </c>
      <c r="N40">
        <v>80.8</v>
      </c>
      <c r="O40">
        <v>30</v>
      </c>
      <c r="P40" s="1">
        <v>45845</v>
      </c>
      <c r="Q40" s="1">
        <v>45875</v>
      </c>
      <c r="R40">
        <v>0</v>
      </c>
      <c r="S40">
        <v>1</v>
      </c>
      <c r="T40">
        <v>94.5</v>
      </c>
      <c r="U40">
        <v>0</v>
      </c>
    </row>
    <row r="41" spans="1:21" x14ac:dyDescent="0.3">
      <c r="A41">
        <v>267414</v>
      </c>
      <c r="B41">
        <v>7754864</v>
      </c>
      <c r="C41">
        <v>9433</v>
      </c>
      <c r="D41" t="s">
        <v>185</v>
      </c>
      <c r="E41" t="s">
        <v>63</v>
      </c>
      <c r="F41">
        <v>2017</v>
      </c>
      <c r="G41" t="s">
        <v>200</v>
      </c>
      <c r="H41" t="s">
        <v>171</v>
      </c>
      <c r="I41">
        <v>28961299</v>
      </c>
      <c r="J41">
        <v>500000</v>
      </c>
      <c r="K41">
        <v>5000</v>
      </c>
      <c r="L41">
        <v>1794.99</v>
      </c>
      <c r="M41">
        <v>1</v>
      </c>
      <c r="N41">
        <v>85.3</v>
      </c>
      <c r="O41">
        <v>45</v>
      </c>
      <c r="P41" s="1">
        <v>45843</v>
      </c>
      <c r="Q41" s="1">
        <v>45888</v>
      </c>
      <c r="R41">
        <v>0</v>
      </c>
      <c r="S41">
        <v>1</v>
      </c>
      <c r="T41">
        <v>86.3</v>
      </c>
      <c r="U41">
        <v>0</v>
      </c>
    </row>
    <row r="42" spans="1:21" x14ac:dyDescent="0.3">
      <c r="A42">
        <v>832052</v>
      </c>
      <c r="B42">
        <v>6692553</v>
      </c>
      <c r="C42">
        <v>8513</v>
      </c>
      <c r="D42" t="s">
        <v>57</v>
      </c>
      <c r="E42" t="s">
        <v>63</v>
      </c>
      <c r="F42">
        <v>2018</v>
      </c>
      <c r="G42" t="s">
        <v>150</v>
      </c>
      <c r="H42" t="s">
        <v>159</v>
      </c>
      <c r="I42">
        <v>22123709</v>
      </c>
      <c r="J42">
        <v>2000000</v>
      </c>
      <c r="K42">
        <v>1000</v>
      </c>
      <c r="L42">
        <v>1372.48</v>
      </c>
      <c r="M42">
        <v>0</v>
      </c>
      <c r="N42">
        <v>89.1</v>
      </c>
      <c r="O42">
        <v>45</v>
      </c>
      <c r="P42" s="1">
        <v>45792</v>
      </c>
      <c r="Q42" s="1">
        <v>45837</v>
      </c>
      <c r="R42">
        <v>1</v>
      </c>
      <c r="S42">
        <v>1</v>
      </c>
      <c r="T42">
        <v>95.9</v>
      </c>
      <c r="U42">
        <v>0</v>
      </c>
    </row>
    <row r="43" spans="1:21" x14ac:dyDescent="0.3">
      <c r="A43">
        <v>543143</v>
      </c>
      <c r="B43">
        <v>2833230</v>
      </c>
      <c r="C43">
        <v>3612</v>
      </c>
      <c r="D43" t="s">
        <v>126</v>
      </c>
      <c r="E43" t="s">
        <v>80</v>
      </c>
      <c r="F43">
        <v>2025</v>
      </c>
      <c r="G43" t="s">
        <v>134</v>
      </c>
      <c r="H43" t="s">
        <v>282</v>
      </c>
      <c r="I43">
        <v>24602180</v>
      </c>
      <c r="J43">
        <v>1000000</v>
      </c>
      <c r="K43">
        <v>2500</v>
      </c>
      <c r="L43">
        <v>1634.1</v>
      </c>
      <c r="M43">
        <v>1</v>
      </c>
      <c r="N43">
        <v>62.3</v>
      </c>
      <c r="O43">
        <v>45</v>
      </c>
      <c r="P43" s="1">
        <v>45998</v>
      </c>
      <c r="Q43" s="1">
        <v>46043</v>
      </c>
      <c r="R43">
        <v>0</v>
      </c>
      <c r="S43">
        <v>1</v>
      </c>
      <c r="T43">
        <v>80.3</v>
      </c>
      <c r="U43">
        <v>0</v>
      </c>
    </row>
    <row r="44" spans="1:21" x14ac:dyDescent="0.3">
      <c r="A44">
        <v>456778</v>
      </c>
      <c r="B44">
        <v>5171761</v>
      </c>
      <c r="C44">
        <v>8041</v>
      </c>
      <c r="D44" t="s">
        <v>142</v>
      </c>
      <c r="E44" t="s">
        <v>112</v>
      </c>
      <c r="F44">
        <v>2012</v>
      </c>
      <c r="G44" t="s">
        <v>116</v>
      </c>
      <c r="H44" t="s">
        <v>128</v>
      </c>
      <c r="I44">
        <v>20763626</v>
      </c>
      <c r="J44">
        <v>5000000</v>
      </c>
      <c r="K44">
        <v>10000</v>
      </c>
      <c r="L44">
        <v>1692.07</v>
      </c>
      <c r="M44">
        <v>0</v>
      </c>
      <c r="N44">
        <v>93.7</v>
      </c>
      <c r="O44">
        <v>45</v>
      </c>
      <c r="P44" s="1">
        <v>45960</v>
      </c>
      <c r="Q44" s="1">
        <v>46005</v>
      </c>
      <c r="R44">
        <v>0</v>
      </c>
      <c r="S44">
        <v>1</v>
      </c>
      <c r="T44">
        <v>82.2</v>
      </c>
      <c r="U44">
        <v>0</v>
      </c>
    </row>
    <row r="45" spans="1:21" x14ac:dyDescent="0.3">
      <c r="A45">
        <v>391369</v>
      </c>
      <c r="B45">
        <v>4214348</v>
      </c>
      <c r="C45">
        <v>7235</v>
      </c>
      <c r="D45" t="s">
        <v>142</v>
      </c>
      <c r="E45" t="s">
        <v>215</v>
      </c>
      <c r="F45">
        <v>2020</v>
      </c>
      <c r="G45" t="s">
        <v>93</v>
      </c>
      <c r="H45" t="s">
        <v>95</v>
      </c>
      <c r="I45">
        <v>20914794</v>
      </c>
      <c r="J45">
        <v>1000000</v>
      </c>
      <c r="K45">
        <v>1000</v>
      </c>
      <c r="L45">
        <v>2265.6</v>
      </c>
      <c r="M45">
        <v>1</v>
      </c>
      <c r="N45">
        <v>63</v>
      </c>
      <c r="O45">
        <v>60</v>
      </c>
      <c r="P45" s="1">
        <v>45912</v>
      </c>
      <c r="Q45" s="1">
        <v>45972</v>
      </c>
      <c r="R45">
        <v>0</v>
      </c>
      <c r="S45">
        <v>1</v>
      </c>
      <c r="T45">
        <v>83.7</v>
      </c>
      <c r="U45">
        <v>0</v>
      </c>
    </row>
    <row r="46" spans="1:21" x14ac:dyDescent="0.3">
      <c r="A46">
        <v>263032</v>
      </c>
      <c r="B46">
        <v>4191175</v>
      </c>
      <c r="C46">
        <v>6486</v>
      </c>
      <c r="D46" t="s">
        <v>225</v>
      </c>
      <c r="E46" t="s">
        <v>215</v>
      </c>
      <c r="F46">
        <v>2019</v>
      </c>
      <c r="G46" t="s">
        <v>78</v>
      </c>
      <c r="H46" t="s">
        <v>918</v>
      </c>
      <c r="I46">
        <v>29283822</v>
      </c>
      <c r="J46">
        <v>2000000</v>
      </c>
      <c r="K46">
        <v>2500</v>
      </c>
      <c r="L46">
        <v>2214.7199999999998</v>
      </c>
      <c r="M46">
        <v>0</v>
      </c>
      <c r="N46">
        <v>91.3</v>
      </c>
      <c r="O46">
        <v>30</v>
      </c>
      <c r="P46" s="1">
        <v>45918</v>
      </c>
      <c r="Q46" s="1">
        <v>45948</v>
      </c>
      <c r="R46">
        <v>0</v>
      </c>
      <c r="S46">
        <v>1</v>
      </c>
      <c r="T46">
        <v>84.3</v>
      </c>
      <c r="U46">
        <v>0</v>
      </c>
    </row>
    <row r="47" spans="1:21" x14ac:dyDescent="0.3">
      <c r="A47">
        <v>325772</v>
      </c>
      <c r="B47">
        <v>9997381</v>
      </c>
      <c r="C47">
        <v>8099</v>
      </c>
      <c r="D47" t="s">
        <v>211</v>
      </c>
      <c r="E47" t="s">
        <v>2</v>
      </c>
      <c r="F47">
        <v>2020</v>
      </c>
      <c r="G47" t="s">
        <v>109</v>
      </c>
      <c r="H47" t="s">
        <v>118</v>
      </c>
      <c r="I47">
        <v>24901239</v>
      </c>
      <c r="J47">
        <v>3000000</v>
      </c>
      <c r="K47">
        <v>2500</v>
      </c>
      <c r="L47">
        <v>2094.96</v>
      </c>
      <c r="M47">
        <v>0</v>
      </c>
      <c r="N47">
        <v>92.1</v>
      </c>
      <c r="O47">
        <v>45</v>
      </c>
      <c r="P47" s="1">
        <v>45826</v>
      </c>
      <c r="Q47" s="1">
        <v>45871</v>
      </c>
      <c r="R47">
        <v>0</v>
      </c>
      <c r="S47">
        <v>1</v>
      </c>
      <c r="T47">
        <v>80.599999999999994</v>
      </c>
      <c r="U47">
        <v>0</v>
      </c>
    </row>
    <row r="48" spans="1:21" x14ac:dyDescent="0.3">
      <c r="A48">
        <v>900581</v>
      </c>
      <c r="B48">
        <v>8526486</v>
      </c>
      <c r="C48">
        <v>1775</v>
      </c>
      <c r="D48" t="s">
        <v>101</v>
      </c>
      <c r="E48" t="s">
        <v>112</v>
      </c>
      <c r="F48">
        <v>2008</v>
      </c>
      <c r="G48" t="s">
        <v>132</v>
      </c>
      <c r="H48" t="s">
        <v>328</v>
      </c>
      <c r="I48">
        <v>22118618</v>
      </c>
      <c r="J48">
        <v>500000</v>
      </c>
      <c r="K48">
        <v>5000</v>
      </c>
      <c r="L48">
        <v>1788.77</v>
      </c>
      <c r="M48">
        <v>0</v>
      </c>
      <c r="N48">
        <v>72.2</v>
      </c>
      <c r="O48">
        <v>90</v>
      </c>
      <c r="P48" s="1">
        <v>45994</v>
      </c>
      <c r="Q48" s="1">
        <v>46084</v>
      </c>
      <c r="R48">
        <v>0</v>
      </c>
      <c r="S48">
        <v>1</v>
      </c>
      <c r="T48">
        <v>96.6</v>
      </c>
      <c r="U48">
        <v>0</v>
      </c>
    </row>
    <row r="49" spans="1:21" x14ac:dyDescent="0.3">
      <c r="A49">
        <v>452944</v>
      </c>
      <c r="B49">
        <v>3351868</v>
      </c>
      <c r="C49">
        <v>9226</v>
      </c>
      <c r="D49" t="s">
        <v>101</v>
      </c>
      <c r="E49" t="s">
        <v>80</v>
      </c>
      <c r="F49">
        <v>2024</v>
      </c>
      <c r="G49" t="s">
        <v>59</v>
      </c>
      <c r="H49" t="s">
        <v>99</v>
      </c>
      <c r="I49">
        <v>28235577</v>
      </c>
      <c r="J49">
        <v>3000000</v>
      </c>
      <c r="K49">
        <v>1000</v>
      </c>
      <c r="L49">
        <v>1519.72</v>
      </c>
      <c r="M49">
        <v>0</v>
      </c>
      <c r="N49">
        <v>78.3</v>
      </c>
      <c r="O49">
        <v>45</v>
      </c>
      <c r="P49" s="1">
        <v>45911</v>
      </c>
      <c r="Q49" s="1">
        <v>45956</v>
      </c>
      <c r="R49">
        <v>0</v>
      </c>
      <c r="S49">
        <v>1</v>
      </c>
      <c r="T49">
        <v>86.2</v>
      </c>
      <c r="U49">
        <v>0</v>
      </c>
    </row>
    <row r="50" spans="1:21" x14ac:dyDescent="0.3">
      <c r="A50">
        <v>207175</v>
      </c>
      <c r="B50">
        <v>8077999</v>
      </c>
      <c r="C50">
        <v>4152</v>
      </c>
      <c r="D50" t="s">
        <v>142</v>
      </c>
      <c r="E50" t="s">
        <v>112</v>
      </c>
      <c r="F50">
        <v>2025</v>
      </c>
      <c r="G50" t="s">
        <v>200</v>
      </c>
      <c r="H50" t="s">
        <v>171</v>
      </c>
      <c r="I50">
        <v>21721135</v>
      </c>
      <c r="J50">
        <v>2000000</v>
      </c>
      <c r="K50">
        <v>2500</v>
      </c>
      <c r="L50">
        <v>1714.98</v>
      </c>
      <c r="M50">
        <v>0</v>
      </c>
      <c r="N50">
        <v>72</v>
      </c>
      <c r="O50">
        <v>60</v>
      </c>
      <c r="P50" s="1">
        <v>45924</v>
      </c>
      <c r="Q50" s="1">
        <v>45984</v>
      </c>
      <c r="R50">
        <v>0</v>
      </c>
      <c r="S50">
        <v>0</v>
      </c>
      <c r="T50">
        <v>75.5</v>
      </c>
      <c r="U50">
        <v>0</v>
      </c>
    </row>
    <row r="51" spans="1:21" x14ac:dyDescent="0.3">
      <c r="A51">
        <v>197251</v>
      </c>
      <c r="B51">
        <v>4078418</v>
      </c>
      <c r="C51">
        <v>2585</v>
      </c>
      <c r="D51" t="s">
        <v>106</v>
      </c>
      <c r="E51" t="s">
        <v>63</v>
      </c>
      <c r="F51">
        <v>2020</v>
      </c>
      <c r="G51" t="s">
        <v>70</v>
      </c>
      <c r="H51" t="s">
        <v>72</v>
      </c>
      <c r="I51">
        <v>20205779</v>
      </c>
      <c r="J51">
        <v>500000</v>
      </c>
      <c r="K51">
        <v>5000</v>
      </c>
      <c r="L51">
        <v>1262.42</v>
      </c>
      <c r="M51">
        <v>0</v>
      </c>
      <c r="N51">
        <v>80.099999999999994</v>
      </c>
      <c r="O51">
        <v>45</v>
      </c>
      <c r="P51" s="1">
        <v>45972</v>
      </c>
      <c r="Q51" s="1">
        <v>46017</v>
      </c>
      <c r="R51">
        <v>0</v>
      </c>
      <c r="S51">
        <v>1</v>
      </c>
      <c r="T51">
        <v>84</v>
      </c>
      <c r="U51">
        <v>0</v>
      </c>
    </row>
    <row r="52" spans="1:21" x14ac:dyDescent="0.3">
      <c r="A52">
        <v>498382</v>
      </c>
      <c r="B52">
        <v>5673212</v>
      </c>
      <c r="C52">
        <v>4943</v>
      </c>
      <c r="D52" t="s">
        <v>185</v>
      </c>
      <c r="E52" t="s">
        <v>63</v>
      </c>
      <c r="F52">
        <v>2022</v>
      </c>
      <c r="G52" t="s">
        <v>70</v>
      </c>
      <c r="H52" t="s">
        <v>71</v>
      </c>
      <c r="I52">
        <v>29631199</v>
      </c>
      <c r="J52">
        <v>1000000</v>
      </c>
      <c r="K52">
        <v>10000</v>
      </c>
      <c r="L52">
        <v>1555.97</v>
      </c>
      <c r="M52">
        <v>0</v>
      </c>
      <c r="N52">
        <v>79.2</v>
      </c>
      <c r="O52">
        <v>60</v>
      </c>
      <c r="P52" s="1">
        <v>45758</v>
      </c>
      <c r="Q52" s="1">
        <v>45818</v>
      </c>
      <c r="R52">
        <v>0</v>
      </c>
      <c r="S52">
        <v>1</v>
      </c>
      <c r="T52">
        <v>75.3</v>
      </c>
      <c r="U52">
        <v>0</v>
      </c>
    </row>
    <row r="53" spans="1:21" x14ac:dyDescent="0.3">
      <c r="A53">
        <v>201414</v>
      </c>
      <c r="B53">
        <v>8761611</v>
      </c>
      <c r="C53">
        <v>8555</v>
      </c>
      <c r="D53" t="s">
        <v>142</v>
      </c>
      <c r="E53" t="s">
        <v>63</v>
      </c>
      <c r="F53">
        <v>2025</v>
      </c>
      <c r="G53" t="s">
        <v>86</v>
      </c>
      <c r="H53" t="s">
        <v>87</v>
      </c>
      <c r="I53">
        <v>24770422</v>
      </c>
      <c r="J53">
        <v>2000000</v>
      </c>
      <c r="K53">
        <v>2500</v>
      </c>
      <c r="L53">
        <v>1800.66</v>
      </c>
      <c r="M53">
        <v>2</v>
      </c>
      <c r="N53">
        <v>81</v>
      </c>
      <c r="O53">
        <v>60</v>
      </c>
      <c r="P53" s="1">
        <v>45952</v>
      </c>
      <c r="Q53" s="1">
        <v>46012</v>
      </c>
      <c r="R53">
        <v>0</v>
      </c>
      <c r="S53">
        <v>1</v>
      </c>
      <c r="T53">
        <v>89.9</v>
      </c>
      <c r="U53">
        <v>0</v>
      </c>
    </row>
    <row r="54" spans="1:21" x14ac:dyDescent="0.3">
      <c r="A54">
        <v>476417</v>
      </c>
      <c r="B54">
        <v>5191056</v>
      </c>
      <c r="C54">
        <v>4073</v>
      </c>
      <c r="D54" t="s">
        <v>211</v>
      </c>
      <c r="E54" t="s">
        <v>215</v>
      </c>
      <c r="F54">
        <v>2022</v>
      </c>
      <c r="G54" t="s">
        <v>150</v>
      </c>
      <c r="H54" t="s">
        <v>196</v>
      </c>
      <c r="I54">
        <v>27875173</v>
      </c>
      <c r="J54">
        <v>500000</v>
      </c>
      <c r="K54">
        <v>2500</v>
      </c>
      <c r="L54">
        <v>2178.34</v>
      </c>
      <c r="M54">
        <v>0</v>
      </c>
      <c r="N54">
        <v>93.8</v>
      </c>
      <c r="O54">
        <v>45</v>
      </c>
      <c r="P54" s="1">
        <v>45729</v>
      </c>
      <c r="Q54" s="1">
        <v>45774</v>
      </c>
      <c r="R54">
        <v>0</v>
      </c>
      <c r="S54">
        <v>1</v>
      </c>
      <c r="T54">
        <v>74.599999999999994</v>
      </c>
      <c r="U54">
        <v>0</v>
      </c>
    </row>
    <row r="55" spans="1:21" x14ac:dyDescent="0.3">
      <c r="A55">
        <v>988662</v>
      </c>
      <c r="B55">
        <v>2264748</v>
      </c>
      <c r="C55">
        <v>2021</v>
      </c>
      <c r="D55" t="s">
        <v>57</v>
      </c>
      <c r="E55" t="s">
        <v>2</v>
      </c>
      <c r="F55">
        <v>2012</v>
      </c>
      <c r="G55" t="s">
        <v>200</v>
      </c>
      <c r="H55" t="s">
        <v>161</v>
      </c>
      <c r="I55">
        <v>28031491</v>
      </c>
      <c r="J55">
        <v>2000000</v>
      </c>
      <c r="K55">
        <v>2500</v>
      </c>
      <c r="L55">
        <v>2283.17</v>
      </c>
      <c r="M55">
        <v>0</v>
      </c>
      <c r="N55">
        <v>94.6</v>
      </c>
      <c r="O55">
        <v>90</v>
      </c>
      <c r="P55" s="1">
        <v>45784</v>
      </c>
      <c r="Q55" s="1">
        <v>45874</v>
      </c>
      <c r="R55">
        <v>0</v>
      </c>
      <c r="S55">
        <v>1</v>
      </c>
      <c r="T55">
        <v>87.5</v>
      </c>
      <c r="U55">
        <v>0</v>
      </c>
    </row>
    <row r="56" spans="1:21" x14ac:dyDescent="0.3">
      <c r="A56">
        <v>460663</v>
      </c>
      <c r="B56">
        <v>8434500</v>
      </c>
      <c r="C56">
        <v>4843</v>
      </c>
      <c r="D56" t="s">
        <v>57</v>
      </c>
      <c r="E56" t="s">
        <v>63</v>
      </c>
      <c r="F56">
        <v>2020</v>
      </c>
      <c r="G56" t="s">
        <v>129</v>
      </c>
      <c r="H56" t="s">
        <v>241</v>
      </c>
      <c r="I56">
        <v>27389840</v>
      </c>
      <c r="J56">
        <v>1000000</v>
      </c>
      <c r="K56">
        <v>5000</v>
      </c>
      <c r="L56">
        <v>1485.85</v>
      </c>
      <c r="M56">
        <v>0</v>
      </c>
      <c r="N56">
        <v>76.900000000000006</v>
      </c>
      <c r="O56">
        <v>30</v>
      </c>
      <c r="P56" s="1">
        <v>45780</v>
      </c>
      <c r="Q56" s="1">
        <v>45810</v>
      </c>
      <c r="R56">
        <v>0</v>
      </c>
      <c r="S56">
        <v>1</v>
      </c>
      <c r="T56">
        <v>78.400000000000006</v>
      </c>
      <c r="U56">
        <v>0</v>
      </c>
    </row>
    <row r="57" spans="1:21" x14ac:dyDescent="0.3">
      <c r="A57">
        <v>733052</v>
      </c>
      <c r="B57">
        <v>2642635</v>
      </c>
      <c r="C57">
        <v>8989</v>
      </c>
      <c r="D57" t="s">
        <v>84</v>
      </c>
      <c r="E57" t="s">
        <v>2</v>
      </c>
      <c r="F57">
        <v>2020</v>
      </c>
      <c r="G57" t="s">
        <v>134</v>
      </c>
      <c r="H57" t="s">
        <v>248</v>
      </c>
      <c r="I57">
        <v>25716097</v>
      </c>
      <c r="J57">
        <v>2000000</v>
      </c>
      <c r="K57">
        <v>2500</v>
      </c>
      <c r="L57">
        <v>1809.79</v>
      </c>
      <c r="M57">
        <v>0</v>
      </c>
      <c r="N57">
        <v>80.099999999999994</v>
      </c>
      <c r="O57">
        <v>30</v>
      </c>
      <c r="P57" s="1">
        <v>46015</v>
      </c>
      <c r="Q57" s="1">
        <v>46045</v>
      </c>
      <c r="R57">
        <v>0</v>
      </c>
      <c r="S57">
        <v>0</v>
      </c>
      <c r="T57">
        <v>86.9</v>
      </c>
      <c r="U57">
        <v>0</v>
      </c>
    </row>
    <row r="58" spans="1:21" x14ac:dyDescent="0.3">
      <c r="A58">
        <v>377370</v>
      </c>
      <c r="B58">
        <v>1848731</v>
      </c>
      <c r="C58">
        <v>7873</v>
      </c>
      <c r="D58" t="s">
        <v>106</v>
      </c>
      <c r="E58" t="s">
        <v>2</v>
      </c>
      <c r="F58">
        <v>2017</v>
      </c>
      <c r="G58" t="s">
        <v>59</v>
      </c>
      <c r="H58" t="s">
        <v>167</v>
      </c>
      <c r="I58">
        <v>23093109</v>
      </c>
      <c r="J58">
        <v>500000</v>
      </c>
      <c r="K58">
        <v>1000</v>
      </c>
      <c r="L58">
        <v>1848.84</v>
      </c>
      <c r="M58">
        <v>0</v>
      </c>
      <c r="N58">
        <v>66.8</v>
      </c>
      <c r="O58">
        <v>60</v>
      </c>
      <c r="P58" s="1">
        <v>45970</v>
      </c>
      <c r="Q58" s="1">
        <v>46030</v>
      </c>
      <c r="R58">
        <v>0</v>
      </c>
      <c r="S58">
        <v>1</v>
      </c>
      <c r="T58">
        <v>94.4</v>
      </c>
      <c r="U58">
        <v>0</v>
      </c>
    </row>
    <row r="59" spans="1:21" x14ac:dyDescent="0.3">
      <c r="A59">
        <v>946335</v>
      </c>
      <c r="B59">
        <v>1247595</v>
      </c>
      <c r="C59">
        <v>6675</v>
      </c>
      <c r="D59" t="s">
        <v>84</v>
      </c>
      <c r="E59" t="s">
        <v>63</v>
      </c>
      <c r="F59">
        <v>2022</v>
      </c>
      <c r="G59" t="s">
        <v>116</v>
      </c>
      <c r="H59" t="s">
        <v>128</v>
      </c>
      <c r="I59">
        <v>20861958</v>
      </c>
      <c r="J59">
        <v>3000000</v>
      </c>
      <c r="K59">
        <v>10000</v>
      </c>
      <c r="L59">
        <v>1767.81</v>
      </c>
      <c r="M59">
        <v>1</v>
      </c>
      <c r="N59">
        <v>70.7</v>
      </c>
      <c r="O59">
        <v>60</v>
      </c>
      <c r="P59" s="1">
        <v>45913</v>
      </c>
      <c r="Q59" s="1">
        <v>45973</v>
      </c>
      <c r="R59">
        <v>0</v>
      </c>
      <c r="S59">
        <v>1</v>
      </c>
      <c r="T59">
        <v>88.7</v>
      </c>
      <c r="U59">
        <v>0</v>
      </c>
    </row>
    <row r="60" spans="1:21" x14ac:dyDescent="0.3">
      <c r="A60">
        <v>145561</v>
      </c>
      <c r="B60">
        <v>2564689</v>
      </c>
      <c r="C60">
        <v>1161</v>
      </c>
      <c r="D60" t="s">
        <v>101</v>
      </c>
      <c r="E60" t="s">
        <v>63</v>
      </c>
      <c r="F60">
        <v>2025</v>
      </c>
      <c r="G60" t="s">
        <v>93</v>
      </c>
      <c r="H60" t="s">
        <v>95</v>
      </c>
      <c r="I60">
        <v>24235884</v>
      </c>
      <c r="J60">
        <v>5000000</v>
      </c>
      <c r="K60">
        <v>2500</v>
      </c>
      <c r="L60">
        <v>1463.59</v>
      </c>
      <c r="M60">
        <v>0</v>
      </c>
      <c r="N60">
        <v>90.7</v>
      </c>
      <c r="O60">
        <v>30</v>
      </c>
      <c r="P60" s="1">
        <v>45923</v>
      </c>
      <c r="Q60" s="1">
        <v>45953</v>
      </c>
      <c r="R60">
        <v>0</v>
      </c>
      <c r="S60">
        <v>1</v>
      </c>
      <c r="T60">
        <v>96.8</v>
      </c>
      <c r="U60">
        <v>0</v>
      </c>
    </row>
    <row r="61" spans="1:21" x14ac:dyDescent="0.3">
      <c r="A61">
        <v>865179</v>
      </c>
      <c r="B61">
        <v>4965789</v>
      </c>
      <c r="C61">
        <v>5297</v>
      </c>
      <c r="D61" t="s">
        <v>101</v>
      </c>
      <c r="E61" t="s">
        <v>2</v>
      </c>
      <c r="F61">
        <v>2025</v>
      </c>
      <c r="G61" t="s">
        <v>93</v>
      </c>
      <c r="H61" t="s">
        <v>290</v>
      </c>
      <c r="I61">
        <v>28014965</v>
      </c>
      <c r="J61">
        <v>5000000</v>
      </c>
      <c r="K61">
        <v>2500</v>
      </c>
      <c r="L61">
        <v>1727.41</v>
      </c>
      <c r="M61">
        <v>0</v>
      </c>
      <c r="N61">
        <v>96.5</v>
      </c>
      <c r="O61">
        <v>45</v>
      </c>
      <c r="P61" s="1">
        <v>45863</v>
      </c>
      <c r="Q61" s="1">
        <v>45908</v>
      </c>
      <c r="R61">
        <v>0</v>
      </c>
      <c r="S61">
        <v>1</v>
      </c>
      <c r="T61">
        <v>82.1</v>
      </c>
      <c r="U61">
        <v>0</v>
      </c>
    </row>
    <row r="62" spans="1:21" x14ac:dyDescent="0.3">
      <c r="A62">
        <v>581741</v>
      </c>
      <c r="B62">
        <v>3790237</v>
      </c>
      <c r="C62">
        <v>1995</v>
      </c>
      <c r="D62" t="s">
        <v>126</v>
      </c>
      <c r="E62" t="s">
        <v>2</v>
      </c>
      <c r="F62">
        <v>2018</v>
      </c>
      <c r="G62" t="s">
        <v>70</v>
      </c>
      <c r="H62" t="s">
        <v>71</v>
      </c>
      <c r="I62">
        <v>21914064</v>
      </c>
      <c r="J62">
        <v>2000000</v>
      </c>
      <c r="K62">
        <v>1000</v>
      </c>
      <c r="L62">
        <v>2010.31</v>
      </c>
      <c r="M62">
        <v>0</v>
      </c>
      <c r="N62">
        <v>70.900000000000006</v>
      </c>
      <c r="O62">
        <v>30</v>
      </c>
      <c r="P62" s="1">
        <v>46003</v>
      </c>
      <c r="Q62" s="1">
        <v>46033</v>
      </c>
      <c r="R62">
        <v>0</v>
      </c>
      <c r="S62">
        <v>1</v>
      </c>
      <c r="T62">
        <v>91.8</v>
      </c>
      <c r="U62">
        <v>0</v>
      </c>
    </row>
    <row r="63" spans="1:21" x14ac:dyDescent="0.3">
      <c r="A63">
        <v>662275</v>
      </c>
      <c r="B63">
        <v>7818496</v>
      </c>
      <c r="C63">
        <v>8629</v>
      </c>
      <c r="D63" t="s">
        <v>106</v>
      </c>
      <c r="E63" t="s">
        <v>112</v>
      </c>
      <c r="F63">
        <v>2011</v>
      </c>
      <c r="G63" t="s">
        <v>93</v>
      </c>
      <c r="H63" t="s">
        <v>94</v>
      </c>
      <c r="I63">
        <v>21096280</v>
      </c>
      <c r="J63">
        <v>500000</v>
      </c>
      <c r="K63">
        <v>2500</v>
      </c>
      <c r="L63">
        <v>1849.82</v>
      </c>
      <c r="M63">
        <v>1</v>
      </c>
      <c r="N63">
        <v>72.7</v>
      </c>
      <c r="O63">
        <v>45</v>
      </c>
      <c r="P63" s="1">
        <v>45839</v>
      </c>
      <c r="Q63" s="1">
        <v>45884</v>
      </c>
      <c r="R63">
        <v>0</v>
      </c>
      <c r="S63">
        <v>1</v>
      </c>
      <c r="T63">
        <v>89.4</v>
      </c>
      <c r="U63">
        <v>0</v>
      </c>
    </row>
    <row r="64" spans="1:21" x14ac:dyDescent="0.3">
      <c r="A64">
        <v>230889</v>
      </c>
      <c r="B64">
        <v>9147706</v>
      </c>
      <c r="C64">
        <v>2016</v>
      </c>
      <c r="D64" t="s">
        <v>84</v>
      </c>
      <c r="E64" t="s">
        <v>2</v>
      </c>
      <c r="F64">
        <v>2025</v>
      </c>
      <c r="G64" t="s">
        <v>132</v>
      </c>
      <c r="H64" t="s">
        <v>186</v>
      </c>
      <c r="I64">
        <v>26722755</v>
      </c>
      <c r="J64">
        <v>2000000</v>
      </c>
      <c r="K64">
        <v>2500</v>
      </c>
      <c r="L64">
        <v>2304.8000000000002</v>
      </c>
      <c r="M64">
        <v>1</v>
      </c>
      <c r="N64">
        <v>77.8</v>
      </c>
      <c r="O64">
        <v>60</v>
      </c>
      <c r="P64" s="1">
        <v>45796</v>
      </c>
      <c r="Q64" s="1">
        <v>45856</v>
      </c>
      <c r="R64">
        <v>0</v>
      </c>
      <c r="S64">
        <v>1</v>
      </c>
      <c r="T64">
        <v>89.8</v>
      </c>
      <c r="U64">
        <v>0</v>
      </c>
    </row>
    <row r="65" spans="1:21" x14ac:dyDescent="0.3">
      <c r="A65">
        <v>496922</v>
      </c>
      <c r="B65">
        <v>9075854</v>
      </c>
      <c r="C65">
        <v>8869</v>
      </c>
      <c r="D65" t="s">
        <v>84</v>
      </c>
      <c r="E65" t="s">
        <v>112</v>
      </c>
      <c r="F65">
        <v>2024</v>
      </c>
      <c r="G65" t="s">
        <v>59</v>
      </c>
      <c r="H65" t="s">
        <v>60</v>
      </c>
      <c r="I65">
        <v>28250138</v>
      </c>
      <c r="J65">
        <v>500000</v>
      </c>
      <c r="K65">
        <v>2500</v>
      </c>
      <c r="L65">
        <v>1879.61</v>
      </c>
      <c r="M65">
        <v>0</v>
      </c>
      <c r="N65">
        <v>84.5</v>
      </c>
      <c r="O65">
        <v>45</v>
      </c>
      <c r="P65" s="1">
        <v>45717</v>
      </c>
      <c r="Q65" s="1">
        <v>45762</v>
      </c>
      <c r="R65">
        <v>1</v>
      </c>
      <c r="S65">
        <v>1</v>
      </c>
      <c r="T65">
        <v>96.9</v>
      </c>
      <c r="U65">
        <v>1</v>
      </c>
    </row>
    <row r="66" spans="1:21" x14ac:dyDescent="0.3">
      <c r="A66">
        <v>182627</v>
      </c>
      <c r="B66">
        <v>4586084</v>
      </c>
      <c r="C66">
        <v>7439</v>
      </c>
      <c r="D66" t="s">
        <v>225</v>
      </c>
      <c r="E66" t="s">
        <v>2</v>
      </c>
      <c r="F66">
        <v>2011</v>
      </c>
      <c r="G66" t="s">
        <v>78</v>
      </c>
      <c r="H66" t="s">
        <v>166</v>
      </c>
      <c r="I66">
        <v>21242892</v>
      </c>
      <c r="J66">
        <v>500000</v>
      </c>
      <c r="K66">
        <v>1000</v>
      </c>
      <c r="L66">
        <v>1846.32</v>
      </c>
      <c r="M66">
        <v>0</v>
      </c>
      <c r="N66">
        <v>74.7</v>
      </c>
      <c r="O66">
        <v>45</v>
      </c>
      <c r="P66" s="1">
        <v>45944</v>
      </c>
      <c r="Q66" s="1">
        <v>45989</v>
      </c>
      <c r="R66">
        <v>0</v>
      </c>
      <c r="S66">
        <v>0</v>
      </c>
      <c r="T66">
        <v>78.099999999999994</v>
      </c>
      <c r="U66">
        <v>0</v>
      </c>
    </row>
    <row r="67" spans="1:21" x14ac:dyDescent="0.3">
      <c r="A67">
        <v>678856</v>
      </c>
      <c r="B67">
        <v>7728339</v>
      </c>
      <c r="C67">
        <v>8892</v>
      </c>
      <c r="D67" t="s">
        <v>57</v>
      </c>
      <c r="E67" t="s">
        <v>2</v>
      </c>
      <c r="F67">
        <v>2025</v>
      </c>
      <c r="G67" t="s">
        <v>103</v>
      </c>
      <c r="H67" t="s">
        <v>232</v>
      </c>
      <c r="I67">
        <v>29680808</v>
      </c>
      <c r="J67">
        <v>1000000</v>
      </c>
      <c r="K67">
        <v>2500</v>
      </c>
      <c r="L67">
        <v>2053.7199999999998</v>
      </c>
      <c r="M67">
        <v>0</v>
      </c>
      <c r="N67">
        <v>85.8</v>
      </c>
      <c r="O67">
        <v>45</v>
      </c>
      <c r="P67" s="1">
        <v>45926</v>
      </c>
      <c r="Q67" s="1">
        <v>45971</v>
      </c>
      <c r="R67">
        <v>0</v>
      </c>
      <c r="S67">
        <v>0</v>
      </c>
      <c r="T67">
        <v>75</v>
      </c>
      <c r="U67">
        <v>0</v>
      </c>
    </row>
    <row r="68" spans="1:21" x14ac:dyDescent="0.3">
      <c r="A68">
        <v>407419</v>
      </c>
      <c r="B68">
        <v>1983738</v>
      </c>
      <c r="C68">
        <v>7863</v>
      </c>
      <c r="D68" t="s">
        <v>84</v>
      </c>
      <c r="E68" t="s">
        <v>80</v>
      </c>
      <c r="F68">
        <v>2024</v>
      </c>
      <c r="G68" t="s">
        <v>86</v>
      </c>
      <c r="H68" t="s">
        <v>243</v>
      </c>
      <c r="I68">
        <v>20899411</v>
      </c>
      <c r="J68">
        <v>1000000</v>
      </c>
      <c r="K68">
        <v>10000</v>
      </c>
      <c r="L68">
        <v>1558.14</v>
      </c>
      <c r="M68">
        <v>0</v>
      </c>
      <c r="N68">
        <v>77.7</v>
      </c>
      <c r="O68">
        <v>30</v>
      </c>
      <c r="P68" s="1">
        <v>45798</v>
      </c>
      <c r="Q68" s="1">
        <v>45828</v>
      </c>
      <c r="R68">
        <v>0</v>
      </c>
      <c r="S68">
        <v>1</v>
      </c>
      <c r="T68">
        <v>76.400000000000006</v>
      </c>
      <c r="U68">
        <v>0</v>
      </c>
    </row>
    <row r="69" spans="1:21" x14ac:dyDescent="0.3">
      <c r="A69">
        <v>969693</v>
      </c>
      <c r="B69">
        <v>3762152</v>
      </c>
      <c r="C69">
        <v>8916</v>
      </c>
      <c r="D69" t="s">
        <v>101</v>
      </c>
      <c r="E69" t="s">
        <v>63</v>
      </c>
      <c r="F69">
        <v>2019</v>
      </c>
      <c r="G69" t="s">
        <v>121</v>
      </c>
      <c r="H69" t="s">
        <v>143</v>
      </c>
      <c r="I69">
        <v>22545556</v>
      </c>
      <c r="J69">
        <v>2000000</v>
      </c>
      <c r="K69">
        <v>1000</v>
      </c>
      <c r="L69">
        <v>1732.33</v>
      </c>
      <c r="M69">
        <v>1</v>
      </c>
      <c r="N69">
        <v>77.900000000000006</v>
      </c>
      <c r="O69">
        <v>45</v>
      </c>
      <c r="P69" s="1">
        <v>45667</v>
      </c>
      <c r="Q69" s="1">
        <v>45712</v>
      </c>
      <c r="R69">
        <v>1</v>
      </c>
      <c r="S69">
        <v>1</v>
      </c>
      <c r="T69">
        <v>81.3</v>
      </c>
      <c r="U69">
        <v>1</v>
      </c>
    </row>
    <row r="70" spans="1:21" x14ac:dyDescent="0.3">
      <c r="A70">
        <v>759176</v>
      </c>
      <c r="B70">
        <v>7358113</v>
      </c>
      <c r="C70">
        <v>9529</v>
      </c>
      <c r="D70" t="s">
        <v>142</v>
      </c>
      <c r="E70" t="s">
        <v>63</v>
      </c>
      <c r="F70">
        <v>2020</v>
      </c>
      <c r="G70" t="s">
        <v>176</v>
      </c>
      <c r="H70" t="s">
        <v>292</v>
      </c>
      <c r="I70">
        <v>22503120</v>
      </c>
      <c r="J70">
        <v>2000000</v>
      </c>
      <c r="K70">
        <v>10000</v>
      </c>
      <c r="L70">
        <v>1508.17</v>
      </c>
      <c r="M70">
        <v>0</v>
      </c>
      <c r="N70">
        <v>86.9</v>
      </c>
      <c r="O70">
        <v>60</v>
      </c>
      <c r="P70" s="1">
        <v>45964</v>
      </c>
      <c r="Q70" s="1">
        <v>46024</v>
      </c>
      <c r="R70">
        <v>0</v>
      </c>
      <c r="S70">
        <v>0</v>
      </c>
      <c r="T70">
        <v>72.099999999999994</v>
      </c>
      <c r="U70">
        <v>0</v>
      </c>
    </row>
    <row r="71" spans="1:21" x14ac:dyDescent="0.3">
      <c r="A71">
        <v>748564</v>
      </c>
      <c r="B71">
        <v>1036161</v>
      </c>
      <c r="C71">
        <v>1878</v>
      </c>
      <c r="D71" t="s">
        <v>126</v>
      </c>
      <c r="E71" t="s">
        <v>63</v>
      </c>
      <c r="F71">
        <v>2017</v>
      </c>
      <c r="G71" t="s">
        <v>86</v>
      </c>
      <c r="H71" t="s">
        <v>108</v>
      </c>
      <c r="I71">
        <v>29442881</v>
      </c>
      <c r="J71">
        <v>1000000</v>
      </c>
      <c r="K71">
        <v>2500</v>
      </c>
      <c r="L71">
        <v>1348.44</v>
      </c>
      <c r="M71">
        <v>0</v>
      </c>
      <c r="N71">
        <v>82.1</v>
      </c>
      <c r="O71">
        <v>90</v>
      </c>
      <c r="P71" s="1">
        <v>45662</v>
      </c>
      <c r="Q71" s="1">
        <v>45752</v>
      </c>
      <c r="R71">
        <v>0</v>
      </c>
      <c r="S71">
        <v>0</v>
      </c>
      <c r="T71">
        <v>73.7</v>
      </c>
      <c r="U71">
        <v>0</v>
      </c>
    </row>
    <row r="72" spans="1:21" x14ac:dyDescent="0.3">
      <c r="A72">
        <v>479201</v>
      </c>
      <c r="B72">
        <v>7550190</v>
      </c>
      <c r="C72">
        <v>5887</v>
      </c>
      <c r="D72" t="s">
        <v>106</v>
      </c>
      <c r="E72" t="s">
        <v>112</v>
      </c>
      <c r="F72">
        <v>2009</v>
      </c>
      <c r="G72" t="s">
        <v>150</v>
      </c>
      <c r="H72" t="s">
        <v>151</v>
      </c>
      <c r="I72">
        <v>25097514</v>
      </c>
      <c r="J72">
        <v>1000000</v>
      </c>
      <c r="K72">
        <v>5000</v>
      </c>
      <c r="L72">
        <v>1672.77</v>
      </c>
      <c r="M72">
        <v>0</v>
      </c>
      <c r="N72">
        <v>78.099999999999994</v>
      </c>
      <c r="O72">
        <v>60</v>
      </c>
      <c r="P72" s="1">
        <v>45914</v>
      </c>
      <c r="Q72" s="1">
        <v>45974</v>
      </c>
      <c r="R72">
        <v>0</v>
      </c>
      <c r="S72">
        <v>1</v>
      </c>
      <c r="T72">
        <v>80.099999999999994</v>
      </c>
      <c r="U72">
        <v>0</v>
      </c>
    </row>
    <row r="73" spans="1:21" x14ac:dyDescent="0.3">
      <c r="A73">
        <v>705397</v>
      </c>
      <c r="B73">
        <v>5449368</v>
      </c>
      <c r="C73">
        <v>5859</v>
      </c>
      <c r="D73" t="s">
        <v>84</v>
      </c>
      <c r="E73" t="s">
        <v>2</v>
      </c>
      <c r="F73">
        <v>2016</v>
      </c>
      <c r="G73" t="s">
        <v>78</v>
      </c>
      <c r="H73" t="s">
        <v>222</v>
      </c>
      <c r="I73">
        <v>21429098</v>
      </c>
      <c r="J73">
        <v>5000000</v>
      </c>
      <c r="K73">
        <v>5000</v>
      </c>
      <c r="L73">
        <v>2023.6</v>
      </c>
      <c r="M73">
        <v>0</v>
      </c>
      <c r="N73">
        <v>81</v>
      </c>
      <c r="O73">
        <v>30</v>
      </c>
      <c r="P73" s="1">
        <v>46012</v>
      </c>
      <c r="Q73" s="1">
        <v>46042</v>
      </c>
      <c r="R73">
        <v>0</v>
      </c>
      <c r="S73">
        <v>1</v>
      </c>
      <c r="T73">
        <v>99.9</v>
      </c>
      <c r="U73">
        <v>0</v>
      </c>
    </row>
    <row r="74" spans="1:21" x14ac:dyDescent="0.3">
      <c r="A74">
        <v>301629</v>
      </c>
      <c r="B74">
        <v>8633773</v>
      </c>
      <c r="C74">
        <v>7331</v>
      </c>
      <c r="D74" t="s">
        <v>84</v>
      </c>
      <c r="E74" t="s">
        <v>112</v>
      </c>
      <c r="F74">
        <v>2023</v>
      </c>
      <c r="G74" t="s">
        <v>170</v>
      </c>
      <c r="H74" t="s">
        <v>221</v>
      </c>
      <c r="I74">
        <v>24163953</v>
      </c>
      <c r="J74">
        <v>1000000</v>
      </c>
      <c r="K74">
        <v>2500</v>
      </c>
      <c r="L74">
        <v>2249.83</v>
      </c>
      <c r="M74">
        <v>3</v>
      </c>
      <c r="N74">
        <v>69.2</v>
      </c>
      <c r="O74">
        <v>60</v>
      </c>
      <c r="P74" s="1">
        <v>45817</v>
      </c>
      <c r="Q74" s="1">
        <v>45877</v>
      </c>
      <c r="R74">
        <v>0</v>
      </c>
      <c r="S74">
        <v>1</v>
      </c>
      <c r="T74">
        <v>98.6</v>
      </c>
      <c r="U74">
        <v>0</v>
      </c>
    </row>
    <row r="75" spans="1:21" x14ac:dyDescent="0.3">
      <c r="A75">
        <v>838797</v>
      </c>
      <c r="B75">
        <v>5785687</v>
      </c>
      <c r="C75">
        <v>9571</v>
      </c>
      <c r="D75" t="s">
        <v>101</v>
      </c>
      <c r="E75" t="s">
        <v>63</v>
      </c>
      <c r="F75">
        <v>2008</v>
      </c>
      <c r="G75" t="s">
        <v>86</v>
      </c>
      <c r="H75" t="s">
        <v>243</v>
      </c>
      <c r="I75">
        <v>21987287</v>
      </c>
      <c r="J75">
        <v>1000000</v>
      </c>
      <c r="K75">
        <v>5000</v>
      </c>
      <c r="L75">
        <v>1401.56</v>
      </c>
      <c r="M75">
        <v>0</v>
      </c>
      <c r="N75">
        <v>78.7</v>
      </c>
      <c r="O75">
        <v>60</v>
      </c>
      <c r="P75" s="1">
        <v>45743</v>
      </c>
      <c r="Q75" s="1">
        <v>45803</v>
      </c>
      <c r="R75">
        <v>1</v>
      </c>
      <c r="S75">
        <v>1</v>
      </c>
      <c r="T75">
        <v>92.2</v>
      </c>
      <c r="U75">
        <v>0</v>
      </c>
    </row>
    <row r="76" spans="1:21" x14ac:dyDescent="0.3">
      <c r="A76">
        <v>172933</v>
      </c>
      <c r="B76">
        <v>8096887</v>
      </c>
      <c r="C76">
        <v>9684</v>
      </c>
      <c r="D76" t="s">
        <v>101</v>
      </c>
      <c r="E76" t="s">
        <v>63</v>
      </c>
      <c r="F76">
        <v>2016</v>
      </c>
      <c r="G76" t="s">
        <v>116</v>
      </c>
      <c r="H76" t="s">
        <v>117</v>
      </c>
      <c r="I76">
        <v>29362911</v>
      </c>
      <c r="J76">
        <v>500000</v>
      </c>
      <c r="K76">
        <v>5000</v>
      </c>
      <c r="L76">
        <v>1335.39</v>
      </c>
      <c r="M76">
        <v>0</v>
      </c>
      <c r="N76">
        <v>79.7</v>
      </c>
      <c r="O76">
        <v>60</v>
      </c>
      <c r="P76" s="1">
        <v>45915</v>
      </c>
      <c r="Q76" s="1">
        <v>45975</v>
      </c>
      <c r="R76">
        <v>0</v>
      </c>
      <c r="S76">
        <v>0</v>
      </c>
      <c r="T76">
        <v>73.5</v>
      </c>
      <c r="U76">
        <v>1</v>
      </c>
    </row>
    <row r="77" spans="1:21" x14ac:dyDescent="0.3">
      <c r="A77">
        <v>148050</v>
      </c>
      <c r="B77">
        <v>9164991</v>
      </c>
      <c r="C77">
        <v>8208</v>
      </c>
      <c r="D77" t="s">
        <v>106</v>
      </c>
      <c r="E77" t="s">
        <v>63</v>
      </c>
      <c r="F77">
        <v>2017</v>
      </c>
      <c r="G77" t="s">
        <v>70</v>
      </c>
      <c r="H77" t="s">
        <v>152</v>
      </c>
      <c r="I77">
        <v>26982241</v>
      </c>
      <c r="J77">
        <v>2000000</v>
      </c>
      <c r="K77">
        <v>2500</v>
      </c>
      <c r="L77">
        <v>1500.83</v>
      </c>
      <c r="M77">
        <v>0</v>
      </c>
      <c r="N77">
        <v>96.4</v>
      </c>
      <c r="O77">
        <v>45</v>
      </c>
      <c r="P77" s="1">
        <v>45956</v>
      </c>
      <c r="Q77" s="1">
        <v>46001</v>
      </c>
      <c r="R77">
        <v>0</v>
      </c>
      <c r="S77">
        <v>1</v>
      </c>
      <c r="T77">
        <v>86.5</v>
      </c>
      <c r="U77">
        <v>0</v>
      </c>
    </row>
    <row r="78" spans="1:21" x14ac:dyDescent="0.3">
      <c r="A78">
        <v>793384</v>
      </c>
      <c r="B78">
        <v>3597059</v>
      </c>
      <c r="C78">
        <v>6276</v>
      </c>
      <c r="D78" t="s">
        <v>185</v>
      </c>
      <c r="E78" t="s">
        <v>63</v>
      </c>
      <c r="F78">
        <v>2019</v>
      </c>
      <c r="G78" t="s">
        <v>109</v>
      </c>
      <c r="H78" t="s">
        <v>161</v>
      </c>
      <c r="I78">
        <v>23786401</v>
      </c>
      <c r="J78">
        <v>2000000</v>
      </c>
      <c r="K78">
        <v>1000</v>
      </c>
      <c r="L78">
        <v>1877.5</v>
      </c>
      <c r="M78">
        <v>1</v>
      </c>
      <c r="N78">
        <v>83</v>
      </c>
      <c r="O78">
        <v>45</v>
      </c>
      <c r="P78" s="1">
        <v>45857</v>
      </c>
      <c r="Q78" s="1">
        <v>45902</v>
      </c>
      <c r="R78">
        <v>0</v>
      </c>
      <c r="S78">
        <v>0</v>
      </c>
      <c r="T78">
        <v>66.3</v>
      </c>
      <c r="U78">
        <v>0</v>
      </c>
    </row>
    <row r="79" spans="1:21" x14ac:dyDescent="0.3">
      <c r="A79">
        <v>338968</v>
      </c>
      <c r="B79">
        <v>4185957</v>
      </c>
      <c r="C79">
        <v>3062</v>
      </c>
      <c r="D79" t="s">
        <v>92</v>
      </c>
      <c r="E79" t="s">
        <v>2</v>
      </c>
      <c r="F79">
        <v>2025</v>
      </c>
      <c r="G79" t="s">
        <v>150</v>
      </c>
      <c r="H79" t="s">
        <v>151</v>
      </c>
      <c r="I79">
        <v>28767312</v>
      </c>
      <c r="J79">
        <v>1000000</v>
      </c>
      <c r="K79">
        <v>2500</v>
      </c>
      <c r="L79">
        <v>1771.9</v>
      </c>
      <c r="M79">
        <v>0</v>
      </c>
      <c r="N79">
        <v>79.3</v>
      </c>
      <c r="O79">
        <v>45</v>
      </c>
      <c r="P79" s="1">
        <v>46010</v>
      </c>
      <c r="Q79" s="1">
        <v>46055</v>
      </c>
      <c r="R79">
        <v>0</v>
      </c>
      <c r="S79">
        <v>1</v>
      </c>
      <c r="T79">
        <v>88.5</v>
      </c>
      <c r="U79">
        <v>1</v>
      </c>
    </row>
    <row r="80" spans="1:21" x14ac:dyDescent="0.3">
      <c r="A80">
        <v>910620</v>
      </c>
      <c r="B80">
        <v>5977931</v>
      </c>
      <c r="C80">
        <v>1064</v>
      </c>
      <c r="D80" t="s">
        <v>101</v>
      </c>
      <c r="E80" t="s">
        <v>63</v>
      </c>
      <c r="F80">
        <v>2016</v>
      </c>
      <c r="G80" t="s">
        <v>93</v>
      </c>
      <c r="H80" t="s">
        <v>290</v>
      </c>
      <c r="I80">
        <v>26381684</v>
      </c>
      <c r="J80">
        <v>500000</v>
      </c>
      <c r="K80">
        <v>5000</v>
      </c>
      <c r="L80">
        <v>1452.91</v>
      </c>
      <c r="M80">
        <v>0</v>
      </c>
      <c r="N80">
        <v>88.3</v>
      </c>
      <c r="O80">
        <v>30</v>
      </c>
      <c r="P80" s="1">
        <v>45676</v>
      </c>
      <c r="Q80" s="1">
        <v>45706</v>
      </c>
      <c r="R80">
        <v>1</v>
      </c>
      <c r="S80">
        <v>0</v>
      </c>
      <c r="T80">
        <v>74.8</v>
      </c>
      <c r="U80">
        <v>0</v>
      </c>
    </row>
    <row r="81" spans="1:21" x14ac:dyDescent="0.3">
      <c r="A81">
        <v>403445</v>
      </c>
      <c r="B81">
        <v>4652414</v>
      </c>
      <c r="C81">
        <v>9006</v>
      </c>
      <c r="D81" t="s">
        <v>57</v>
      </c>
      <c r="E81" t="s">
        <v>63</v>
      </c>
      <c r="F81">
        <v>2016</v>
      </c>
      <c r="G81" t="s">
        <v>200</v>
      </c>
      <c r="H81" t="s">
        <v>275</v>
      </c>
      <c r="I81">
        <v>27558378</v>
      </c>
      <c r="J81">
        <v>2000000</v>
      </c>
      <c r="K81">
        <v>5000</v>
      </c>
      <c r="L81">
        <v>1619.47</v>
      </c>
      <c r="M81">
        <v>0</v>
      </c>
      <c r="N81">
        <v>79</v>
      </c>
      <c r="O81">
        <v>45</v>
      </c>
      <c r="P81" s="1">
        <v>45842</v>
      </c>
      <c r="Q81" s="1">
        <v>45887</v>
      </c>
      <c r="R81">
        <v>0</v>
      </c>
      <c r="S81">
        <v>1</v>
      </c>
      <c r="T81">
        <v>79.3</v>
      </c>
      <c r="U81">
        <v>0</v>
      </c>
    </row>
    <row r="82" spans="1:21" x14ac:dyDescent="0.3">
      <c r="A82">
        <v>183667</v>
      </c>
      <c r="B82">
        <v>1981186</v>
      </c>
      <c r="C82">
        <v>3568</v>
      </c>
      <c r="D82" t="s">
        <v>142</v>
      </c>
      <c r="E82" t="s">
        <v>80</v>
      </c>
      <c r="F82">
        <v>2022</v>
      </c>
      <c r="G82" t="s">
        <v>116</v>
      </c>
      <c r="H82" t="s">
        <v>117</v>
      </c>
      <c r="I82">
        <v>27427625</v>
      </c>
      <c r="J82">
        <v>2000000</v>
      </c>
      <c r="K82">
        <v>5000</v>
      </c>
      <c r="L82">
        <v>1720.44</v>
      </c>
      <c r="M82">
        <v>1</v>
      </c>
      <c r="N82">
        <v>88.6</v>
      </c>
      <c r="O82">
        <v>45</v>
      </c>
      <c r="P82" s="1">
        <v>45920</v>
      </c>
      <c r="Q82" s="1">
        <v>45965</v>
      </c>
      <c r="R82">
        <v>0</v>
      </c>
      <c r="S82">
        <v>1</v>
      </c>
      <c r="T82">
        <v>90.3</v>
      </c>
      <c r="U82">
        <v>0</v>
      </c>
    </row>
    <row r="83" spans="1:21" x14ac:dyDescent="0.3">
      <c r="A83">
        <v>996865</v>
      </c>
      <c r="B83">
        <v>2022698</v>
      </c>
      <c r="C83">
        <v>6463</v>
      </c>
      <c r="D83" t="s">
        <v>126</v>
      </c>
      <c r="E83" t="s">
        <v>63</v>
      </c>
      <c r="F83">
        <v>2018</v>
      </c>
      <c r="G83" t="s">
        <v>150</v>
      </c>
      <c r="H83" t="s">
        <v>159</v>
      </c>
      <c r="I83">
        <v>24988757</v>
      </c>
      <c r="J83">
        <v>1000000</v>
      </c>
      <c r="K83">
        <v>2500</v>
      </c>
      <c r="L83">
        <v>1504.28</v>
      </c>
      <c r="M83">
        <v>0</v>
      </c>
      <c r="N83">
        <v>85.3</v>
      </c>
      <c r="O83">
        <v>45</v>
      </c>
      <c r="P83" s="1">
        <v>45972</v>
      </c>
      <c r="Q83" s="1">
        <v>46017</v>
      </c>
      <c r="R83">
        <v>0</v>
      </c>
      <c r="S83">
        <v>1</v>
      </c>
      <c r="T83">
        <v>86.9</v>
      </c>
      <c r="U83">
        <v>0</v>
      </c>
    </row>
    <row r="84" spans="1:21" x14ac:dyDescent="0.3">
      <c r="A84">
        <v>344098</v>
      </c>
      <c r="B84">
        <v>6261415</v>
      </c>
      <c r="C84">
        <v>3027</v>
      </c>
      <c r="D84" t="s">
        <v>57</v>
      </c>
      <c r="E84" t="s">
        <v>63</v>
      </c>
      <c r="F84">
        <v>2014</v>
      </c>
      <c r="G84" t="s">
        <v>109</v>
      </c>
      <c r="H84" t="s">
        <v>198</v>
      </c>
      <c r="I84">
        <v>29873813</v>
      </c>
      <c r="J84">
        <v>5000000</v>
      </c>
      <c r="K84">
        <v>5000</v>
      </c>
      <c r="L84">
        <v>1322.51</v>
      </c>
      <c r="M84">
        <v>0</v>
      </c>
      <c r="N84">
        <v>81</v>
      </c>
      <c r="O84">
        <v>60</v>
      </c>
      <c r="P84" s="1">
        <v>45723</v>
      </c>
      <c r="Q84" s="1">
        <v>45783</v>
      </c>
      <c r="R84">
        <v>0</v>
      </c>
      <c r="S84">
        <v>1</v>
      </c>
      <c r="T84">
        <v>74.599999999999994</v>
      </c>
      <c r="U84">
        <v>0</v>
      </c>
    </row>
    <row r="85" spans="1:21" x14ac:dyDescent="0.3">
      <c r="A85">
        <v>205907</v>
      </c>
      <c r="B85">
        <v>1959074</v>
      </c>
      <c r="C85">
        <v>3695</v>
      </c>
      <c r="D85" t="s">
        <v>84</v>
      </c>
      <c r="E85" t="s">
        <v>112</v>
      </c>
      <c r="F85">
        <v>2018</v>
      </c>
      <c r="G85" t="s">
        <v>134</v>
      </c>
      <c r="H85" t="s">
        <v>248</v>
      </c>
      <c r="I85">
        <v>27194570</v>
      </c>
      <c r="J85">
        <v>500000</v>
      </c>
      <c r="K85">
        <v>1000</v>
      </c>
      <c r="L85">
        <v>1801.4</v>
      </c>
      <c r="M85">
        <v>0</v>
      </c>
      <c r="N85">
        <v>86</v>
      </c>
      <c r="O85">
        <v>45</v>
      </c>
      <c r="P85" s="1">
        <v>45950</v>
      </c>
      <c r="Q85" s="1">
        <v>45995</v>
      </c>
      <c r="R85">
        <v>0</v>
      </c>
      <c r="S85">
        <v>1</v>
      </c>
      <c r="T85">
        <v>82</v>
      </c>
      <c r="U85">
        <v>0</v>
      </c>
    </row>
    <row r="86" spans="1:21" x14ac:dyDescent="0.3">
      <c r="A86">
        <v>498591</v>
      </c>
      <c r="B86">
        <v>1841248</v>
      </c>
      <c r="C86">
        <v>6258</v>
      </c>
      <c r="D86" t="s">
        <v>84</v>
      </c>
      <c r="E86" t="s">
        <v>63</v>
      </c>
      <c r="F86">
        <v>2012</v>
      </c>
      <c r="G86" t="s">
        <v>93</v>
      </c>
      <c r="H86" t="s">
        <v>94</v>
      </c>
      <c r="I86">
        <v>25123430</v>
      </c>
      <c r="J86">
        <v>1000000</v>
      </c>
      <c r="K86">
        <v>2500</v>
      </c>
      <c r="L86">
        <v>1607.54</v>
      </c>
      <c r="M86">
        <v>1</v>
      </c>
      <c r="N86">
        <v>63.9</v>
      </c>
      <c r="O86">
        <v>30</v>
      </c>
      <c r="P86" s="1">
        <v>45859</v>
      </c>
      <c r="Q86" s="1">
        <v>45889</v>
      </c>
      <c r="R86">
        <v>0</v>
      </c>
      <c r="S86">
        <v>0</v>
      </c>
      <c r="T86">
        <v>70.099999999999994</v>
      </c>
      <c r="U86">
        <v>0</v>
      </c>
    </row>
    <row r="87" spans="1:21" x14ac:dyDescent="0.3">
      <c r="A87">
        <v>391476</v>
      </c>
      <c r="B87">
        <v>8999183</v>
      </c>
      <c r="C87">
        <v>6618</v>
      </c>
      <c r="D87" t="s">
        <v>92</v>
      </c>
      <c r="E87" t="s">
        <v>2</v>
      </c>
      <c r="F87">
        <v>2013</v>
      </c>
      <c r="G87" t="s">
        <v>86</v>
      </c>
      <c r="H87" t="s">
        <v>108</v>
      </c>
      <c r="I87">
        <v>29540019</v>
      </c>
      <c r="J87">
        <v>5000000</v>
      </c>
      <c r="K87">
        <v>1000</v>
      </c>
      <c r="L87">
        <v>2378.29</v>
      </c>
      <c r="M87">
        <v>2</v>
      </c>
      <c r="N87">
        <v>63.9</v>
      </c>
      <c r="O87">
        <v>90</v>
      </c>
      <c r="P87" s="1">
        <v>45802</v>
      </c>
      <c r="Q87" s="1">
        <v>45892</v>
      </c>
      <c r="R87">
        <v>0</v>
      </c>
      <c r="S87">
        <v>1</v>
      </c>
      <c r="T87">
        <v>99.9</v>
      </c>
      <c r="U87">
        <v>1</v>
      </c>
    </row>
    <row r="88" spans="1:21" x14ac:dyDescent="0.3">
      <c r="A88">
        <v>575435</v>
      </c>
      <c r="B88">
        <v>9436429</v>
      </c>
      <c r="C88">
        <v>7736</v>
      </c>
      <c r="D88" t="s">
        <v>225</v>
      </c>
      <c r="E88" t="s">
        <v>80</v>
      </c>
      <c r="F88">
        <v>2019</v>
      </c>
      <c r="G88" t="s">
        <v>86</v>
      </c>
      <c r="H88" t="s">
        <v>253</v>
      </c>
      <c r="I88">
        <v>21010496</v>
      </c>
      <c r="J88">
        <v>1000000</v>
      </c>
      <c r="K88">
        <v>1000</v>
      </c>
      <c r="L88">
        <v>1692.49</v>
      </c>
      <c r="M88">
        <v>0</v>
      </c>
      <c r="N88">
        <v>71.3</v>
      </c>
      <c r="O88">
        <v>90</v>
      </c>
      <c r="P88" s="1">
        <v>45706</v>
      </c>
      <c r="Q88" s="1">
        <v>45796</v>
      </c>
      <c r="R88">
        <v>0</v>
      </c>
      <c r="S88">
        <v>1</v>
      </c>
      <c r="T88">
        <v>91.9</v>
      </c>
      <c r="U88">
        <v>0</v>
      </c>
    </row>
    <row r="89" spans="1:21" x14ac:dyDescent="0.3">
      <c r="A89">
        <v>766563</v>
      </c>
      <c r="B89">
        <v>9910817</v>
      </c>
      <c r="C89">
        <v>1391</v>
      </c>
      <c r="D89" t="s">
        <v>185</v>
      </c>
      <c r="E89" t="s">
        <v>80</v>
      </c>
      <c r="F89">
        <v>2017</v>
      </c>
      <c r="G89" t="s">
        <v>150</v>
      </c>
      <c r="H89" t="s">
        <v>311</v>
      </c>
      <c r="I89">
        <v>21664863</v>
      </c>
      <c r="J89">
        <v>2000000</v>
      </c>
      <c r="K89">
        <v>2500</v>
      </c>
      <c r="L89">
        <v>1860.75</v>
      </c>
      <c r="M89">
        <v>0</v>
      </c>
      <c r="N89">
        <v>83.3</v>
      </c>
      <c r="O89">
        <v>60</v>
      </c>
      <c r="P89" s="1">
        <v>45973</v>
      </c>
      <c r="Q89" s="1">
        <v>46033</v>
      </c>
      <c r="R89">
        <v>0</v>
      </c>
      <c r="S89">
        <v>0</v>
      </c>
      <c r="T89">
        <v>63.7</v>
      </c>
      <c r="U89">
        <v>0</v>
      </c>
    </row>
    <row r="90" spans="1:21" x14ac:dyDescent="0.3">
      <c r="A90">
        <v>974628</v>
      </c>
      <c r="B90">
        <v>3641282</v>
      </c>
      <c r="C90">
        <v>6892</v>
      </c>
      <c r="D90" t="s">
        <v>57</v>
      </c>
      <c r="E90" t="s">
        <v>63</v>
      </c>
      <c r="F90">
        <v>2024</v>
      </c>
      <c r="G90" t="s">
        <v>170</v>
      </c>
      <c r="H90" t="s">
        <v>183</v>
      </c>
      <c r="I90">
        <v>23486102</v>
      </c>
      <c r="J90">
        <v>1000000</v>
      </c>
      <c r="K90">
        <v>2500</v>
      </c>
      <c r="L90">
        <v>1519.56</v>
      </c>
      <c r="M90">
        <v>0</v>
      </c>
      <c r="N90">
        <v>97.6</v>
      </c>
      <c r="O90">
        <v>90</v>
      </c>
      <c r="P90" s="1">
        <v>45715</v>
      </c>
      <c r="Q90" s="1">
        <v>45805</v>
      </c>
      <c r="R90">
        <v>0</v>
      </c>
      <c r="S90">
        <v>1</v>
      </c>
      <c r="T90">
        <v>91.4</v>
      </c>
      <c r="U90">
        <v>0</v>
      </c>
    </row>
    <row r="91" spans="1:21" x14ac:dyDescent="0.3">
      <c r="A91">
        <v>482554</v>
      </c>
      <c r="B91">
        <v>1954280</v>
      </c>
      <c r="C91">
        <v>4561</v>
      </c>
      <c r="D91" t="s">
        <v>84</v>
      </c>
      <c r="E91" t="s">
        <v>80</v>
      </c>
      <c r="F91">
        <v>2016</v>
      </c>
      <c r="G91" t="s">
        <v>170</v>
      </c>
      <c r="H91" t="s">
        <v>171</v>
      </c>
      <c r="I91">
        <v>23540415</v>
      </c>
      <c r="J91">
        <v>1000000</v>
      </c>
      <c r="K91">
        <v>2500</v>
      </c>
      <c r="L91">
        <v>1769.1</v>
      </c>
      <c r="M91">
        <v>1</v>
      </c>
      <c r="N91">
        <v>98.1</v>
      </c>
      <c r="O91">
        <v>45</v>
      </c>
      <c r="P91" s="1">
        <v>45771</v>
      </c>
      <c r="Q91" s="1">
        <v>45816</v>
      </c>
      <c r="R91">
        <v>0</v>
      </c>
      <c r="S91">
        <v>1</v>
      </c>
      <c r="T91">
        <v>77.2</v>
      </c>
      <c r="U91">
        <v>0</v>
      </c>
    </row>
    <row r="92" spans="1:21" x14ac:dyDescent="0.3">
      <c r="A92">
        <v>270555</v>
      </c>
      <c r="B92">
        <v>9519948</v>
      </c>
      <c r="C92">
        <v>7184</v>
      </c>
      <c r="D92" t="s">
        <v>84</v>
      </c>
      <c r="E92" t="s">
        <v>63</v>
      </c>
      <c r="F92">
        <v>2020</v>
      </c>
      <c r="G92" t="s">
        <v>200</v>
      </c>
      <c r="H92" t="s">
        <v>161</v>
      </c>
      <c r="I92">
        <v>24440025</v>
      </c>
      <c r="J92">
        <v>5000000</v>
      </c>
      <c r="K92">
        <v>2500</v>
      </c>
      <c r="L92">
        <v>1653.33</v>
      </c>
      <c r="M92">
        <v>1</v>
      </c>
      <c r="N92">
        <v>83.7</v>
      </c>
      <c r="O92">
        <v>90</v>
      </c>
      <c r="P92" s="1">
        <v>45763</v>
      </c>
      <c r="Q92" s="1">
        <v>45853</v>
      </c>
      <c r="R92">
        <v>0</v>
      </c>
      <c r="S92">
        <v>1</v>
      </c>
      <c r="T92">
        <v>95.6</v>
      </c>
      <c r="U92">
        <v>1</v>
      </c>
    </row>
    <row r="93" spans="1:21" x14ac:dyDescent="0.3">
      <c r="A93">
        <v>488162</v>
      </c>
      <c r="B93">
        <v>2344047</v>
      </c>
      <c r="C93">
        <v>4099</v>
      </c>
      <c r="D93" t="s">
        <v>126</v>
      </c>
      <c r="E93" t="s">
        <v>63</v>
      </c>
      <c r="F93">
        <v>2021</v>
      </c>
      <c r="G93" t="s">
        <v>134</v>
      </c>
      <c r="H93" t="s">
        <v>248</v>
      </c>
      <c r="I93">
        <v>21362099</v>
      </c>
      <c r="J93">
        <v>1000000</v>
      </c>
      <c r="K93">
        <v>2500</v>
      </c>
      <c r="L93">
        <v>1407.62</v>
      </c>
      <c r="M93">
        <v>0</v>
      </c>
      <c r="N93">
        <v>86.5</v>
      </c>
      <c r="O93">
        <v>30</v>
      </c>
      <c r="P93" s="1">
        <v>45976</v>
      </c>
      <c r="Q93" s="1">
        <v>46006</v>
      </c>
      <c r="R93">
        <v>0</v>
      </c>
      <c r="S93">
        <v>1</v>
      </c>
      <c r="T93">
        <v>84.7</v>
      </c>
      <c r="U93">
        <v>0</v>
      </c>
    </row>
    <row r="94" spans="1:21" x14ac:dyDescent="0.3">
      <c r="A94">
        <v>472528</v>
      </c>
      <c r="B94">
        <v>4117625</v>
      </c>
      <c r="C94">
        <v>7278</v>
      </c>
      <c r="D94" t="s">
        <v>101</v>
      </c>
      <c r="E94" t="s">
        <v>63</v>
      </c>
      <c r="F94">
        <v>2008</v>
      </c>
      <c r="G94" t="s">
        <v>93</v>
      </c>
      <c r="H94" t="s">
        <v>95</v>
      </c>
      <c r="I94">
        <v>22634980</v>
      </c>
      <c r="J94">
        <v>3000000</v>
      </c>
      <c r="K94">
        <v>1000</v>
      </c>
      <c r="L94">
        <v>1490.62</v>
      </c>
      <c r="M94">
        <v>0</v>
      </c>
      <c r="N94">
        <v>65.8</v>
      </c>
      <c r="O94">
        <v>45</v>
      </c>
      <c r="P94" s="1">
        <v>45903</v>
      </c>
      <c r="Q94" s="1">
        <v>45948</v>
      </c>
      <c r="R94">
        <v>0</v>
      </c>
      <c r="S94">
        <v>1</v>
      </c>
      <c r="T94">
        <v>87.3</v>
      </c>
      <c r="U94">
        <v>0</v>
      </c>
    </row>
    <row r="95" spans="1:21" x14ac:dyDescent="0.3">
      <c r="A95">
        <v>319684</v>
      </c>
      <c r="B95">
        <v>2149597</v>
      </c>
      <c r="C95">
        <v>9392</v>
      </c>
      <c r="D95" t="s">
        <v>185</v>
      </c>
      <c r="E95" t="s">
        <v>215</v>
      </c>
      <c r="F95">
        <v>2021</v>
      </c>
      <c r="G95" t="s">
        <v>109</v>
      </c>
      <c r="H95" t="s">
        <v>110</v>
      </c>
      <c r="I95">
        <v>24024269</v>
      </c>
      <c r="J95">
        <v>1000000</v>
      </c>
      <c r="K95">
        <v>2500</v>
      </c>
      <c r="L95">
        <v>2344.5500000000002</v>
      </c>
      <c r="M95">
        <v>1</v>
      </c>
      <c r="N95">
        <v>73.099999999999994</v>
      </c>
      <c r="O95">
        <v>45</v>
      </c>
      <c r="P95" s="1">
        <v>45948</v>
      </c>
      <c r="Q95" s="1">
        <v>45993</v>
      </c>
      <c r="R95">
        <v>0</v>
      </c>
      <c r="S95">
        <v>1</v>
      </c>
      <c r="T95">
        <v>97.3</v>
      </c>
      <c r="U95">
        <v>0</v>
      </c>
    </row>
    <row r="96" spans="1:21" x14ac:dyDescent="0.3">
      <c r="A96">
        <v>802729</v>
      </c>
      <c r="B96">
        <v>2140194</v>
      </c>
      <c r="C96">
        <v>4104</v>
      </c>
      <c r="D96" t="s">
        <v>185</v>
      </c>
      <c r="E96" t="s">
        <v>63</v>
      </c>
      <c r="F96">
        <v>2013</v>
      </c>
      <c r="G96" t="s">
        <v>103</v>
      </c>
      <c r="H96" t="s">
        <v>232</v>
      </c>
      <c r="I96">
        <v>22916107</v>
      </c>
      <c r="J96">
        <v>500000</v>
      </c>
      <c r="K96">
        <v>1000</v>
      </c>
      <c r="L96">
        <v>1470.22</v>
      </c>
      <c r="M96">
        <v>0</v>
      </c>
      <c r="N96">
        <v>74.900000000000006</v>
      </c>
      <c r="O96">
        <v>30</v>
      </c>
      <c r="P96" s="1">
        <v>45749</v>
      </c>
      <c r="Q96" s="1">
        <v>45779</v>
      </c>
      <c r="R96">
        <v>0</v>
      </c>
      <c r="S96">
        <v>1</v>
      </c>
      <c r="T96">
        <v>79</v>
      </c>
      <c r="U96">
        <v>0</v>
      </c>
    </row>
    <row r="97" spans="1:21" x14ac:dyDescent="0.3">
      <c r="A97">
        <v>379946</v>
      </c>
      <c r="B97">
        <v>4946066</v>
      </c>
      <c r="C97">
        <v>8215</v>
      </c>
      <c r="D97" t="s">
        <v>126</v>
      </c>
      <c r="E97" t="s">
        <v>63</v>
      </c>
      <c r="F97">
        <v>2025</v>
      </c>
      <c r="G97" t="s">
        <v>86</v>
      </c>
      <c r="H97" t="s">
        <v>268</v>
      </c>
      <c r="I97">
        <v>29260893</v>
      </c>
      <c r="J97">
        <v>500000</v>
      </c>
      <c r="K97">
        <v>1000</v>
      </c>
      <c r="L97">
        <v>1608.11</v>
      </c>
      <c r="M97">
        <v>0</v>
      </c>
      <c r="N97">
        <v>76.400000000000006</v>
      </c>
      <c r="O97">
        <v>30</v>
      </c>
      <c r="P97" s="1">
        <v>45886</v>
      </c>
      <c r="Q97" s="1">
        <v>45916</v>
      </c>
      <c r="R97">
        <v>0</v>
      </c>
      <c r="S97">
        <v>1</v>
      </c>
      <c r="T97">
        <v>78.2</v>
      </c>
      <c r="U97">
        <v>0</v>
      </c>
    </row>
    <row r="98" spans="1:21" x14ac:dyDescent="0.3">
      <c r="A98">
        <v>835911</v>
      </c>
      <c r="B98">
        <v>7774229</v>
      </c>
      <c r="C98">
        <v>3454</v>
      </c>
      <c r="D98" t="s">
        <v>92</v>
      </c>
      <c r="E98" t="s">
        <v>2</v>
      </c>
      <c r="F98">
        <v>2012</v>
      </c>
      <c r="G98" t="s">
        <v>109</v>
      </c>
      <c r="H98" t="s">
        <v>193</v>
      </c>
      <c r="I98">
        <v>21259379</v>
      </c>
      <c r="J98">
        <v>2000000</v>
      </c>
      <c r="K98">
        <v>2500</v>
      </c>
      <c r="L98">
        <v>1779.21</v>
      </c>
      <c r="M98">
        <v>0</v>
      </c>
      <c r="N98">
        <v>80.5</v>
      </c>
      <c r="O98">
        <v>60</v>
      </c>
      <c r="P98" s="1">
        <v>45866</v>
      </c>
      <c r="Q98" s="1">
        <v>45926</v>
      </c>
      <c r="R98">
        <v>0</v>
      </c>
      <c r="S98">
        <v>1</v>
      </c>
      <c r="T98">
        <v>83.9</v>
      </c>
      <c r="U98">
        <v>0</v>
      </c>
    </row>
    <row r="99" spans="1:21" x14ac:dyDescent="0.3">
      <c r="A99">
        <v>816751</v>
      </c>
      <c r="B99">
        <v>3011363</v>
      </c>
      <c r="C99">
        <v>9996</v>
      </c>
      <c r="D99" t="s">
        <v>185</v>
      </c>
      <c r="E99" t="s">
        <v>63</v>
      </c>
      <c r="F99">
        <v>2017</v>
      </c>
      <c r="G99" t="s">
        <v>78</v>
      </c>
      <c r="H99" t="s">
        <v>79</v>
      </c>
      <c r="I99">
        <v>22626181</v>
      </c>
      <c r="J99">
        <v>1000000</v>
      </c>
      <c r="K99">
        <v>2500</v>
      </c>
      <c r="L99">
        <v>1586.79</v>
      </c>
      <c r="M99">
        <v>0</v>
      </c>
      <c r="N99">
        <v>77.8</v>
      </c>
      <c r="O99">
        <v>60</v>
      </c>
      <c r="P99" s="1">
        <v>45961</v>
      </c>
      <c r="Q99" s="1">
        <v>46021</v>
      </c>
      <c r="R99">
        <v>0</v>
      </c>
      <c r="S99">
        <v>1</v>
      </c>
      <c r="T99">
        <v>95.3</v>
      </c>
      <c r="U99">
        <v>0</v>
      </c>
    </row>
    <row r="100" spans="1:21" x14ac:dyDescent="0.3">
      <c r="A100">
        <v>779514</v>
      </c>
      <c r="B100">
        <v>5130808</v>
      </c>
      <c r="C100">
        <v>3731</v>
      </c>
      <c r="D100" t="s">
        <v>106</v>
      </c>
      <c r="E100" t="s">
        <v>63</v>
      </c>
      <c r="F100">
        <v>2010</v>
      </c>
      <c r="G100" t="s">
        <v>86</v>
      </c>
      <c r="H100" t="s">
        <v>253</v>
      </c>
      <c r="I100">
        <v>20044891</v>
      </c>
      <c r="J100">
        <v>3000000</v>
      </c>
      <c r="K100">
        <v>2500</v>
      </c>
      <c r="L100">
        <v>1788.05</v>
      </c>
      <c r="M100">
        <v>1</v>
      </c>
      <c r="N100">
        <v>60.2</v>
      </c>
      <c r="O100">
        <v>45</v>
      </c>
      <c r="P100" s="1">
        <v>45988</v>
      </c>
      <c r="Q100" s="1">
        <v>46033</v>
      </c>
      <c r="R100">
        <v>0</v>
      </c>
      <c r="S100">
        <v>0</v>
      </c>
      <c r="T100">
        <v>62.4</v>
      </c>
      <c r="U100">
        <v>0</v>
      </c>
    </row>
    <row r="101" spans="1:21" x14ac:dyDescent="0.3">
      <c r="A101">
        <v>174870</v>
      </c>
      <c r="B101">
        <v>1666754</v>
      </c>
      <c r="C101">
        <v>9154</v>
      </c>
      <c r="D101" t="s">
        <v>106</v>
      </c>
      <c r="E101" t="s">
        <v>63</v>
      </c>
      <c r="F101">
        <v>2025</v>
      </c>
      <c r="G101" t="s">
        <v>109</v>
      </c>
      <c r="H101" t="s">
        <v>118</v>
      </c>
      <c r="I101">
        <v>26853787</v>
      </c>
      <c r="J101">
        <v>1000000</v>
      </c>
      <c r="K101">
        <v>2500</v>
      </c>
      <c r="L101">
        <v>1435.83</v>
      </c>
      <c r="M101">
        <v>0</v>
      </c>
      <c r="N101">
        <v>88.7</v>
      </c>
      <c r="O101">
        <v>30</v>
      </c>
      <c r="P101" s="1">
        <v>45662</v>
      </c>
      <c r="Q101" s="1">
        <v>45692</v>
      </c>
      <c r="R101">
        <v>0</v>
      </c>
      <c r="S101">
        <v>1</v>
      </c>
      <c r="T101">
        <v>68.2</v>
      </c>
      <c r="U101">
        <v>0</v>
      </c>
    </row>
    <row r="102" spans="1:21" x14ac:dyDescent="0.3">
      <c r="A102">
        <v>738720</v>
      </c>
      <c r="B102">
        <v>2375453</v>
      </c>
      <c r="C102">
        <v>6056</v>
      </c>
      <c r="D102" t="s">
        <v>57</v>
      </c>
      <c r="E102" t="s">
        <v>63</v>
      </c>
      <c r="F102">
        <v>2019</v>
      </c>
      <c r="G102" t="s">
        <v>129</v>
      </c>
      <c r="H102" t="s">
        <v>130</v>
      </c>
      <c r="I102">
        <v>27558197</v>
      </c>
      <c r="J102">
        <v>5000000</v>
      </c>
      <c r="K102">
        <v>2500</v>
      </c>
      <c r="L102">
        <v>1195.3800000000001</v>
      </c>
      <c r="M102">
        <v>0</v>
      </c>
      <c r="N102">
        <v>72.3</v>
      </c>
      <c r="O102">
        <v>60</v>
      </c>
      <c r="P102" s="1">
        <v>45904</v>
      </c>
      <c r="Q102" s="1">
        <v>45964</v>
      </c>
      <c r="R102">
        <v>0</v>
      </c>
      <c r="S102">
        <v>0</v>
      </c>
      <c r="T102">
        <v>69.8</v>
      </c>
      <c r="U102">
        <v>0</v>
      </c>
    </row>
    <row r="103" spans="1:21" x14ac:dyDescent="0.3">
      <c r="A103">
        <v>765822</v>
      </c>
      <c r="B103">
        <v>8033426</v>
      </c>
      <c r="C103">
        <v>9110</v>
      </c>
      <c r="D103" t="s">
        <v>126</v>
      </c>
      <c r="E103" t="s">
        <v>63</v>
      </c>
      <c r="F103">
        <v>2020</v>
      </c>
      <c r="G103" t="s">
        <v>70</v>
      </c>
      <c r="H103" t="s">
        <v>71</v>
      </c>
      <c r="I103">
        <v>29962498</v>
      </c>
      <c r="J103">
        <v>500000</v>
      </c>
      <c r="K103">
        <v>5000</v>
      </c>
      <c r="L103">
        <v>1377.06</v>
      </c>
      <c r="M103">
        <v>0</v>
      </c>
      <c r="N103">
        <v>84.2</v>
      </c>
      <c r="O103">
        <v>60</v>
      </c>
      <c r="P103" s="1">
        <v>45676</v>
      </c>
      <c r="Q103" s="1">
        <v>45736</v>
      </c>
      <c r="R103">
        <v>0</v>
      </c>
      <c r="S103">
        <v>1</v>
      </c>
      <c r="T103">
        <v>91.9</v>
      </c>
      <c r="U103">
        <v>0</v>
      </c>
    </row>
    <row r="104" spans="1:21" x14ac:dyDescent="0.3">
      <c r="A104">
        <v>279451</v>
      </c>
      <c r="B104">
        <v>9770838</v>
      </c>
      <c r="C104">
        <v>4840</v>
      </c>
      <c r="D104" t="s">
        <v>57</v>
      </c>
      <c r="E104" t="s">
        <v>63</v>
      </c>
      <c r="F104">
        <v>2010</v>
      </c>
      <c r="G104" t="s">
        <v>176</v>
      </c>
      <c r="H104" t="s">
        <v>355</v>
      </c>
      <c r="I104">
        <v>27883823</v>
      </c>
      <c r="J104">
        <v>3000000</v>
      </c>
      <c r="K104">
        <v>2500</v>
      </c>
      <c r="L104">
        <v>1785.64</v>
      </c>
      <c r="M104">
        <v>1</v>
      </c>
      <c r="N104">
        <v>96.7</v>
      </c>
      <c r="O104">
        <v>45</v>
      </c>
      <c r="P104" s="1">
        <v>45858</v>
      </c>
      <c r="Q104" s="1">
        <v>45903</v>
      </c>
      <c r="R104">
        <v>0</v>
      </c>
      <c r="S104">
        <v>1</v>
      </c>
      <c r="T104">
        <v>96.4</v>
      </c>
      <c r="U104">
        <v>0</v>
      </c>
    </row>
    <row r="105" spans="1:21" x14ac:dyDescent="0.3">
      <c r="A105">
        <v>660086</v>
      </c>
      <c r="B105">
        <v>6307805</v>
      </c>
      <c r="C105">
        <v>2028</v>
      </c>
      <c r="D105" t="s">
        <v>142</v>
      </c>
      <c r="E105" t="s">
        <v>2</v>
      </c>
      <c r="F105">
        <v>2022</v>
      </c>
      <c r="G105" t="s">
        <v>170</v>
      </c>
      <c r="H105" t="s">
        <v>171</v>
      </c>
      <c r="I105">
        <v>24886520</v>
      </c>
      <c r="J105">
        <v>2000000</v>
      </c>
      <c r="K105">
        <v>2500</v>
      </c>
      <c r="L105">
        <v>1897.26</v>
      </c>
      <c r="M105">
        <v>0</v>
      </c>
      <c r="N105">
        <v>73.7</v>
      </c>
      <c r="O105">
        <v>60</v>
      </c>
      <c r="P105" s="1">
        <v>45762</v>
      </c>
      <c r="Q105" s="1">
        <v>45822</v>
      </c>
      <c r="R105">
        <v>0</v>
      </c>
      <c r="S105">
        <v>1</v>
      </c>
      <c r="T105">
        <v>84.8</v>
      </c>
      <c r="U105">
        <v>0</v>
      </c>
    </row>
    <row r="106" spans="1:21" x14ac:dyDescent="0.3">
      <c r="A106">
        <v>864544</v>
      </c>
      <c r="B106">
        <v>5374922</v>
      </c>
      <c r="C106">
        <v>8385</v>
      </c>
      <c r="D106" t="s">
        <v>84</v>
      </c>
      <c r="E106" t="s">
        <v>63</v>
      </c>
      <c r="F106">
        <v>2013</v>
      </c>
      <c r="G106" t="s">
        <v>59</v>
      </c>
      <c r="H106" t="s">
        <v>85</v>
      </c>
      <c r="I106">
        <v>20547605</v>
      </c>
      <c r="J106">
        <v>2000000</v>
      </c>
      <c r="K106">
        <v>1000</v>
      </c>
      <c r="L106">
        <v>1330.08</v>
      </c>
      <c r="M106">
        <v>0</v>
      </c>
      <c r="N106">
        <v>59.2</v>
      </c>
      <c r="O106">
        <v>45</v>
      </c>
      <c r="P106" s="1">
        <v>45769</v>
      </c>
      <c r="Q106" s="1">
        <v>45814</v>
      </c>
      <c r="R106">
        <v>0</v>
      </c>
      <c r="S106">
        <v>1</v>
      </c>
      <c r="T106">
        <v>85.1</v>
      </c>
      <c r="U106">
        <v>0</v>
      </c>
    </row>
    <row r="107" spans="1:21" x14ac:dyDescent="0.3">
      <c r="A107">
        <v>356702</v>
      </c>
      <c r="B107">
        <v>4426900</v>
      </c>
      <c r="C107">
        <v>1502</v>
      </c>
      <c r="D107" t="s">
        <v>84</v>
      </c>
      <c r="E107" t="s">
        <v>63</v>
      </c>
      <c r="F107">
        <v>2024</v>
      </c>
      <c r="G107" t="s">
        <v>70</v>
      </c>
      <c r="H107" t="s">
        <v>71</v>
      </c>
      <c r="I107">
        <v>23883526</v>
      </c>
      <c r="J107">
        <v>3000000</v>
      </c>
      <c r="K107">
        <v>2500</v>
      </c>
      <c r="L107">
        <v>1749.43</v>
      </c>
      <c r="M107">
        <v>2</v>
      </c>
      <c r="N107">
        <v>71.400000000000006</v>
      </c>
      <c r="O107">
        <v>45</v>
      </c>
      <c r="P107" s="1">
        <v>45786</v>
      </c>
      <c r="Q107" s="1">
        <v>45831</v>
      </c>
      <c r="R107">
        <v>0</v>
      </c>
      <c r="S107">
        <v>1</v>
      </c>
      <c r="T107">
        <v>96.1</v>
      </c>
      <c r="U107">
        <v>0</v>
      </c>
    </row>
    <row r="108" spans="1:21" x14ac:dyDescent="0.3">
      <c r="A108">
        <v>271339</v>
      </c>
      <c r="B108">
        <v>6271130</v>
      </c>
      <c r="C108">
        <v>7910</v>
      </c>
      <c r="D108" t="s">
        <v>84</v>
      </c>
      <c r="E108" t="s">
        <v>80</v>
      </c>
      <c r="F108">
        <v>2013</v>
      </c>
      <c r="G108" t="s">
        <v>132</v>
      </c>
      <c r="H108" t="s">
        <v>186</v>
      </c>
      <c r="I108">
        <v>24833597</v>
      </c>
      <c r="J108">
        <v>2000000</v>
      </c>
      <c r="K108">
        <v>2500</v>
      </c>
      <c r="L108">
        <v>1650.87</v>
      </c>
      <c r="M108">
        <v>0</v>
      </c>
      <c r="N108">
        <v>91.9</v>
      </c>
      <c r="O108">
        <v>90</v>
      </c>
      <c r="P108" s="1">
        <v>45884</v>
      </c>
      <c r="Q108" s="1">
        <v>45974</v>
      </c>
      <c r="R108">
        <v>0</v>
      </c>
      <c r="S108">
        <v>1</v>
      </c>
      <c r="T108">
        <v>74.900000000000006</v>
      </c>
      <c r="U108">
        <v>0</v>
      </c>
    </row>
    <row r="109" spans="1:21" x14ac:dyDescent="0.3">
      <c r="A109">
        <v>584714</v>
      </c>
      <c r="B109">
        <v>5004485</v>
      </c>
      <c r="C109">
        <v>7938</v>
      </c>
      <c r="D109" t="s">
        <v>84</v>
      </c>
      <c r="E109" t="s">
        <v>63</v>
      </c>
      <c r="F109">
        <v>2013</v>
      </c>
      <c r="G109" t="s">
        <v>176</v>
      </c>
      <c r="H109" t="s">
        <v>227</v>
      </c>
      <c r="I109">
        <v>24743227</v>
      </c>
      <c r="J109">
        <v>2000000</v>
      </c>
      <c r="K109">
        <v>2500</v>
      </c>
      <c r="L109">
        <v>1515.61</v>
      </c>
      <c r="M109">
        <v>0</v>
      </c>
      <c r="N109">
        <v>99.6</v>
      </c>
      <c r="O109">
        <v>45</v>
      </c>
      <c r="P109" s="1">
        <v>45779</v>
      </c>
      <c r="Q109" s="1">
        <v>45824</v>
      </c>
      <c r="R109">
        <v>0</v>
      </c>
      <c r="S109">
        <v>1</v>
      </c>
      <c r="T109">
        <v>85.3</v>
      </c>
      <c r="U109">
        <v>1</v>
      </c>
    </row>
    <row r="110" spans="1:21" x14ac:dyDescent="0.3">
      <c r="A110">
        <v>497887</v>
      </c>
      <c r="B110">
        <v>5456272</v>
      </c>
      <c r="C110">
        <v>5488</v>
      </c>
      <c r="D110" t="s">
        <v>225</v>
      </c>
      <c r="E110" t="s">
        <v>2</v>
      </c>
      <c r="F110">
        <v>2009</v>
      </c>
      <c r="G110" t="s">
        <v>116</v>
      </c>
      <c r="H110" t="s">
        <v>128</v>
      </c>
      <c r="I110">
        <v>27617381</v>
      </c>
      <c r="J110">
        <v>500000</v>
      </c>
      <c r="K110">
        <v>2500</v>
      </c>
      <c r="L110">
        <v>2051.33</v>
      </c>
      <c r="M110">
        <v>1</v>
      </c>
      <c r="N110">
        <v>66.900000000000006</v>
      </c>
      <c r="O110">
        <v>45</v>
      </c>
      <c r="P110" s="1">
        <v>45925</v>
      </c>
      <c r="Q110" s="1">
        <v>45970</v>
      </c>
      <c r="R110">
        <v>0</v>
      </c>
      <c r="S110">
        <v>1</v>
      </c>
      <c r="T110">
        <v>89.3</v>
      </c>
      <c r="U110">
        <v>0</v>
      </c>
    </row>
    <row r="111" spans="1:21" x14ac:dyDescent="0.3">
      <c r="A111">
        <v>383060</v>
      </c>
      <c r="B111">
        <v>7640184</v>
      </c>
      <c r="C111">
        <v>1206</v>
      </c>
      <c r="D111" t="s">
        <v>185</v>
      </c>
      <c r="E111" t="s">
        <v>63</v>
      </c>
      <c r="F111">
        <v>2018</v>
      </c>
      <c r="G111" t="s">
        <v>109</v>
      </c>
      <c r="H111" t="s">
        <v>118</v>
      </c>
      <c r="I111">
        <v>21194198</v>
      </c>
      <c r="J111">
        <v>500000</v>
      </c>
      <c r="K111">
        <v>2500</v>
      </c>
      <c r="L111">
        <v>1405.98</v>
      </c>
      <c r="M111">
        <v>0</v>
      </c>
      <c r="N111">
        <v>86.5</v>
      </c>
      <c r="O111">
        <v>60</v>
      </c>
      <c r="P111" s="1">
        <v>45805</v>
      </c>
      <c r="Q111" s="1">
        <v>45865</v>
      </c>
      <c r="R111">
        <v>1</v>
      </c>
      <c r="S111">
        <v>1</v>
      </c>
      <c r="T111">
        <v>91.1</v>
      </c>
      <c r="U111">
        <v>0</v>
      </c>
    </row>
    <row r="112" spans="1:21" x14ac:dyDescent="0.3">
      <c r="A112">
        <v>771088</v>
      </c>
      <c r="B112">
        <v>3195773</v>
      </c>
      <c r="C112">
        <v>6134</v>
      </c>
      <c r="D112" t="s">
        <v>101</v>
      </c>
      <c r="E112" t="s">
        <v>63</v>
      </c>
      <c r="F112">
        <v>2020</v>
      </c>
      <c r="G112" t="s">
        <v>176</v>
      </c>
      <c r="H112" t="s">
        <v>316</v>
      </c>
      <c r="I112">
        <v>23916201</v>
      </c>
      <c r="J112">
        <v>3000000</v>
      </c>
      <c r="K112">
        <v>2500</v>
      </c>
      <c r="L112">
        <v>1402.99</v>
      </c>
      <c r="M112">
        <v>0</v>
      </c>
      <c r="N112">
        <v>77.8</v>
      </c>
      <c r="O112">
        <v>60</v>
      </c>
      <c r="P112" s="1">
        <v>45682</v>
      </c>
      <c r="Q112" s="1">
        <v>45742</v>
      </c>
      <c r="R112">
        <v>0</v>
      </c>
      <c r="S112">
        <v>1</v>
      </c>
      <c r="T112">
        <v>84.4</v>
      </c>
      <c r="U112">
        <v>0</v>
      </c>
    </row>
    <row r="113" spans="1:21" x14ac:dyDescent="0.3">
      <c r="A113">
        <v>821590</v>
      </c>
      <c r="B113">
        <v>6033115</v>
      </c>
      <c r="C113">
        <v>6977</v>
      </c>
      <c r="D113" t="s">
        <v>84</v>
      </c>
      <c r="E113" t="s">
        <v>63</v>
      </c>
      <c r="F113">
        <v>2010</v>
      </c>
      <c r="G113" t="s">
        <v>132</v>
      </c>
      <c r="H113" t="s">
        <v>186</v>
      </c>
      <c r="I113">
        <v>24438490</v>
      </c>
      <c r="J113">
        <v>2000000</v>
      </c>
      <c r="K113">
        <v>5000</v>
      </c>
      <c r="L113">
        <v>1339.31</v>
      </c>
      <c r="M113">
        <v>0</v>
      </c>
      <c r="N113">
        <v>81</v>
      </c>
      <c r="O113">
        <v>30</v>
      </c>
      <c r="P113" s="1">
        <v>45944</v>
      </c>
      <c r="Q113" s="1">
        <v>45974</v>
      </c>
      <c r="R113">
        <v>0</v>
      </c>
      <c r="S113">
        <v>1</v>
      </c>
      <c r="T113">
        <v>88.2</v>
      </c>
      <c r="U113">
        <v>0</v>
      </c>
    </row>
    <row r="114" spans="1:21" x14ac:dyDescent="0.3">
      <c r="A114">
        <v>684004</v>
      </c>
      <c r="B114">
        <v>8670955</v>
      </c>
      <c r="C114">
        <v>8721</v>
      </c>
      <c r="D114" t="s">
        <v>101</v>
      </c>
      <c r="E114" t="s">
        <v>63</v>
      </c>
      <c r="F114">
        <v>2023</v>
      </c>
      <c r="G114" t="s">
        <v>93</v>
      </c>
      <c r="H114" t="s">
        <v>94</v>
      </c>
      <c r="I114">
        <v>29895027</v>
      </c>
      <c r="J114">
        <v>2000000</v>
      </c>
      <c r="K114">
        <v>5000</v>
      </c>
      <c r="L114">
        <v>1643.85</v>
      </c>
      <c r="M114">
        <v>0</v>
      </c>
      <c r="N114">
        <v>99.9</v>
      </c>
      <c r="O114">
        <v>30</v>
      </c>
      <c r="P114" s="1">
        <v>45762</v>
      </c>
      <c r="Q114" s="1">
        <v>45792</v>
      </c>
      <c r="R114">
        <v>0</v>
      </c>
      <c r="S114">
        <v>1</v>
      </c>
      <c r="T114">
        <v>70.599999999999994</v>
      </c>
      <c r="U114">
        <v>0</v>
      </c>
    </row>
    <row r="115" spans="1:21" x14ac:dyDescent="0.3">
      <c r="A115">
        <v>330283</v>
      </c>
      <c r="B115">
        <v>6304573</v>
      </c>
      <c r="C115">
        <v>8035</v>
      </c>
      <c r="D115" t="s">
        <v>101</v>
      </c>
      <c r="E115" t="s">
        <v>63</v>
      </c>
      <c r="F115">
        <v>2018</v>
      </c>
      <c r="G115" t="s">
        <v>103</v>
      </c>
      <c r="H115" t="s">
        <v>104</v>
      </c>
      <c r="I115">
        <v>23318855</v>
      </c>
      <c r="J115">
        <v>1000000</v>
      </c>
      <c r="K115">
        <v>5000</v>
      </c>
      <c r="L115">
        <v>1591.32</v>
      </c>
      <c r="M115">
        <v>1</v>
      </c>
      <c r="N115">
        <v>64.5</v>
      </c>
      <c r="O115">
        <v>30</v>
      </c>
      <c r="P115" s="1">
        <v>45815</v>
      </c>
      <c r="Q115" s="1">
        <v>45845</v>
      </c>
      <c r="R115">
        <v>0</v>
      </c>
      <c r="S115">
        <v>1</v>
      </c>
      <c r="T115">
        <v>83.4</v>
      </c>
      <c r="U115">
        <v>1</v>
      </c>
    </row>
    <row r="116" spans="1:21" x14ac:dyDescent="0.3">
      <c r="A116">
        <v>817870</v>
      </c>
      <c r="B116">
        <v>2217071</v>
      </c>
      <c r="C116">
        <v>2484</v>
      </c>
      <c r="D116" t="s">
        <v>84</v>
      </c>
      <c r="E116" t="s">
        <v>63</v>
      </c>
      <c r="F116">
        <v>2019</v>
      </c>
      <c r="G116" t="s">
        <v>129</v>
      </c>
      <c r="H116" t="s">
        <v>130</v>
      </c>
      <c r="I116">
        <v>27132648</v>
      </c>
      <c r="J116">
        <v>500000</v>
      </c>
      <c r="K116">
        <v>10000</v>
      </c>
      <c r="L116">
        <v>1596.06</v>
      </c>
      <c r="M116">
        <v>0</v>
      </c>
      <c r="N116">
        <v>84.3</v>
      </c>
      <c r="O116">
        <v>60</v>
      </c>
      <c r="P116" s="1">
        <v>45908</v>
      </c>
      <c r="Q116" s="1">
        <v>45968</v>
      </c>
      <c r="R116">
        <v>0</v>
      </c>
      <c r="S116">
        <v>1</v>
      </c>
      <c r="T116">
        <v>91.2</v>
      </c>
      <c r="U116">
        <v>0</v>
      </c>
    </row>
    <row r="117" spans="1:21" x14ac:dyDescent="0.3">
      <c r="A117">
        <v>440035</v>
      </c>
      <c r="B117">
        <v>1156287</v>
      </c>
      <c r="C117">
        <v>8858</v>
      </c>
      <c r="D117" t="s">
        <v>57</v>
      </c>
      <c r="E117" t="s">
        <v>63</v>
      </c>
      <c r="F117">
        <v>2018</v>
      </c>
      <c r="G117" t="s">
        <v>78</v>
      </c>
      <c r="H117" t="s">
        <v>222</v>
      </c>
      <c r="I117">
        <v>21925626</v>
      </c>
      <c r="J117">
        <v>500000</v>
      </c>
      <c r="K117">
        <v>1000</v>
      </c>
      <c r="L117">
        <v>1632.56</v>
      </c>
      <c r="M117">
        <v>0</v>
      </c>
      <c r="N117">
        <v>86.2</v>
      </c>
      <c r="O117">
        <v>45</v>
      </c>
      <c r="P117" s="1">
        <v>45779</v>
      </c>
      <c r="Q117" s="1">
        <v>45824</v>
      </c>
      <c r="R117">
        <v>0</v>
      </c>
      <c r="S117">
        <v>1</v>
      </c>
      <c r="T117">
        <v>81.099999999999994</v>
      </c>
      <c r="U117">
        <v>0</v>
      </c>
    </row>
    <row r="118" spans="1:21" x14ac:dyDescent="0.3">
      <c r="A118">
        <v>983794</v>
      </c>
      <c r="B118">
        <v>8688755</v>
      </c>
      <c r="C118">
        <v>1863</v>
      </c>
      <c r="D118" t="s">
        <v>57</v>
      </c>
      <c r="E118" t="s">
        <v>63</v>
      </c>
      <c r="F118">
        <v>2017</v>
      </c>
      <c r="G118" t="s">
        <v>109</v>
      </c>
      <c r="H118" t="s">
        <v>110</v>
      </c>
      <c r="I118">
        <v>29136240</v>
      </c>
      <c r="J118">
        <v>2000000</v>
      </c>
      <c r="K118">
        <v>1000</v>
      </c>
      <c r="L118">
        <v>1749.8</v>
      </c>
      <c r="M118">
        <v>1</v>
      </c>
      <c r="N118">
        <v>87.8</v>
      </c>
      <c r="O118">
        <v>30</v>
      </c>
      <c r="P118" s="1">
        <v>45678</v>
      </c>
      <c r="Q118" s="1">
        <v>45708</v>
      </c>
      <c r="R118">
        <v>0</v>
      </c>
      <c r="S118">
        <v>0</v>
      </c>
      <c r="T118">
        <v>73.400000000000006</v>
      </c>
      <c r="U118">
        <v>0</v>
      </c>
    </row>
    <row r="119" spans="1:21" x14ac:dyDescent="0.3">
      <c r="A119">
        <v>905635</v>
      </c>
      <c r="B119">
        <v>2677407</v>
      </c>
      <c r="C119">
        <v>3790</v>
      </c>
      <c r="D119" t="s">
        <v>106</v>
      </c>
      <c r="E119" t="s">
        <v>63</v>
      </c>
      <c r="F119">
        <v>2020</v>
      </c>
      <c r="G119" t="s">
        <v>78</v>
      </c>
      <c r="H119" t="s">
        <v>222</v>
      </c>
      <c r="I119">
        <v>23771676</v>
      </c>
      <c r="J119">
        <v>1000000</v>
      </c>
      <c r="K119">
        <v>1000</v>
      </c>
      <c r="L119">
        <v>1578.21</v>
      </c>
      <c r="M119">
        <v>1</v>
      </c>
      <c r="N119">
        <v>78.900000000000006</v>
      </c>
      <c r="O119">
        <v>90</v>
      </c>
      <c r="P119" s="1">
        <v>45794</v>
      </c>
      <c r="Q119" s="1">
        <v>45884</v>
      </c>
      <c r="R119">
        <v>0</v>
      </c>
      <c r="S119">
        <v>1</v>
      </c>
      <c r="T119">
        <v>91.1</v>
      </c>
      <c r="U119">
        <v>0</v>
      </c>
    </row>
    <row r="120" spans="1:21" x14ac:dyDescent="0.3">
      <c r="A120">
        <v>913694</v>
      </c>
      <c r="B120">
        <v>2229110</v>
      </c>
      <c r="C120">
        <v>8408</v>
      </c>
      <c r="D120" t="s">
        <v>106</v>
      </c>
      <c r="E120" t="s">
        <v>63</v>
      </c>
      <c r="F120">
        <v>2012</v>
      </c>
      <c r="G120" t="s">
        <v>200</v>
      </c>
      <c r="H120" t="s">
        <v>338</v>
      </c>
      <c r="I120">
        <v>22499627</v>
      </c>
      <c r="J120">
        <v>500000</v>
      </c>
      <c r="K120">
        <v>2500</v>
      </c>
      <c r="L120">
        <v>1498.45</v>
      </c>
      <c r="M120">
        <v>0</v>
      </c>
      <c r="N120">
        <v>84.8</v>
      </c>
      <c r="O120">
        <v>45</v>
      </c>
      <c r="P120" s="1">
        <v>46002</v>
      </c>
      <c r="Q120" s="1">
        <v>46047</v>
      </c>
      <c r="R120">
        <v>0</v>
      </c>
      <c r="S120">
        <v>1</v>
      </c>
      <c r="T120">
        <v>85.6</v>
      </c>
      <c r="U120">
        <v>0</v>
      </c>
    </row>
    <row r="121" spans="1:21" x14ac:dyDescent="0.3">
      <c r="A121">
        <v>158655</v>
      </c>
      <c r="B121">
        <v>4576135</v>
      </c>
      <c r="C121">
        <v>9755</v>
      </c>
      <c r="D121" t="s">
        <v>84</v>
      </c>
      <c r="E121" t="s">
        <v>63</v>
      </c>
      <c r="F121">
        <v>2013</v>
      </c>
      <c r="G121" t="s">
        <v>86</v>
      </c>
      <c r="H121" t="s">
        <v>268</v>
      </c>
      <c r="I121">
        <v>24456573</v>
      </c>
      <c r="J121">
        <v>1000000</v>
      </c>
      <c r="K121">
        <v>5000</v>
      </c>
      <c r="L121">
        <v>1447.1</v>
      </c>
      <c r="M121">
        <v>0</v>
      </c>
      <c r="N121">
        <v>78.5</v>
      </c>
      <c r="O121">
        <v>45</v>
      </c>
      <c r="P121" s="1">
        <v>45892</v>
      </c>
      <c r="Q121" s="1">
        <v>45937</v>
      </c>
      <c r="R121">
        <v>0</v>
      </c>
      <c r="S121">
        <v>1</v>
      </c>
      <c r="T121">
        <v>89.2</v>
      </c>
      <c r="U121">
        <v>0</v>
      </c>
    </row>
    <row r="122" spans="1:21" x14ac:dyDescent="0.3">
      <c r="A122">
        <v>340174</v>
      </c>
      <c r="B122">
        <v>9487336</v>
      </c>
      <c r="C122">
        <v>6116</v>
      </c>
      <c r="D122" t="s">
        <v>57</v>
      </c>
      <c r="E122" t="s">
        <v>63</v>
      </c>
      <c r="F122">
        <v>2024</v>
      </c>
      <c r="G122" t="s">
        <v>109</v>
      </c>
      <c r="H122" t="s">
        <v>198</v>
      </c>
      <c r="I122">
        <v>22386328</v>
      </c>
      <c r="J122">
        <v>500000</v>
      </c>
      <c r="K122">
        <v>1000</v>
      </c>
      <c r="L122">
        <v>1341.56</v>
      </c>
      <c r="M122">
        <v>0</v>
      </c>
      <c r="N122">
        <v>84.4</v>
      </c>
      <c r="O122">
        <v>45</v>
      </c>
      <c r="P122" s="1">
        <v>45903</v>
      </c>
      <c r="Q122" s="1">
        <v>45948</v>
      </c>
      <c r="R122">
        <v>0</v>
      </c>
      <c r="S122">
        <v>1</v>
      </c>
      <c r="T122">
        <v>81.3</v>
      </c>
      <c r="U122">
        <v>0</v>
      </c>
    </row>
    <row r="123" spans="1:21" x14ac:dyDescent="0.3">
      <c r="A123">
        <v>961722</v>
      </c>
      <c r="B123">
        <v>5449324</v>
      </c>
      <c r="C123">
        <v>7019</v>
      </c>
      <c r="D123" t="s">
        <v>106</v>
      </c>
      <c r="E123" t="s">
        <v>2</v>
      </c>
      <c r="F123">
        <v>2025</v>
      </c>
      <c r="G123" t="s">
        <v>59</v>
      </c>
      <c r="H123" t="s">
        <v>60</v>
      </c>
      <c r="I123">
        <v>21198058</v>
      </c>
      <c r="J123">
        <v>2000000</v>
      </c>
      <c r="K123">
        <v>10000</v>
      </c>
      <c r="L123">
        <v>1938.92</v>
      </c>
      <c r="M123">
        <v>0</v>
      </c>
      <c r="N123">
        <v>78.900000000000006</v>
      </c>
      <c r="O123">
        <v>60</v>
      </c>
      <c r="P123" s="1">
        <v>45888</v>
      </c>
      <c r="Q123" s="1">
        <v>45948</v>
      </c>
      <c r="R123">
        <v>0</v>
      </c>
      <c r="S123">
        <v>1</v>
      </c>
      <c r="T123">
        <v>86.6</v>
      </c>
      <c r="U123">
        <v>0</v>
      </c>
    </row>
    <row r="124" spans="1:21" x14ac:dyDescent="0.3">
      <c r="A124">
        <v>133659</v>
      </c>
      <c r="B124">
        <v>3222252</v>
      </c>
      <c r="C124">
        <v>2757</v>
      </c>
      <c r="D124" t="s">
        <v>101</v>
      </c>
      <c r="E124" t="s">
        <v>63</v>
      </c>
      <c r="F124">
        <v>2017</v>
      </c>
      <c r="G124" t="s">
        <v>109</v>
      </c>
      <c r="H124" t="s">
        <v>198</v>
      </c>
      <c r="I124">
        <v>21000560</v>
      </c>
      <c r="J124">
        <v>1000000</v>
      </c>
      <c r="K124">
        <v>1000</v>
      </c>
      <c r="L124">
        <v>1488.52</v>
      </c>
      <c r="M124">
        <v>1</v>
      </c>
      <c r="N124">
        <v>83.6</v>
      </c>
      <c r="O124">
        <v>30</v>
      </c>
      <c r="P124" s="1">
        <v>45730</v>
      </c>
      <c r="Q124" s="1">
        <v>45760</v>
      </c>
      <c r="R124">
        <v>0</v>
      </c>
      <c r="S124">
        <v>1</v>
      </c>
      <c r="T124">
        <v>92.3</v>
      </c>
      <c r="U124">
        <v>0</v>
      </c>
    </row>
    <row r="125" spans="1:21" x14ac:dyDescent="0.3">
      <c r="A125">
        <v>944151</v>
      </c>
      <c r="B125">
        <v>6855396</v>
      </c>
      <c r="C125">
        <v>8574</v>
      </c>
      <c r="D125" t="s">
        <v>225</v>
      </c>
      <c r="E125" t="s">
        <v>112</v>
      </c>
      <c r="F125">
        <v>2015</v>
      </c>
      <c r="G125" t="s">
        <v>150</v>
      </c>
      <c r="H125" t="s">
        <v>196</v>
      </c>
      <c r="I125">
        <v>22783722</v>
      </c>
      <c r="J125">
        <v>2000000</v>
      </c>
      <c r="K125">
        <v>10000</v>
      </c>
      <c r="L125">
        <v>1892.52</v>
      </c>
      <c r="M125">
        <v>0</v>
      </c>
      <c r="N125">
        <v>78.7</v>
      </c>
      <c r="O125">
        <v>45</v>
      </c>
      <c r="P125" s="1">
        <v>45810</v>
      </c>
      <c r="Q125" s="1">
        <v>45855</v>
      </c>
      <c r="R125">
        <v>0</v>
      </c>
      <c r="S125">
        <v>1</v>
      </c>
      <c r="T125">
        <v>89.1</v>
      </c>
      <c r="U125">
        <v>0</v>
      </c>
    </row>
    <row r="126" spans="1:21" x14ac:dyDescent="0.3">
      <c r="A126">
        <v>430776</v>
      </c>
      <c r="B126">
        <v>2154126</v>
      </c>
      <c r="C126">
        <v>7374</v>
      </c>
      <c r="D126" t="s">
        <v>185</v>
      </c>
      <c r="E126" t="s">
        <v>2</v>
      </c>
      <c r="F126">
        <v>2021</v>
      </c>
      <c r="G126" t="s">
        <v>103</v>
      </c>
      <c r="H126" t="s">
        <v>99</v>
      </c>
      <c r="I126">
        <v>25160869</v>
      </c>
      <c r="J126">
        <v>1000000</v>
      </c>
      <c r="K126">
        <v>2500</v>
      </c>
      <c r="L126">
        <v>1844.25</v>
      </c>
      <c r="M126">
        <v>0</v>
      </c>
      <c r="N126">
        <v>85.4</v>
      </c>
      <c r="O126">
        <v>60</v>
      </c>
      <c r="P126" s="1">
        <v>45932</v>
      </c>
      <c r="Q126" s="1">
        <v>45992</v>
      </c>
      <c r="R126">
        <v>0</v>
      </c>
      <c r="S126">
        <v>1</v>
      </c>
      <c r="T126">
        <v>83.9</v>
      </c>
      <c r="U126">
        <v>0</v>
      </c>
    </row>
    <row r="127" spans="1:21" x14ac:dyDescent="0.3">
      <c r="A127">
        <v>520651</v>
      </c>
      <c r="B127">
        <v>5098412</v>
      </c>
      <c r="C127">
        <v>7892</v>
      </c>
      <c r="D127" t="s">
        <v>84</v>
      </c>
      <c r="E127" t="s">
        <v>63</v>
      </c>
      <c r="F127">
        <v>2017</v>
      </c>
      <c r="G127" t="s">
        <v>150</v>
      </c>
      <c r="H127" t="s">
        <v>265</v>
      </c>
      <c r="I127">
        <v>29983182</v>
      </c>
      <c r="J127">
        <v>1000000</v>
      </c>
      <c r="K127">
        <v>1000</v>
      </c>
      <c r="L127">
        <v>1834.14</v>
      </c>
      <c r="M127">
        <v>2</v>
      </c>
      <c r="N127">
        <v>73.7</v>
      </c>
      <c r="O127">
        <v>45</v>
      </c>
      <c r="P127" s="1">
        <v>45695</v>
      </c>
      <c r="Q127" s="1">
        <v>45740</v>
      </c>
      <c r="R127">
        <v>1</v>
      </c>
      <c r="S127">
        <v>1</v>
      </c>
      <c r="T127">
        <v>89.6</v>
      </c>
      <c r="U127">
        <v>0</v>
      </c>
    </row>
    <row r="128" spans="1:21" x14ac:dyDescent="0.3">
      <c r="A128">
        <v>380746</v>
      </c>
      <c r="B128">
        <v>7199635</v>
      </c>
      <c r="C128">
        <v>2678</v>
      </c>
      <c r="D128" t="s">
        <v>84</v>
      </c>
      <c r="E128" t="s">
        <v>80</v>
      </c>
      <c r="F128">
        <v>2008</v>
      </c>
      <c r="G128" t="s">
        <v>109</v>
      </c>
      <c r="H128" t="s">
        <v>193</v>
      </c>
      <c r="I128">
        <v>29549709</v>
      </c>
      <c r="J128">
        <v>500000</v>
      </c>
      <c r="K128">
        <v>2500</v>
      </c>
      <c r="L128">
        <v>1763.99</v>
      </c>
      <c r="M128">
        <v>1</v>
      </c>
      <c r="N128">
        <v>88.1</v>
      </c>
      <c r="O128">
        <v>45</v>
      </c>
      <c r="P128" s="1">
        <v>45759</v>
      </c>
      <c r="Q128" s="1">
        <v>45804</v>
      </c>
      <c r="R128">
        <v>0</v>
      </c>
      <c r="S128">
        <v>1</v>
      </c>
      <c r="T128">
        <v>93</v>
      </c>
      <c r="U128">
        <v>0</v>
      </c>
    </row>
    <row r="129" spans="1:21" x14ac:dyDescent="0.3">
      <c r="A129">
        <v>169403</v>
      </c>
      <c r="B129">
        <v>5781295</v>
      </c>
      <c r="C129">
        <v>4242</v>
      </c>
      <c r="D129" t="s">
        <v>106</v>
      </c>
      <c r="E129" t="s">
        <v>80</v>
      </c>
      <c r="F129">
        <v>2012</v>
      </c>
      <c r="G129" t="s">
        <v>129</v>
      </c>
      <c r="H129" t="s">
        <v>157</v>
      </c>
      <c r="I129">
        <v>24842082</v>
      </c>
      <c r="J129">
        <v>500000</v>
      </c>
      <c r="K129">
        <v>1000</v>
      </c>
      <c r="L129">
        <v>1518.93</v>
      </c>
      <c r="M129">
        <v>0</v>
      </c>
      <c r="N129">
        <v>81.5</v>
      </c>
      <c r="O129">
        <v>45</v>
      </c>
      <c r="P129" s="1">
        <v>45758</v>
      </c>
      <c r="Q129" s="1">
        <v>45803</v>
      </c>
      <c r="R129">
        <v>0</v>
      </c>
      <c r="S129">
        <v>1</v>
      </c>
      <c r="T129">
        <v>73.7</v>
      </c>
      <c r="U129">
        <v>0</v>
      </c>
    </row>
    <row r="130" spans="1:21" x14ac:dyDescent="0.3">
      <c r="A130">
        <v>321231</v>
      </c>
      <c r="B130">
        <v>3646552</v>
      </c>
      <c r="C130">
        <v>5636</v>
      </c>
      <c r="D130" t="s">
        <v>84</v>
      </c>
      <c r="E130" t="s">
        <v>63</v>
      </c>
      <c r="F130">
        <v>2022</v>
      </c>
      <c r="G130" t="s">
        <v>176</v>
      </c>
      <c r="H130" t="s">
        <v>227</v>
      </c>
      <c r="I130">
        <v>27367772</v>
      </c>
      <c r="J130">
        <v>1000000</v>
      </c>
      <c r="K130">
        <v>1000</v>
      </c>
      <c r="L130">
        <v>1700.4</v>
      </c>
      <c r="M130">
        <v>1</v>
      </c>
      <c r="N130">
        <v>62</v>
      </c>
      <c r="O130">
        <v>30</v>
      </c>
      <c r="P130" s="1">
        <v>45815</v>
      </c>
      <c r="Q130" s="1">
        <v>45845</v>
      </c>
      <c r="R130">
        <v>0</v>
      </c>
      <c r="S130">
        <v>1</v>
      </c>
      <c r="T130">
        <v>96.1</v>
      </c>
      <c r="U130">
        <v>0</v>
      </c>
    </row>
    <row r="131" spans="1:21" x14ac:dyDescent="0.3">
      <c r="A131">
        <v>694731</v>
      </c>
      <c r="B131">
        <v>8351517</v>
      </c>
      <c r="C131">
        <v>2059</v>
      </c>
      <c r="D131" t="s">
        <v>106</v>
      </c>
      <c r="E131" t="s">
        <v>63</v>
      </c>
      <c r="F131">
        <v>2021</v>
      </c>
      <c r="G131" t="s">
        <v>170</v>
      </c>
      <c r="H131" t="s">
        <v>918</v>
      </c>
      <c r="I131">
        <v>22086308</v>
      </c>
      <c r="J131">
        <v>1000000</v>
      </c>
      <c r="K131">
        <v>1000</v>
      </c>
      <c r="L131">
        <v>1393.01</v>
      </c>
      <c r="M131">
        <v>0</v>
      </c>
      <c r="N131">
        <v>93.4</v>
      </c>
      <c r="O131">
        <v>30</v>
      </c>
      <c r="P131" s="1">
        <v>46015</v>
      </c>
      <c r="Q131" s="1">
        <v>46045</v>
      </c>
      <c r="R131">
        <v>0</v>
      </c>
      <c r="S131">
        <v>1</v>
      </c>
      <c r="T131">
        <v>85.6</v>
      </c>
      <c r="U131">
        <v>1</v>
      </c>
    </row>
    <row r="132" spans="1:21" x14ac:dyDescent="0.3">
      <c r="A132">
        <v>852787</v>
      </c>
      <c r="B132">
        <v>6075395</v>
      </c>
      <c r="C132">
        <v>7668</v>
      </c>
      <c r="D132" t="s">
        <v>211</v>
      </c>
      <c r="E132" t="s">
        <v>112</v>
      </c>
      <c r="F132">
        <v>2008</v>
      </c>
      <c r="G132" t="s">
        <v>78</v>
      </c>
      <c r="H132" t="s">
        <v>219</v>
      </c>
      <c r="I132">
        <v>27863447</v>
      </c>
      <c r="J132">
        <v>2000000</v>
      </c>
      <c r="K132">
        <v>5000</v>
      </c>
      <c r="L132">
        <v>1854.56</v>
      </c>
      <c r="M132">
        <v>0</v>
      </c>
      <c r="N132">
        <v>73.8</v>
      </c>
      <c r="O132">
        <v>45</v>
      </c>
      <c r="P132" s="1">
        <v>45682</v>
      </c>
      <c r="Q132" s="1">
        <v>45727</v>
      </c>
      <c r="R132">
        <v>0</v>
      </c>
      <c r="S132">
        <v>1</v>
      </c>
      <c r="T132">
        <v>91</v>
      </c>
      <c r="U132">
        <v>0</v>
      </c>
    </row>
    <row r="133" spans="1:21" x14ac:dyDescent="0.3">
      <c r="A133">
        <v>429963</v>
      </c>
      <c r="B133">
        <v>9874152</v>
      </c>
      <c r="C133">
        <v>4157</v>
      </c>
      <c r="D133" t="s">
        <v>106</v>
      </c>
      <c r="E133" t="s">
        <v>112</v>
      </c>
      <c r="F133">
        <v>2014</v>
      </c>
      <c r="G133" t="s">
        <v>129</v>
      </c>
      <c r="H133" t="s">
        <v>130</v>
      </c>
      <c r="I133">
        <v>25101803</v>
      </c>
      <c r="J133">
        <v>1000000</v>
      </c>
      <c r="K133">
        <v>2500</v>
      </c>
      <c r="L133">
        <v>1588.48</v>
      </c>
      <c r="M133">
        <v>0</v>
      </c>
      <c r="N133">
        <v>76.099999999999994</v>
      </c>
      <c r="O133">
        <v>30</v>
      </c>
      <c r="P133" s="1">
        <v>45847</v>
      </c>
      <c r="Q133" s="1">
        <v>45877</v>
      </c>
      <c r="R133">
        <v>1</v>
      </c>
      <c r="S133">
        <v>1</v>
      </c>
      <c r="T133">
        <v>96.4</v>
      </c>
      <c r="U133">
        <v>0</v>
      </c>
    </row>
    <row r="134" spans="1:21" x14ac:dyDescent="0.3">
      <c r="A134">
        <v>322955</v>
      </c>
      <c r="B134">
        <v>1131249</v>
      </c>
      <c r="C134">
        <v>6915</v>
      </c>
      <c r="D134" t="s">
        <v>57</v>
      </c>
      <c r="E134" t="s">
        <v>63</v>
      </c>
      <c r="F134">
        <v>2014</v>
      </c>
      <c r="G134" t="s">
        <v>109</v>
      </c>
      <c r="H134" t="s">
        <v>198</v>
      </c>
      <c r="I134">
        <v>26752972</v>
      </c>
      <c r="J134">
        <v>2000000</v>
      </c>
      <c r="K134">
        <v>1000</v>
      </c>
      <c r="L134">
        <v>1645.17</v>
      </c>
      <c r="M134">
        <v>1</v>
      </c>
      <c r="N134">
        <v>72.599999999999994</v>
      </c>
      <c r="O134">
        <v>30</v>
      </c>
      <c r="P134" s="1">
        <v>45723</v>
      </c>
      <c r="Q134" s="1">
        <v>45753</v>
      </c>
      <c r="R134">
        <v>0</v>
      </c>
      <c r="S134">
        <v>1</v>
      </c>
      <c r="T134">
        <v>78.400000000000006</v>
      </c>
      <c r="U134">
        <v>0</v>
      </c>
    </row>
    <row r="135" spans="1:21" x14ac:dyDescent="0.3">
      <c r="A135">
        <v>787277</v>
      </c>
      <c r="B135">
        <v>6022741</v>
      </c>
      <c r="C135">
        <v>3693</v>
      </c>
      <c r="D135" t="s">
        <v>106</v>
      </c>
      <c r="E135" t="s">
        <v>63</v>
      </c>
      <c r="F135">
        <v>2021</v>
      </c>
      <c r="G135" t="s">
        <v>132</v>
      </c>
      <c r="H135" t="s">
        <v>186</v>
      </c>
      <c r="I135">
        <v>24567533</v>
      </c>
      <c r="J135">
        <v>3000000</v>
      </c>
      <c r="K135">
        <v>2500</v>
      </c>
      <c r="L135">
        <v>1682.67</v>
      </c>
      <c r="M135">
        <v>0</v>
      </c>
      <c r="N135">
        <v>94.4</v>
      </c>
      <c r="O135">
        <v>60</v>
      </c>
      <c r="P135" s="1">
        <v>46012</v>
      </c>
      <c r="Q135" s="1">
        <v>46072</v>
      </c>
      <c r="R135">
        <v>0</v>
      </c>
      <c r="S135">
        <v>1</v>
      </c>
      <c r="T135">
        <v>83</v>
      </c>
      <c r="U135">
        <v>1</v>
      </c>
    </row>
    <row r="136" spans="1:21" x14ac:dyDescent="0.3">
      <c r="A136">
        <v>623481</v>
      </c>
      <c r="B136">
        <v>2737893</v>
      </c>
      <c r="C136">
        <v>4627</v>
      </c>
      <c r="D136" t="s">
        <v>101</v>
      </c>
      <c r="E136" t="s">
        <v>63</v>
      </c>
      <c r="F136">
        <v>2008</v>
      </c>
      <c r="G136" t="s">
        <v>176</v>
      </c>
      <c r="H136" t="s">
        <v>316</v>
      </c>
      <c r="I136">
        <v>28396529</v>
      </c>
      <c r="J136">
        <v>2000000</v>
      </c>
      <c r="K136">
        <v>5000</v>
      </c>
      <c r="L136">
        <v>1329.96</v>
      </c>
      <c r="M136">
        <v>0</v>
      </c>
      <c r="N136">
        <v>62.8</v>
      </c>
      <c r="O136">
        <v>90</v>
      </c>
      <c r="P136" s="1">
        <v>45699</v>
      </c>
      <c r="Q136" s="1">
        <v>45789</v>
      </c>
      <c r="R136">
        <v>0</v>
      </c>
      <c r="S136">
        <v>1</v>
      </c>
      <c r="T136">
        <v>86</v>
      </c>
      <c r="U136">
        <v>0</v>
      </c>
    </row>
    <row r="137" spans="1:21" x14ac:dyDescent="0.3">
      <c r="A137">
        <v>514850</v>
      </c>
      <c r="B137">
        <v>3253031</v>
      </c>
      <c r="C137">
        <v>6450</v>
      </c>
      <c r="D137" t="s">
        <v>101</v>
      </c>
      <c r="E137" t="s">
        <v>63</v>
      </c>
      <c r="F137">
        <v>2011</v>
      </c>
      <c r="G137" t="s">
        <v>132</v>
      </c>
      <c r="H137" t="s">
        <v>918</v>
      </c>
      <c r="I137">
        <v>29059387</v>
      </c>
      <c r="J137">
        <v>500000</v>
      </c>
      <c r="K137">
        <v>1000</v>
      </c>
      <c r="L137">
        <v>1368.67</v>
      </c>
      <c r="M137">
        <v>0</v>
      </c>
      <c r="N137">
        <v>99.9</v>
      </c>
      <c r="O137">
        <v>60</v>
      </c>
      <c r="P137" s="1">
        <v>45805</v>
      </c>
      <c r="Q137" s="1">
        <v>45865</v>
      </c>
      <c r="R137">
        <v>1</v>
      </c>
      <c r="S137">
        <v>1</v>
      </c>
      <c r="T137">
        <v>82.5</v>
      </c>
      <c r="U137">
        <v>0</v>
      </c>
    </row>
    <row r="138" spans="1:21" x14ac:dyDescent="0.3">
      <c r="A138">
        <v>774079</v>
      </c>
      <c r="B138">
        <v>5437001</v>
      </c>
      <c r="C138">
        <v>2663</v>
      </c>
      <c r="D138" t="s">
        <v>211</v>
      </c>
      <c r="E138" t="s">
        <v>2</v>
      </c>
      <c r="F138">
        <v>2023</v>
      </c>
      <c r="G138" t="s">
        <v>78</v>
      </c>
      <c r="H138" t="s">
        <v>166</v>
      </c>
      <c r="I138">
        <v>28284509</v>
      </c>
      <c r="J138">
        <v>1000000</v>
      </c>
      <c r="K138">
        <v>2500</v>
      </c>
      <c r="L138">
        <v>1961.67</v>
      </c>
      <c r="M138">
        <v>0</v>
      </c>
      <c r="N138">
        <v>91.5</v>
      </c>
      <c r="O138">
        <v>60</v>
      </c>
      <c r="P138" s="1">
        <v>45927</v>
      </c>
      <c r="Q138" s="1">
        <v>45987</v>
      </c>
      <c r="R138">
        <v>0</v>
      </c>
      <c r="S138">
        <v>1</v>
      </c>
      <c r="T138">
        <v>99.9</v>
      </c>
      <c r="U138">
        <v>0</v>
      </c>
    </row>
    <row r="139" spans="1:21" x14ac:dyDescent="0.3">
      <c r="A139">
        <v>581141</v>
      </c>
      <c r="B139">
        <v>2936571</v>
      </c>
      <c r="C139">
        <v>6592</v>
      </c>
      <c r="D139" t="s">
        <v>57</v>
      </c>
      <c r="E139" t="s">
        <v>63</v>
      </c>
      <c r="F139">
        <v>2013</v>
      </c>
      <c r="G139" t="s">
        <v>176</v>
      </c>
      <c r="H139" t="s">
        <v>292</v>
      </c>
      <c r="I139">
        <v>27344375</v>
      </c>
      <c r="J139">
        <v>500000</v>
      </c>
      <c r="K139">
        <v>1000</v>
      </c>
      <c r="L139">
        <v>1651.55</v>
      </c>
      <c r="M139">
        <v>1</v>
      </c>
      <c r="N139">
        <v>80</v>
      </c>
      <c r="O139">
        <v>45</v>
      </c>
      <c r="P139" s="1">
        <v>45915</v>
      </c>
      <c r="Q139" s="1">
        <v>45960</v>
      </c>
      <c r="R139">
        <v>0</v>
      </c>
      <c r="S139">
        <v>1</v>
      </c>
      <c r="T139">
        <v>82</v>
      </c>
      <c r="U139">
        <v>0</v>
      </c>
    </row>
    <row r="140" spans="1:21" x14ac:dyDescent="0.3">
      <c r="A140">
        <v>249811</v>
      </c>
      <c r="B140">
        <v>2795765</v>
      </c>
      <c r="C140">
        <v>8392</v>
      </c>
      <c r="D140" t="s">
        <v>92</v>
      </c>
      <c r="E140" t="s">
        <v>63</v>
      </c>
      <c r="F140">
        <v>2021</v>
      </c>
      <c r="G140" t="s">
        <v>59</v>
      </c>
      <c r="H140" t="s">
        <v>85</v>
      </c>
      <c r="I140">
        <v>21349590</v>
      </c>
      <c r="J140">
        <v>1000000</v>
      </c>
      <c r="K140">
        <v>1000</v>
      </c>
      <c r="L140">
        <v>1492.08</v>
      </c>
      <c r="M140">
        <v>0</v>
      </c>
      <c r="N140">
        <v>81.5</v>
      </c>
      <c r="O140">
        <v>90</v>
      </c>
      <c r="P140" s="1">
        <v>45812</v>
      </c>
      <c r="Q140" s="1">
        <v>45902</v>
      </c>
      <c r="R140">
        <v>0</v>
      </c>
      <c r="S140">
        <v>1</v>
      </c>
      <c r="T140">
        <v>84.1</v>
      </c>
      <c r="U140">
        <v>0</v>
      </c>
    </row>
    <row r="141" spans="1:21" x14ac:dyDescent="0.3">
      <c r="A141">
        <v>377746</v>
      </c>
      <c r="B141">
        <v>3607983</v>
      </c>
      <c r="C141">
        <v>2306</v>
      </c>
      <c r="D141" t="s">
        <v>211</v>
      </c>
      <c r="E141" t="s">
        <v>112</v>
      </c>
      <c r="F141">
        <v>2014</v>
      </c>
      <c r="G141" t="s">
        <v>103</v>
      </c>
      <c r="H141" t="s">
        <v>232</v>
      </c>
      <c r="I141">
        <v>20668752</v>
      </c>
      <c r="J141">
        <v>5000000</v>
      </c>
      <c r="K141">
        <v>2500</v>
      </c>
      <c r="L141">
        <v>1808.7</v>
      </c>
      <c r="M141">
        <v>0</v>
      </c>
      <c r="N141">
        <v>84.6</v>
      </c>
      <c r="O141">
        <v>30</v>
      </c>
      <c r="P141" s="1">
        <v>45784</v>
      </c>
      <c r="Q141" s="1">
        <v>45814</v>
      </c>
      <c r="R141">
        <v>0</v>
      </c>
      <c r="S141">
        <v>1</v>
      </c>
      <c r="T141">
        <v>89.4</v>
      </c>
      <c r="U141">
        <v>0</v>
      </c>
    </row>
    <row r="142" spans="1:21" x14ac:dyDescent="0.3">
      <c r="A142">
        <v>246413</v>
      </c>
      <c r="B142">
        <v>5569244</v>
      </c>
      <c r="C142">
        <v>7776</v>
      </c>
      <c r="D142" t="s">
        <v>126</v>
      </c>
      <c r="E142" t="s">
        <v>63</v>
      </c>
      <c r="F142">
        <v>2011</v>
      </c>
      <c r="G142" t="s">
        <v>70</v>
      </c>
      <c r="H142" t="s">
        <v>71</v>
      </c>
      <c r="I142">
        <v>27248238</v>
      </c>
      <c r="J142">
        <v>500000</v>
      </c>
      <c r="K142">
        <v>1000</v>
      </c>
      <c r="L142">
        <v>1706.17</v>
      </c>
      <c r="M142">
        <v>1</v>
      </c>
      <c r="N142">
        <v>82.7</v>
      </c>
      <c r="O142">
        <v>90</v>
      </c>
      <c r="P142" s="1">
        <v>45803</v>
      </c>
      <c r="Q142" s="1">
        <v>45893</v>
      </c>
      <c r="R142">
        <v>0</v>
      </c>
      <c r="S142">
        <v>1</v>
      </c>
      <c r="T142">
        <v>79.599999999999994</v>
      </c>
      <c r="U142">
        <v>0</v>
      </c>
    </row>
    <row r="143" spans="1:21" x14ac:dyDescent="0.3">
      <c r="A143">
        <v>358607</v>
      </c>
      <c r="B143">
        <v>5727085</v>
      </c>
      <c r="C143">
        <v>6864</v>
      </c>
      <c r="D143" t="s">
        <v>84</v>
      </c>
      <c r="E143" t="s">
        <v>63</v>
      </c>
      <c r="F143">
        <v>2014</v>
      </c>
      <c r="G143" t="s">
        <v>134</v>
      </c>
      <c r="H143" t="s">
        <v>135</v>
      </c>
      <c r="I143">
        <v>25407658</v>
      </c>
      <c r="J143">
        <v>1000000</v>
      </c>
      <c r="K143">
        <v>2500</v>
      </c>
      <c r="L143">
        <v>1583.16</v>
      </c>
      <c r="M143">
        <v>0</v>
      </c>
      <c r="N143">
        <v>87.8</v>
      </c>
      <c r="O143">
        <v>90</v>
      </c>
      <c r="P143" s="1">
        <v>45754</v>
      </c>
      <c r="Q143" s="1">
        <v>45844</v>
      </c>
      <c r="R143">
        <v>0</v>
      </c>
      <c r="S143">
        <v>0</v>
      </c>
      <c r="T143">
        <v>70.2</v>
      </c>
      <c r="U143">
        <v>0</v>
      </c>
    </row>
    <row r="144" spans="1:21" x14ac:dyDescent="0.3">
      <c r="A144">
        <v>881177</v>
      </c>
      <c r="B144">
        <v>4533779</v>
      </c>
      <c r="C144">
        <v>8526</v>
      </c>
      <c r="D144" t="s">
        <v>84</v>
      </c>
      <c r="E144" t="s">
        <v>112</v>
      </c>
      <c r="F144">
        <v>2022</v>
      </c>
      <c r="G144" t="s">
        <v>116</v>
      </c>
      <c r="H144" t="s">
        <v>212</v>
      </c>
      <c r="I144">
        <v>24200476</v>
      </c>
      <c r="J144">
        <v>2000000</v>
      </c>
      <c r="K144">
        <v>5000</v>
      </c>
      <c r="L144">
        <v>1979.18</v>
      </c>
      <c r="M144">
        <v>1</v>
      </c>
      <c r="N144">
        <v>83</v>
      </c>
      <c r="O144">
        <v>60</v>
      </c>
      <c r="P144" s="1">
        <v>45732</v>
      </c>
      <c r="Q144" s="1">
        <v>45792</v>
      </c>
      <c r="R144">
        <v>0</v>
      </c>
      <c r="S144">
        <v>1</v>
      </c>
      <c r="T144">
        <v>90.2</v>
      </c>
      <c r="U144">
        <v>0</v>
      </c>
    </row>
    <row r="145" spans="1:21" x14ac:dyDescent="0.3">
      <c r="A145">
        <v>688637</v>
      </c>
      <c r="B145">
        <v>6752576</v>
      </c>
      <c r="C145">
        <v>9901</v>
      </c>
      <c r="D145" t="s">
        <v>84</v>
      </c>
      <c r="E145" t="s">
        <v>80</v>
      </c>
      <c r="F145">
        <v>2024</v>
      </c>
      <c r="G145" t="s">
        <v>129</v>
      </c>
      <c r="H145" t="s">
        <v>130</v>
      </c>
      <c r="I145">
        <v>20433940</v>
      </c>
      <c r="J145">
        <v>2000000</v>
      </c>
      <c r="K145">
        <v>1000</v>
      </c>
      <c r="L145">
        <v>1881.05</v>
      </c>
      <c r="M145">
        <v>2</v>
      </c>
      <c r="N145">
        <v>74.8</v>
      </c>
      <c r="O145">
        <v>90</v>
      </c>
      <c r="P145" s="1">
        <v>45834</v>
      </c>
      <c r="Q145" s="1">
        <v>45924</v>
      </c>
      <c r="R145">
        <v>0</v>
      </c>
      <c r="S145">
        <v>1</v>
      </c>
      <c r="T145">
        <v>85.7</v>
      </c>
      <c r="U145">
        <v>0</v>
      </c>
    </row>
    <row r="146" spans="1:21" x14ac:dyDescent="0.3">
      <c r="A146">
        <v>665158</v>
      </c>
      <c r="B146">
        <v>4415796</v>
      </c>
      <c r="C146">
        <v>6575</v>
      </c>
      <c r="D146" t="s">
        <v>84</v>
      </c>
      <c r="E146" t="s">
        <v>63</v>
      </c>
      <c r="F146">
        <v>2023</v>
      </c>
      <c r="G146" t="s">
        <v>86</v>
      </c>
      <c r="H146" t="s">
        <v>243</v>
      </c>
      <c r="I146">
        <v>21532210</v>
      </c>
      <c r="J146">
        <v>1000000</v>
      </c>
      <c r="K146">
        <v>2500</v>
      </c>
      <c r="L146">
        <v>1710.71</v>
      </c>
      <c r="M146">
        <v>1</v>
      </c>
      <c r="N146">
        <v>76.2</v>
      </c>
      <c r="O146">
        <v>45</v>
      </c>
      <c r="P146" s="1">
        <v>45756</v>
      </c>
      <c r="Q146" s="1">
        <v>45801</v>
      </c>
      <c r="R146">
        <v>0</v>
      </c>
      <c r="S146">
        <v>1</v>
      </c>
      <c r="T146">
        <v>87.3</v>
      </c>
      <c r="U146">
        <v>0</v>
      </c>
    </row>
    <row r="147" spans="1:21" x14ac:dyDescent="0.3">
      <c r="A147">
        <v>375504</v>
      </c>
      <c r="B147">
        <v>5428914</v>
      </c>
      <c r="C147">
        <v>6530</v>
      </c>
      <c r="D147" t="s">
        <v>185</v>
      </c>
      <c r="E147" t="s">
        <v>2</v>
      </c>
      <c r="F147">
        <v>2017</v>
      </c>
      <c r="G147" t="s">
        <v>129</v>
      </c>
      <c r="H147" t="s">
        <v>130</v>
      </c>
      <c r="I147">
        <v>23840714</v>
      </c>
      <c r="J147">
        <v>500000</v>
      </c>
      <c r="K147">
        <v>1000</v>
      </c>
      <c r="L147">
        <v>2307.9899999999998</v>
      </c>
      <c r="M147">
        <v>1</v>
      </c>
      <c r="N147">
        <v>76.599999999999994</v>
      </c>
      <c r="O147">
        <v>45</v>
      </c>
      <c r="P147" s="1">
        <v>45762</v>
      </c>
      <c r="Q147" s="1">
        <v>45807</v>
      </c>
      <c r="R147">
        <v>0</v>
      </c>
      <c r="S147">
        <v>0</v>
      </c>
      <c r="T147">
        <v>69.3</v>
      </c>
      <c r="U147">
        <v>0</v>
      </c>
    </row>
    <row r="148" spans="1:21" x14ac:dyDescent="0.3">
      <c r="A148">
        <v>883300</v>
      </c>
      <c r="B148">
        <v>9479356</v>
      </c>
      <c r="C148">
        <v>5413</v>
      </c>
      <c r="D148" t="s">
        <v>84</v>
      </c>
      <c r="E148" t="s">
        <v>63</v>
      </c>
      <c r="F148">
        <v>2021</v>
      </c>
      <c r="G148" t="s">
        <v>134</v>
      </c>
      <c r="H148" t="s">
        <v>135</v>
      </c>
      <c r="I148">
        <v>29650239</v>
      </c>
      <c r="J148">
        <v>1000000</v>
      </c>
      <c r="K148">
        <v>10000</v>
      </c>
      <c r="L148">
        <v>1614.08</v>
      </c>
      <c r="M148">
        <v>1</v>
      </c>
      <c r="N148">
        <v>76.2</v>
      </c>
      <c r="O148">
        <v>45</v>
      </c>
      <c r="P148" s="1">
        <v>45897</v>
      </c>
      <c r="Q148" s="1">
        <v>45942</v>
      </c>
      <c r="R148">
        <v>0</v>
      </c>
      <c r="S148">
        <v>0</v>
      </c>
      <c r="T148">
        <v>62.4</v>
      </c>
      <c r="U148">
        <v>0</v>
      </c>
    </row>
    <row r="149" spans="1:21" x14ac:dyDescent="0.3">
      <c r="A149">
        <v>712982</v>
      </c>
      <c r="B149">
        <v>9196204</v>
      </c>
      <c r="C149">
        <v>4748</v>
      </c>
      <c r="D149" t="s">
        <v>126</v>
      </c>
      <c r="E149" t="s">
        <v>63</v>
      </c>
      <c r="F149">
        <v>2013</v>
      </c>
      <c r="G149" t="s">
        <v>70</v>
      </c>
      <c r="H149" t="s">
        <v>138</v>
      </c>
      <c r="I149">
        <v>29850288</v>
      </c>
      <c r="J149">
        <v>1000000</v>
      </c>
      <c r="K149">
        <v>2500</v>
      </c>
      <c r="L149">
        <v>1333.06</v>
      </c>
      <c r="M149">
        <v>0</v>
      </c>
      <c r="N149">
        <v>92.2</v>
      </c>
      <c r="O149">
        <v>60</v>
      </c>
      <c r="P149" s="1">
        <v>46011</v>
      </c>
      <c r="Q149" s="1">
        <v>46071</v>
      </c>
      <c r="R149">
        <v>0</v>
      </c>
      <c r="S149">
        <v>1</v>
      </c>
      <c r="T149">
        <v>90.3</v>
      </c>
      <c r="U149">
        <v>0</v>
      </c>
    </row>
    <row r="150" spans="1:21" x14ac:dyDescent="0.3">
      <c r="A150">
        <v>549245</v>
      </c>
      <c r="B150">
        <v>5213115</v>
      </c>
      <c r="C150">
        <v>1663</v>
      </c>
      <c r="D150" t="s">
        <v>225</v>
      </c>
      <c r="E150" t="s">
        <v>2</v>
      </c>
      <c r="F150">
        <v>2015</v>
      </c>
      <c r="G150" t="s">
        <v>121</v>
      </c>
      <c r="H150" t="s">
        <v>179</v>
      </c>
      <c r="I150">
        <v>20348050</v>
      </c>
      <c r="J150">
        <v>500000</v>
      </c>
      <c r="K150">
        <v>5000</v>
      </c>
      <c r="L150">
        <v>2032.85</v>
      </c>
      <c r="M150">
        <v>0</v>
      </c>
      <c r="N150">
        <v>87.3</v>
      </c>
      <c r="O150">
        <v>30</v>
      </c>
      <c r="P150" s="1">
        <v>45878</v>
      </c>
      <c r="Q150" s="1">
        <v>45908</v>
      </c>
      <c r="R150">
        <v>0</v>
      </c>
      <c r="S150">
        <v>1</v>
      </c>
      <c r="T150">
        <v>99.9</v>
      </c>
      <c r="U150">
        <v>0</v>
      </c>
    </row>
    <row r="151" spans="1:21" x14ac:dyDescent="0.3">
      <c r="A151">
        <v>711878</v>
      </c>
      <c r="B151">
        <v>1852264</v>
      </c>
      <c r="C151">
        <v>2998</v>
      </c>
      <c r="D151" t="s">
        <v>84</v>
      </c>
      <c r="E151" t="s">
        <v>63</v>
      </c>
      <c r="F151">
        <v>2024</v>
      </c>
      <c r="G151" t="s">
        <v>93</v>
      </c>
      <c r="H151" t="s">
        <v>217</v>
      </c>
      <c r="I151">
        <v>24521644</v>
      </c>
      <c r="J151">
        <v>1000000</v>
      </c>
      <c r="K151">
        <v>2500</v>
      </c>
      <c r="L151">
        <v>1795.55</v>
      </c>
      <c r="M151">
        <v>2</v>
      </c>
      <c r="N151">
        <v>47.5</v>
      </c>
      <c r="O151">
        <v>60</v>
      </c>
      <c r="P151" s="1">
        <v>45686</v>
      </c>
      <c r="Q151" s="1">
        <v>45746</v>
      </c>
      <c r="R151">
        <v>0</v>
      </c>
      <c r="S151">
        <v>1</v>
      </c>
      <c r="T151">
        <v>88.1</v>
      </c>
      <c r="U151">
        <v>0</v>
      </c>
    </row>
    <row r="152" spans="1:21" x14ac:dyDescent="0.3">
      <c r="A152">
        <v>518801</v>
      </c>
      <c r="B152">
        <v>2548511</v>
      </c>
      <c r="C152">
        <v>8994</v>
      </c>
      <c r="D152" t="s">
        <v>142</v>
      </c>
      <c r="E152" t="s">
        <v>63</v>
      </c>
      <c r="F152">
        <v>2008</v>
      </c>
      <c r="G152" t="s">
        <v>59</v>
      </c>
      <c r="H152" t="s">
        <v>167</v>
      </c>
      <c r="I152">
        <v>29667820</v>
      </c>
      <c r="J152">
        <v>500000</v>
      </c>
      <c r="K152">
        <v>1000</v>
      </c>
      <c r="L152">
        <v>1189.28</v>
      </c>
      <c r="M152">
        <v>0</v>
      </c>
      <c r="N152">
        <v>87.9</v>
      </c>
      <c r="O152">
        <v>90</v>
      </c>
      <c r="P152" s="1">
        <v>45685</v>
      </c>
      <c r="Q152" s="1">
        <v>45775</v>
      </c>
      <c r="R152">
        <v>0</v>
      </c>
      <c r="S152">
        <v>1</v>
      </c>
      <c r="T152">
        <v>89.6</v>
      </c>
      <c r="U152">
        <v>0</v>
      </c>
    </row>
    <row r="153" spans="1:21" x14ac:dyDescent="0.3">
      <c r="A153">
        <v>479580</v>
      </c>
      <c r="B153">
        <v>8106422</v>
      </c>
      <c r="C153">
        <v>2495</v>
      </c>
      <c r="D153" t="s">
        <v>126</v>
      </c>
      <c r="E153" t="s">
        <v>63</v>
      </c>
      <c r="F153">
        <v>2010</v>
      </c>
      <c r="G153" t="s">
        <v>132</v>
      </c>
      <c r="H153" t="s">
        <v>133</v>
      </c>
      <c r="I153">
        <v>20674975</v>
      </c>
      <c r="J153">
        <v>500000</v>
      </c>
      <c r="K153">
        <v>2500</v>
      </c>
      <c r="L153">
        <v>1551.69</v>
      </c>
      <c r="M153">
        <v>0</v>
      </c>
      <c r="N153">
        <v>83.8</v>
      </c>
      <c r="O153">
        <v>30</v>
      </c>
      <c r="P153" s="1">
        <v>46005</v>
      </c>
      <c r="Q153" s="1">
        <v>46035</v>
      </c>
      <c r="R153">
        <v>0</v>
      </c>
      <c r="S153">
        <v>1</v>
      </c>
      <c r="T153">
        <v>92.8</v>
      </c>
      <c r="U153">
        <v>0</v>
      </c>
    </row>
    <row r="154" spans="1:21" x14ac:dyDescent="0.3">
      <c r="A154">
        <v>329974</v>
      </c>
      <c r="B154">
        <v>5641923</v>
      </c>
      <c r="C154">
        <v>4304</v>
      </c>
      <c r="D154" t="s">
        <v>84</v>
      </c>
      <c r="E154" t="s">
        <v>63</v>
      </c>
      <c r="F154">
        <v>2013</v>
      </c>
      <c r="G154" t="s">
        <v>109</v>
      </c>
      <c r="H154" t="s">
        <v>161</v>
      </c>
      <c r="I154">
        <v>22939212</v>
      </c>
      <c r="J154">
        <v>1000000</v>
      </c>
      <c r="K154">
        <v>10000</v>
      </c>
      <c r="L154">
        <v>1565.76</v>
      </c>
      <c r="M154">
        <v>1</v>
      </c>
      <c r="N154">
        <v>77.8</v>
      </c>
      <c r="O154">
        <v>60</v>
      </c>
      <c r="P154" s="1">
        <v>45766</v>
      </c>
      <c r="Q154" s="1">
        <v>45826</v>
      </c>
      <c r="R154">
        <v>0</v>
      </c>
      <c r="S154">
        <v>1</v>
      </c>
      <c r="T154">
        <v>79.099999999999994</v>
      </c>
      <c r="U154">
        <v>0</v>
      </c>
    </row>
    <row r="155" spans="1:21" x14ac:dyDescent="0.3">
      <c r="A155">
        <v>245051</v>
      </c>
      <c r="B155">
        <v>1739653</v>
      </c>
      <c r="C155">
        <v>4763</v>
      </c>
      <c r="D155" t="s">
        <v>185</v>
      </c>
      <c r="E155" t="s">
        <v>63</v>
      </c>
      <c r="F155">
        <v>2008</v>
      </c>
      <c r="G155" t="s">
        <v>59</v>
      </c>
      <c r="H155" t="s">
        <v>61</v>
      </c>
      <c r="I155">
        <v>27893693</v>
      </c>
      <c r="J155">
        <v>500000</v>
      </c>
      <c r="K155">
        <v>2500</v>
      </c>
      <c r="L155">
        <v>1439.14</v>
      </c>
      <c r="M155">
        <v>0</v>
      </c>
      <c r="N155">
        <v>78.5</v>
      </c>
      <c r="O155">
        <v>90</v>
      </c>
      <c r="P155" s="1">
        <v>45691</v>
      </c>
      <c r="Q155" s="1">
        <v>45781</v>
      </c>
      <c r="R155">
        <v>0</v>
      </c>
      <c r="S155">
        <v>1</v>
      </c>
      <c r="T155">
        <v>99.9</v>
      </c>
      <c r="U155">
        <v>0</v>
      </c>
    </row>
    <row r="156" spans="1:21" x14ac:dyDescent="0.3">
      <c r="A156">
        <v>634277</v>
      </c>
      <c r="B156">
        <v>1059486</v>
      </c>
      <c r="C156">
        <v>6232</v>
      </c>
      <c r="D156" t="s">
        <v>106</v>
      </c>
      <c r="E156" t="s">
        <v>63</v>
      </c>
      <c r="F156">
        <v>2013</v>
      </c>
      <c r="G156" t="s">
        <v>134</v>
      </c>
      <c r="H156" t="s">
        <v>278</v>
      </c>
      <c r="I156">
        <v>28706768</v>
      </c>
      <c r="J156">
        <v>1000000</v>
      </c>
      <c r="K156">
        <v>5000</v>
      </c>
      <c r="L156">
        <v>1489.84</v>
      </c>
      <c r="M156">
        <v>0</v>
      </c>
      <c r="N156">
        <v>92.1</v>
      </c>
      <c r="O156">
        <v>90</v>
      </c>
      <c r="P156" s="1">
        <v>45876</v>
      </c>
      <c r="Q156" s="1">
        <v>45966</v>
      </c>
      <c r="R156">
        <v>0</v>
      </c>
      <c r="S156">
        <v>1</v>
      </c>
      <c r="T156">
        <v>89.4</v>
      </c>
      <c r="U156">
        <v>0</v>
      </c>
    </row>
    <row r="157" spans="1:21" x14ac:dyDescent="0.3">
      <c r="A157">
        <v>617488</v>
      </c>
      <c r="B157">
        <v>6596150</v>
      </c>
      <c r="C157">
        <v>2853</v>
      </c>
      <c r="D157" t="s">
        <v>225</v>
      </c>
      <c r="E157" t="s">
        <v>63</v>
      </c>
      <c r="F157">
        <v>2020</v>
      </c>
      <c r="G157" t="s">
        <v>109</v>
      </c>
      <c r="H157" t="s">
        <v>110</v>
      </c>
      <c r="I157">
        <v>27419378</v>
      </c>
      <c r="J157">
        <v>2000000</v>
      </c>
      <c r="K157">
        <v>5000</v>
      </c>
      <c r="L157">
        <v>1652.86</v>
      </c>
      <c r="M157">
        <v>1</v>
      </c>
      <c r="N157">
        <v>86.5</v>
      </c>
      <c r="O157">
        <v>90</v>
      </c>
      <c r="P157" s="1">
        <v>45885</v>
      </c>
      <c r="Q157" s="1">
        <v>45975</v>
      </c>
      <c r="R157">
        <v>0</v>
      </c>
      <c r="S157">
        <v>1</v>
      </c>
      <c r="T157">
        <v>99.4</v>
      </c>
      <c r="U157">
        <v>0</v>
      </c>
    </row>
    <row r="158" spans="1:21" x14ac:dyDescent="0.3">
      <c r="A158">
        <v>195325</v>
      </c>
      <c r="B158">
        <v>3194789</v>
      </c>
      <c r="C158">
        <v>7585</v>
      </c>
      <c r="D158" t="s">
        <v>185</v>
      </c>
      <c r="E158" t="s">
        <v>63</v>
      </c>
      <c r="F158">
        <v>2017</v>
      </c>
      <c r="G158" t="s">
        <v>86</v>
      </c>
      <c r="H158" t="s">
        <v>253</v>
      </c>
      <c r="I158">
        <v>24666692</v>
      </c>
      <c r="J158">
        <v>3000000</v>
      </c>
      <c r="K158">
        <v>1000</v>
      </c>
      <c r="L158">
        <v>1535.13</v>
      </c>
      <c r="M158">
        <v>0</v>
      </c>
      <c r="N158">
        <v>75</v>
      </c>
      <c r="O158">
        <v>45</v>
      </c>
      <c r="P158" s="1">
        <v>45894</v>
      </c>
      <c r="Q158" s="1">
        <v>45939</v>
      </c>
      <c r="R158">
        <v>0</v>
      </c>
      <c r="S158">
        <v>1</v>
      </c>
      <c r="T158">
        <v>82.9</v>
      </c>
      <c r="U158">
        <v>0</v>
      </c>
    </row>
    <row r="159" spans="1:21" x14ac:dyDescent="0.3">
      <c r="A159">
        <v>892495</v>
      </c>
      <c r="B159">
        <v>5394880</v>
      </c>
      <c r="C159">
        <v>2291</v>
      </c>
      <c r="D159" t="s">
        <v>142</v>
      </c>
      <c r="E159" t="s">
        <v>80</v>
      </c>
      <c r="F159">
        <v>2024</v>
      </c>
      <c r="G159" t="s">
        <v>150</v>
      </c>
      <c r="H159" t="s">
        <v>159</v>
      </c>
      <c r="I159">
        <v>23044882</v>
      </c>
      <c r="J159">
        <v>500000</v>
      </c>
      <c r="K159">
        <v>1000</v>
      </c>
      <c r="L159">
        <v>1497.74</v>
      </c>
      <c r="M159">
        <v>0</v>
      </c>
      <c r="N159">
        <v>85.7</v>
      </c>
      <c r="O159">
        <v>90</v>
      </c>
      <c r="P159" s="1">
        <v>45755</v>
      </c>
      <c r="Q159" s="1">
        <v>45845</v>
      </c>
      <c r="R159">
        <v>1</v>
      </c>
      <c r="S159">
        <v>1</v>
      </c>
      <c r="T159">
        <v>99.9</v>
      </c>
      <c r="U159">
        <v>0</v>
      </c>
    </row>
    <row r="160" spans="1:21" x14ac:dyDescent="0.3">
      <c r="A160">
        <v>149405</v>
      </c>
      <c r="B160">
        <v>3710895</v>
      </c>
      <c r="C160">
        <v>4581</v>
      </c>
      <c r="D160" t="s">
        <v>126</v>
      </c>
      <c r="E160" t="s">
        <v>2</v>
      </c>
      <c r="F160">
        <v>2023</v>
      </c>
      <c r="G160" t="s">
        <v>176</v>
      </c>
      <c r="H160" t="s">
        <v>316</v>
      </c>
      <c r="I160">
        <v>29820201</v>
      </c>
      <c r="J160">
        <v>500000</v>
      </c>
      <c r="K160">
        <v>2500</v>
      </c>
      <c r="L160">
        <v>1961.57</v>
      </c>
      <c r="M160">
        <v>0</v>
      </c>
      <c r="N160">
        <v>73.3</v>
      </c>
      <c r="O160">
        <v>60</v>
      </c>
      <c r="P160" s="1">
        <v>45663</v>
      </c>
      <c r="Q160" s="1">
        <v>45723</v>
      </c>
      <c r="R160">
        <v>1</v>
      </c>
      <c r="S160">
        <v>1</v>
      </c>
      <c r="T160">
        <v>93.4</v>
      </c>
      <c r="U160">
        <v>0</v>
      </c>
    </row>
    <row r="161" spans="1:21" x14ac:dyDescent="0.3">
      <c r="A161">
        <v>214975</v>
      </c>
      <c r="B161">
        <v>8412769</v>
      </c>
      <c r="C161">
        <v>8554</v>
      </c>
      <c r="D161" t="s">
        <v>84</v>
      </c>
      <c r="E161" t="s">
        <v>2</v>
      </c>
      <c r="F161">
        <v>2016</v>
      </c>
      <c r="G161" t="s">
        <v>93</v>
      </c>
      <c r="H161" t="s">
        <v>217</v>
      </c>
      <c r="I161">
        <v>27312936</v>
      </c>
      <c r="J161">
        <v>500000</v>
      </c>
      <c r="K161">
        <v>2500</v>
      </c>
      <c r="L161">
        <v>1868.85</v>
      </c>
      <c r="M161">
        <v>0</v>
      </c>
      <c r="N161">
        <v>69.599999999999994</v>
      </c>
      <c r="O161">
        <v>30</v>
      </c>
      <c r="P161" s="1">
        <v>46010</v>
      </c>
      <c r="Q161" s="1">
        <v>46040</v>
      </c>
      <c r="R161">
        <v>0</v>
      </c>
      <c r="S161">
        <v>1</v>
      </c>
      <c r="T161">
        <v>91.9</v>
      </c>
      <c r="U161">
        <v>0</v>
      </c>
    </row>
    <row r="162" spans="1:21" x14ac:dyDescent="0.3">
      <c r="A162">
        <v>260265</v>
      </c>
      <c r="B162">
        <v>8175395</v>
      </c>
      <c r="C162">
        <v>8280</v>
      </c>
      <c r="D162" t="s">
        <v>142</v>
      </c>
      <c r="E162" t="s">
        <v>112</v>
      </c>
      <c r="F162">
        <v>2014</v>
      </c>
      <c r="G162" t="s">
        <v>103</v>
      </c>
      <c r="H162" t="s">
        <v>99</v>
      </c>
      <c r="I162">
        <v>28249789</v>
      </c>
      <c r="J162">
        <v>2000000</v>
      </c>
      <c r="K162">
        <v>5000</v>
      </c>
      <c r="L162">
        <v>1838.66</v>
      </c>
      <c r="M162">
        <v>0</v>
      </c>
      <c r="N162">
        <v>76.400000000000006</v>
      </c>
      <c r="O162">
        <v>45</v>
      </c>
      <c r="P162" s="1">
        <v>45749</v>
      </c>
      <c r="Q162" s="1">
        <v>45794</v>
      </c>
      <c r="R162">
        <v>0</v>
      </c>
      <c r="S162">
        <v>1</v>
      </c>
      <c r="T162">
        <v>89.6</v>
      </c>
      <c r="U162">
        <v>0</v>
      </c>
    </row>
    <row r="163" spans="1:21" x14ac:dyDescent="0.3">
      <c r="A163">
        <v>757924</v>
      </c>
      <c r="B163">
        <v>1162230</v>
      </c>
      <c r="C163">
        <v>2636</v>
      </c>
      <c r="D163" t="s">
        <v>142</v>
      </c>
      <c r="E163" t="s">
        <v>63</v>
      </c>
      <c r="F163">
        <v>2017</v>
      </c>
      <c r="G163" t="s">
        <v>103</v>
      </c>
      <c r="H163" t="s">
        <v>232</v>
      </c>
      <c r="I163">
        <v>21530793</v>
      </c>
      <c r="J163">
        <v>2000000</v>
      </c>
      <c r="K163">
        <v>5000</v>
      </c>
      <c r="L163">
        <v>1523.84</v>
      </c>
      <c r="M163">
        <v>0</v>
      </c>
      <c r="N163">
        <v>89.8</v>
      </c>
      <c r="O163">
        <v>60</v>
      </c>
      <c r="P163" s="1">
        <v>45904</v>
      </c>
      <c r="Q163" s="1">
        <v>45964</v>
      </c>
      <c r="R163">
        <v>0</v>
      </c>
      <c r="S163">
        <v>1</v>
      </c>
      <c r="T163">
        <v>86.3</v>
      </c>
      <c r="U163">
        <v>0</v>
      </c>
    </row>
    <row r="164" spans="1:21" x14ac:dyDescent="0.3">
      <c r="A164">
        <v>267753</v>
      </c>
      <c r="B164">
        <v>2876932</v>
      </c>
      <c r="C164">
        <v>4696</v>
      </c>
      <c r="D164" t="s">
        <v>92</v>
      </c>
      <c r="E164" t="s">
        <v>63</v>
      </c>
      <c r="F164">
        <v>2020</v>
      </c>
      <c r="G164" t="s">
        <v>134</v>
      </c>
      <c r="H164" t="s">
        <v>282</v>
      </c>
      <c r="I164">
        <v>27885465</v>
      </c>
      <c r="J164">
        <v>500000</v>
      </c>
      <c r="K164">
        <v>2500</v>
      </c>
      <c r="L164">
        <v>1517.75</v>
      </c>
      <c r="M164">
        <v>1</v>
      </c>
      <c r="N164">
        <v>86.6</v>
      </c>
      <c r="O164">
        <v>45</v>
      </c>
      <c r="P164" s="1">
        <v>45915</v>
      </c>
      <c r="Q164" s="1">
        <v>45960</v>
      </c>
      <c r="R164">
        <v>0</v>
      </c>
      <c r="S164">
        <v>0</v>
      </c>
      <c r="T164">
        <v>81.400000000000006</v>
      </c>
      <c r="U164">
        <v>0</v>
      </c>
    </row>
    <row r="165" spans="1:21" x14ac:dyDescent="0.3">
      <c r="A165">
        <v>930555</v>
      </c>
      <c r="B165">
        <v>2262382</v>
      </c>
      <c r="C165">
        <v>1698</v>
      </c>
      <c r="D165" t="s">
        <v>57</v>
      </c>
      <c r="E165" t="s">
        <v>2</v>
      </c>
      <c r="F165">
        <v>2015</v>
      </c>
      <c r="G165" t="s">
        <v>59</v>
      </c>
      <c r="H165" t="s">
        <v>61</v>
      </c>
      <c r="I165">
        <v>25837817</v>
      </c>
      <c r="J165">
        <v>3000000</v>
      </c>
      <c r="K165">
        <v>1000</v>
      </c>
      <c r="L165">
        <v>2210.3200000000002</v>
      </c>
      <c r="M165">
        <v>1</v>
      </c>
      <c r="N165">
        <v>82.6</v>
      </c>
      <c r="O165">
        <v>60</v>
      </c>
      <c r="P165" s="1">
        <v>45880</v>
      </c>
      <c r="Q165" s="1">
        <v>45940</v>
      </c>
      <c r="R165">
        <v>0</v>
      </c>
      <c r="S165">
        <v>1</v>
      </c>
      <c r="T165">
        <v>89</v>
      </c>
      <c r="U165">
        <v>0</v>
      </c>
    </row>
    <row r="166" spans="1:21" x14ac:dyDescent="0.3">
      <c r="A166">
        <v>813536</v>
      </c>
      <c r="B166">
        <v>3500715</v>
      </c>
      <c r="C166">
        <v>5737</v>
      </c>
      <c r="D166" t="s">
        <v>57</v>
      </c>
      <c r="E166" t="s">
        <v>2</v>
      </c>
      <c r="F166">
        <v>2021</v>
      </c>
      <c r="G166" t="s">
        <v>103</v>
      </c>
      <c r="H166" t="s">
        <v>204</v>
      </c>
      <c r="I166">
        <v>26850944</v>
      </c>
      <c r="J166">
        <v>500000</v>
      </c>
      <c r="K166">
        <v>5000</v>
      </c>
      <c r="L166">
        <v>1835.68</v>
      </c>
      <c r="M166">
        <v>0</v>
      </c>
      <c r="N166">
        <v>88.5</v>
      </c>
      <c r="O166">
        <v>60</v>
      </c>
      <c r="P166" s="1">
        <v>45772</v>
      </c>
      <c r="Q166" s="1">
        <v>45832</v>
      </c>
      <c r="R166">
        <v>1</v>
      </c>
      <c r="S166">
        <v>1</v>
      </c>
      <c r="T166">
        <v>74.2</v>
      </c>
      <c r="U166">
        <v>0</v>
      </c>
    </row>
    <row r="167" spans="1:21" x14ac:dyDescent="0.3">
      <c r="A167">
        <v>542666</v>
      </c>
      <c r="B167">
        <v>1604451</v>
      </c>
      <c r="C167">
        <v>1854</v>
      </c>
      <c r="D167" t="s">
        <v>142</v>
      </c>
      <c r="E167" t="s">
        <v>112</v>
      </c>
      <c r="F167">
        <v>2017</v>
      </c>
      <c r="G167" t="s">
        <v>86</v>
      </c>
      <c r="H167" t="s">
        <v>253</v>
      </c>
      <c r="I167">
        <v>25591986</v>
      </c>
      <c r="J167">
        <v>1000000</v>
      </c>
      <c r="K167">
        <v>1000</v>
      </c>
      <c r="L167">
        <v>1846.97</v>
      </c>
      <c r="M167">
        <v>0</v>
      </c>
      <c r="N167">
        <v>86.6</v>
      </c>
      <c r="O167">
        <v>30</v>
      </c>
      <c r="P167" s="1">
        <v>45756</v>
      </c>
      <c r="Q167" s="1">
        <v>45786</v>
      </c>
      <c r="R167">
        <v>0</v>
      </c>
      <c r="S167">
        <v>1</v>
      </c>
      <c r="T167">
        <v>80.2</v>
      </c>
      <c r="U167">
        <v>0</v>
      </c>
    </row>
    <row r="168" spans="1:21" x14ac:dyDescent="0.3">
      <c r="A168">
        <v>725380</v>
      </c>
      <c r="B168">
        <v>7194416</v>
      </c>
      <c r="C168">
        <v>9164</v>
      </c>
      <c r="D168" t="s">
        <v>57</v>
      </c>
      <c r="E168" t="s">
        <v>63</v>
      </c>
      <c r="F168">
        <v>2020</v>
      </c>
      <c r="G168" t="s">
        <v>132</v>
      </c>
      <c r="H168" t="s">
        <v>229</v>
      </c>
      <c r="I168">
        <v>25386463</v>
      </c>
      <c r="J168">
        <v>2000000</v>
      </c>
      <c r="K168">
        <v>5000</v>
      </c>
      <c r="L168">
        <v>1494.07</v>
      </c>
      <c r="M168">
        <v>0</v>
      </c>
      <c r="N168">
        <v>76.2</v>
      </c>
      <c r="O168">
        <v>45</v>
      </c>
      <c r="P168" s="1">
        <v>45876</v>
      </c>
      <c r="Q168" s="1">
        <v>45921</v>
      </c>
      <c r="R168">
        <v>0</v>
      </c>
      <c r="S168">
        <v>1</v>
      </c>
      <c r="T168">
        <v>86.7</v>
      </c>
      <c r="U168">
        <v>0</v>
      </c>
    </row>
    <row r="169" spans="1:21" x14ac:dyDescent="0.3">
      <c r="A169">
        <v>166613</v>
      </c>
      <c r="B169">
        <v>3484601</v>
      </c>
      <c r="C169">
        <v>6855</v>
      </c>
      <c r="D169" t="s">
        <v>211</v>
      </c>
      <c r="E169" t="s">
        <v>63</v>
      </c>
      <c r="F169">
        <v>2018</v>
      </c>
      <c r="G169" t="s">
        <v>121</v>
      </c>
      <c r="H169" t="s">
        <v>122</v>
      </c>
      <c r="I169">
        <v>21754894</v>
      </c>
      <c r="J169">
        <v>3000000</v>
      </c>
      <c r="K169">
        <v>2500</v>
      </c>
      <c r="L169">
        <v>2030.58</v>
      </c>
      <c r="M169">
        <v>2</v>
      </c>
      <c r="N169">
        <v>77.900000000000006</v>
      </c>
      <c r="O169">
        <v>60</v>
      </c>
      <c r="P169" s="1">
        <v>45974</v>
      </c>
      <c r="Q169" s="1">
        <v>46034</v>
      </c>
      <c r="R169">
        <v>0</v>
      </c>
      <c r="S169">
        <v>1</v>
      </c>
      <c r="T169">
        <v>90.2</v>
      </c>
      <c r="U169">
        <v>0</v>
      </c>
    </row>
    <row r="170" spans="1:21" x14ac:dyDescent="0.3">
      <c r="A170">
        <v>503457</v>
      </c>
      <c r="B170">
        <v>8210624</v>
      </c>
      <c r="C170">
        <v>8392</v>
      </c>
      <c r="D170" t="s">
        <v>225</v>
      </c>
      <c r="E170" t="s">
        <v>63</v>
      </c>
      <c r="F170">
        <v>2015</v>
      </c>
      <c r="G170" t="s">
        <v>129</v>
      </c>
      <c r="H170" t="s">
        <v>130</v>
      </c>
      <c r="I170">
        <v>22698193</v>
      </c>
      <c r="J170">
        <v>2000000</v>
      </c>
      <c r="K170">
        <v>2500</v>
      </c>
      <c r="L170">
        <v>1423.18</v>
      </c>
      <c r="M170">
        <v>0</v>
      </c>
      <c r="N170">
        <v>89.2</v>
      </c>
      <c r="O170">
        <v>45</v>
      </c>
      <c r="P170" s="1">
        <v>46003</v>
      </c>
      <c r="Q170" s="1">
        <v>46048</v>
      </c>
      <c r="R170">
        <v>0</v>
      </c>
      <c r="S170">
        <v>1</v>
      </c>
      <c r="T170">
        <v>87.6</v>
      </c>
      <c r="U170">
        <v>0</v>
      </c>
    </row>
    <row r="171" spans="1:21" x14ac:dyDescent="0.3">
      <c r="A171">
        <v>500156</v>
      </c>
      <c r="B171">
        <v>3138181</v>
      </c>
      <c r="C171">
        <v>7528</v>
      </c>
      <c r="D171" t="s">
        <v>57</v>
      </c>
      <c r="E171" t="s">
        <v>63</v>
      </c>
      <c r="F171">
        <v>2025</v>
      </c>
      <c r="G171" t="s">
        <v>200</v>
      </c>
      <c r="H171" t="s">
        <v>338</v>
      </c>
      <c r="I171">
        <v>25533187</v>
      </c>
      <c r="J171">
        <v>3000000</v>
      </c>
      <c r="K171">
        <v>1000</v>
      </c>
      <c r="L171">
        <v>1588.08</v>
      </c>
      <c r="M171">
        <v>1</v>
      </c>
      <c r="N171">
        <v>84.8</v>
      </c>
      <c r="O171">
        <v>30</v>
      </c>
      <c r="P171" s="1">
        <v>45696</v>
      </c>
      <c r="Q171" s="1">
        <v>45726</v>
      </c>
      <c r="R171">
        <v>1</v>
      </c>
      <c r="S171">
        <v>1</v>
      </c>
      <c r="T171">
        <v>96.5</v>
      </c>
      <c r="U171">
        <v>0</v>
      </c>
    </row>
    <row r="172" spans="1:21" x14ac:dyDescent="0.3">
      <c r="A172">
        <v>724834</v>
      </c>
      <c r="B172">
        <v>1701771</v>
      </c>
      <c r="C172">
        <v>6249</v>
      </c>
      <c r="D172" t="s">
        <v>142</v>
      </c>
      <c r="E172" t="s">
        <v>2</v>
      </c>
      <c r="F172">
        <v>2023</v>
      </c>
      <c r="G172" t="s">
        <v>86</v>
      </c>
      <c r="H172" t="s">
        <v>243</v>
      </c>
      <c r="I172">
        <v>26906258</v>
      </c>
      <c r="J172">
        <v>1000000</v>
      </c>
      <c r="K172">
        <v>2500</v>
      </c>
      <c r="L172">
        <v>1897.67</v>
      </c>
      <c r="M172">
        <v>0</v>
      </c>
      <c r="N172">
        <v>92.7</v>
      </c>
      <c r="O172">
        <v>30</v>
      </c>
      <c r="P172" s="1">
        <v>45714</v>
      </c>
      <c r="Q172" s="1">
        <v>45744</v>
      </c>
      <c r="R172">
        <v>0</v>
      </c>
      <c r="S172">
        <v>1</v>
      </c>
      <c r="T172">
        <v>74.3</v>
      </c>
      <c r="U172">
        <v>0</v>
      </c>
    </row>
    <row r="173" spans="1:21" x14ac:dyDescent="0.3">
      <c r="A173">
        <v>590785</v>
      </c>
      <c r="B173">
        <v>6171716</v>
      </c>
      <c r="C173">
        <v>6172</v>
      </c>
      <c r="D173" t="s">
        <v>142</v>
      </c>
      <c r="E173" t="s">
        <v>2</v>
      </c>
      <c r="F173">
        <v>2012</v>
      </c>
      <c r="G173" t="s">
        <v>109</v>
      </c>
      <c r="H173" t="s">
        <v>198</v>
      </c>
      <c r="I173">
        <v>28312590</v>
      </c>
      <c r="J173">
        <v>3000000</v>
      </c>
      <c r="K173">
        <v>2500</v>
      </c>
      <c r="L173">
        <v>2043.62</v>
      </c>
      <c r="M173">
        <v>1</v>
      </c>
      <c r="N173">
        <v>84.4</v>
      </c>
      <c r="O173">
        <v>45</v>
      </c>
      <c r="P173" s="1">
        <v>46002</v>
      </c>
      <c r="Q173" s="1">
        <v>46047</v>
      </c>
      <c r="R173">
        <v>0</v>
      </c>
      <c r="S173">
        <v>1</v>
      </c>
      <c r="T173">
        <v>89</v>
      </c>
      <c r="U173">
        <v>0</v>
      </c>
    </row>
    <row r="174" spans="1:21" x14ac:dyDescent="0.3">
      <c r="A174">
        <v>654816</v>
      </c>
      <c r="B174">
        <v>7117837</v>
      </c>
      <c r="C174">
        <v>2707</v>
      </c>
      <c r="D174" t="s">
        <v>84</v>
      </c>
      <c r="E174" t="s">
        <v>63</v>
      </c>
      <c r="F174">
        <v>2024</v>
      </c>
      <c r="G174" t="s">
        <v>116</v>
      </c>
      <c r="H174" t="s">
        <v>128</v>
      </c>
      <c r="I174">
        <v>24835492</v>
      </c>
      <c r="J174">
        <v>500000</v>
      </c>
      <c r="K174">
        <v>2500</v>
      </c>
      <c r="L174">
        <v>1545.99</v>
      </c>
      <c r="M174">
        <v>0</v>
      </c>
      <c r="N174">
        <v>85.2</v>
      </c>
      <c r="O174">
        <v>90</v>
      </c>
      <c r="P174" s="1">
        <v>45926</v>
      </c>
      <c r="Q174" s="1">
        <v>46016</v>
      </c>
      <c r="R174">
        <v>0</v>
      </c>
      <c r="S174">
        <v>1</v>
      </c>
      <c r="T174">
        <v>75.3</v>
      </c>
      <c r="U174">
        <v>0</v>
      </c>
    </row>
    <row r="175" spans="1:21" x14ac:dyDescent="0.3">
      <c r="A175">
        <v>363626</v>
      </c>
      <c r="B175">
        <v>1669324</v>
      </c>
      <c r="C175">
        <v>6791</v>
      </c>
      <c r="D175" t="s">
        <v>211</v>
      </c>
      <c r="E175" t="s">
        <v>215</v>
      </c>
      <c r="F175">
        <v>2019</v>
      </c>
      <c r="G175" t="s">
        <v>134</v>
      </c>
      <c r="H175" t="s">
        <v>172</v>
      </c>
      <c r="I175">
        <v>26718473</v>
      </c>
      <c r="J175">
        <v>3000000</v>
      </c>
      <c r="K175">
        <v>1000</v>
      </c>
      <c r="L175">
        <v>2006.04</v>
      </c>
      <c r="M175">
        <v>0</v>
      </c>
      <c r="N175">
        <v>91.6</v>
      </c>
      <c r="O175">
        <v>45</v>
      </c>
      <c r="P175" s="1">
        <v>45980</v>
      </c>
      <c r="Q175" s="1">
        <v>46025</v>
      </c>
      <c r="R175">
        <v>0</v>
      </c>
      <c r="S175">
        <v>1</v>
      </c>
      <c r="T175">
        <v>93.3</v>
      </c>
      <c r="U175">
        <v>0</v>
      </c>
    </row>
    <row r="176" spans="1:21" x14ac:dyDescent="0.3">
      <c r="A176">
        <v>680099</v>
      </c>
      <c r="B176">
        <v>7003042</v>
      </c>
      <c r="C176">
        <v>6535</v>
      </c>
      <c r="D176" t="s">
        <v>101</v>
      </c>
      <c r="E176" t="s">
        <v>2</v>
      </c>
      <c r="F176">
        <v>2024</v>
      </c>
      <c r="G176" t="s">
        <v>150</v>
      </c>
      <c r="H176" t="s">
        <v>265</v>
      </c>
      <c r="I176">
        <v>29229089</v>
      </c>
      <c r="J176">
        <v>1000000</v>
      </c>
      <c r="K176">
        <v>5000</v>
      </c>
      <c r="L176">
        <v>1953.56</v>
      </c>
      <c r="M176">
        <v>1</v>
      </c>
      <c r="N176">
        <v>77.8</v>
      </c>
      <c r="O176">
        <v>60</v>
      </c>
      <c r="P176" s="1">
        <v>45731</v>
      </c>
      <c r="Q176" s="1">
        <v>45791</v>
      </c>
      <c r="R176">
        <v>1</v>
      </c>
      <c r="S176">
        <v>1</v>
      </c>
      <c r="T176">
        <v>87.3</v>
      </c>
      <c r="U176">
        <v>1</v>
      </c>
    </row>
    <row r="177" spans="1:21" x14ac:dyDescent="0.3">
      <c r="A177">
        <v>112038</v>
      </c>
      <c r="B177">
        <v>4524499</v>
      </c>
      <c r="C177">
        <v>5931</v>
      </c>
      <c r="D177" t="s">
        <v>225</v>
      </c>
      <c r="E177" t="s">
        <v>63</v>
      </c>
      <c r="F177">
        <v>2023</v>
      </c>
      <c r="G177" t="s">
        <v>176</v>
      </c>
      <c r="H177" t="s">
        <v>316</v>
      </c>
      <c r="I177">
        <v>20615675</v>
      </c>
      <c r="J177">
        <v>3000000</v>
      </c>
      <c r="K177">
        <v>5000</v>
      </c>
      <c r="L177">
        <v>1321.86</v>
      </c>
      <c r="M177">
        <v>0</v>
      </c>
      <c r="N177">
        <v>74.099999999999994</v>
      </c>
      <c r="O177">
        <v>45</v>
      </c>
      <c r="P177" s="1">
        <v>45872</v>
      </c>
      <c r="Q177" s="1">
        <v>45917</v>
      </c>
      <c r="R177">
        <v>0</v>
      </c>
      <c r="S177">
        <v>1</v>
      </c>
      <c r="T177">
        <v>90.9</v>
      </c>
      <c r="U177">
        <v>0</v>
      </c>
    </row>
    <row r="178" spans="1:21" x14ac:dyDescent="0.3">
      <c r="A178">
        <v>813328</v>
      </c>
      <c r="B178">
        <v>5186414</v>
      </c>
      <c r="C178">
        <v>4510</v>
      </c>
      <c r="D178" t="s">
        <v>57</v>
      </c>
      <c r="E178" t="s">
        <v>63</v>
      </c>
      <c r="F178">
        <v>2018</v>
      </c>
      <c r="G178" t="s">
        <v>116</v>
      </c>
      <c r="H178" t="s">
        <v>212</v>
      </c>
      <c r="I178">
        <v>27630712</v>
      </c>
      <c r="J178">
        <v>1000000</v>
      </c>
      <c r="K178">
        <v>1000</v>
      </c>
      <c r="L178">
        <v>1744.04</v>
      </c>
      <c r="M178">
        <v>1</v>
      </c>
      <c r="N178">
        <v>76.5</v>
      </c>
      <c r="O178">
        <v>45</v>
      </c>
      <c r="P178" s="1">
        <v>45913</v>
      </c>
      <c r="Q178" s="1">
        <v>45958</v>
      </c>
      <c r="R178">
        <v>0</v>
      </c>
      <c r="S178">
        <v>1</v>
      </c>
      <c r="T178">
        <v>82</v>
      </c>
      <c r="U178">
        <v>0</v>
      </c>
    </row>
    <row r="179" spans="1:21" x14ac:dyDescent="0.3">
      <c r="A179">
        <v>855731</v>
      </c>
      <c r="B179">
        <v>2724590</v>
      </c>
      <c r="C179">
        <v>1202</v>
      </c>
      <c r="D179" t="s">
        <v>211</v>
      </c>
      <c r="E179" t="s">
        <v>63</v>
      </c>
      <c r="F179">
        <v>2008</v>
      </c>
      <c r="G179" t="s">
        <v>176</v>
      </c>
      <c r="H179" t="s">
        <v>355</v>
      </c>
      <c r="I179">
        <v>21477398</v>
      </c>
      <c r="J179">
        <v>2000000</v>
      </c>
      <c r="K179">
        <v>1000</v>
      </c>
      <c r="L179">
        <v>1835.27</v>
      </c>
      <c r="M179">
        <v>1</v>
      </c>
      <c r="N179">
        <v>71.3</v>
      </c>
      <c r="O179">
        <v>60</v>
      </c>
      <c r="P179" s="1">
        <v>45906</v>
      </c>
      <c r="Q179" s="1">
        <v>45966</v>
      </c>
      <c r="R179">
        <v>0</v>
      </c>
      <c r="S179">
        <v>1</v>
      </c>
      <c r="T179">
        <v>97</v>
      </c>
      <c r="U179">
        <v>0</v>
      </c>
    </row>
    <row r="180" spans="1:21" x14ac:dyDescent="0.3">
      <c r="A180">
        <v>220116</v>
      </c>
      <c r="B180">
        <v>6933742</v>
      </c>
      <c r="C180">
        <v>5218</v>
      </c>
      <c r="D180" t="s">
        <v>57</v>
      </c>
      <c r="E180" t="s">
        <v>63</v>
      </c>
      <c r="F180">
        <v>2015</v>
      </c>
      <c r="G180" t="s">
        <v>78</v>
      </c>
      <c r="H180" t="s">
        <v>79</v>
      </c>
      <c r="I180">
        <v>25276722</v>
      </c>
      <c r="J180">
        <v>1000000</v>
      </c>
      <c r="K180">
        <v>1000</v>
      </c>
      <c r="L180">
        <v>1617.47</v>
      </c>
      <c r="M180">
        <v>1</v>
      </c>
      <c r="N180">
        <v>71.900000000000006</v>
      </c>
      <c r="O180">
        <v>60</v>
      </c>
      <c r="P180" s="1">
        <v>45806</v>
      </c>
      <c r="Q180" s="1">
        <v>45866</v>
      </c>
      <c r="R180">
        <v>0</v>
      </c>
      <c r="S180">
        <v>1</v>
      </c>
      <c r="T180">
        <v>95.3</v>
      </c>
      <c r="U180">
        <v>0</v>
      </c>
    </row>
    <row r="181" spans="1:21" x14ac:dyDescent="0.3">
      <c r="A181">
        <v>814825</v>
      </c>
      <c r="B181">
        <v>7817881</v>
      </c>
      <c r="C181">
        <v>9958</v>
      </c>
      <c r="D181" t="s">
        <v>84</v>
      </c>
      <c r="E181" t="s">
        <v>63</v>
      </c>
      <c r="F181">
        <v>2019</v>
      </c>
      <c r="G181" t="s">
        <v>116</v>
      </c>
      <c r="H181" t="s">
        <v>251</v>
      </c>
      <c r="I181">
        <v>24234550</v>
      </c>
      <c r="J181">
        <v>2000000</v>
      </c>
      <c r="K181">
        <v>2500</v>
      </c>
      <c r="L181">
        <v>1429.74</v>
      </c>
      <c r="M181">
        <v>0</v>
      </c>
      <c r="N181">
        <v>80.7</v>
      </c>
      <c r="O181">
        <v>30</v>
      </c>
      <c r="P181" s="1">
        <v>45663</v>
      </c>
      <c r="Q181" s="1">
        <v>45693</v>
      </c>
      <c r="R181">
        <v>0</v>
      </c>
      <c r="S181">
        <v>1</v>
      </c>
      <c r="T181">
        <v>92.1</v>
      </c>
      <c r="U181">
        <v>0</v>
      </c>
    </row>
    <row r="182" spans="1:21" x14ac:dyDescent="0.3">
      <c r="A182">
        <v>663054</v>
      </c>
      <c r="B182">
        <v>3592974</v>
      </c>
      <c r="C182">
        <v>5389</v>
      </c>
      <c r="D182" t="s">
        <v>211</v>
      </c>
      <c r="E182" t="s">
        <v>63</v>
      </c>
      <c r="F182">
        <v>2021</v>
      </c>
      <c r="G182" t="s">
        <v>200</v>
      </c>
      <c r="H182" t="s">
        <v>338</v>
      </c>
      <c r="I182">
        <v>25423634</v>
      </c>
      <c r="J182">
        <v>500000</v>
      </c>
      <c r="K182">
        <v>2500</v>
      </c>
      <c r="L182">
        <v>1458.41</v>
      </c>
      <c r="M182">
        <v>0</v>
      </c>
      <c r="N182">
        <v>74.900000000000006</v>
      </c>
      <c r="O182">
        <v>45</v>
      </c>
      <c r="P182" s="1">
        <v>45870</v>
      </c>
      <c r="Q182" s="1">
        <v>45915</v>
      </c>
      <c r="R182">
        <v>0</v>
      </c>
      <c r="S182">
        <v>0</v>
      </c>
      <c r="T182">
        <v>72.099999999999994</v>
      </c>
      <c r="U182">
        <v>0</v>
      </c>
    </row>
    <row r="183" spans="1:21" x14ac:dyDescent="0.3">
      <c r="A183">
        <v>887352</v>
      </c>
      <c r="B183">
        <v>4971793</v>
      </c>
      <c r="C183">
        <v>3327</v>
      </c>
      <c r="D183" t="s">
        <v>84</v>
      </c>
      <c r="E183" t="s">
        <v>63</v>
      </c>
      <c r="F183">
        <v>2014</v>
      </c>
      <c r="G183" t="s">
        <v>59</v>
      </c>
      <c r="H183" t="s">
        <v>167</v>
      </c>
      <c r="I183">
        <v>21944841</v>
      </c>
      <c r="J183">
        <v>500000</v>
      </c>
      <c r="K183">
        <v>2500</v>
      </c>
      <c r="L183">
        <v>1589.43</v>
      </c>
      <c r="M183">
        <v>0</v>
      </c>
      <c r="N183">
        <v>79.2</v>
      </c>
      <c r="O183">
        <v>30</v>
      </c>
      <c r="P183" s="1">
        <v>45750</v>
      </c>
      <c r="Q183" s="1">
        <v>45780</v>
      </c>
      <c r="R183">
        <v>0</v>
      </c>
      <c r="S183">
        <v>0</v>
      </c>
      <c r="T183">
        <v>77.099999999999994</v>
      </c>
      <c r="U183">
        <v>0</v>
      </c>
    </row>
    <row r="184" spans="1:21" x14ac:dyDescent="0.3">
      <c r="A184">
        <v>379786</v>
      </c>
      <c r="B184">
        <v>3726327</v>
      </c>
      <c r="C184">
        <v>9004</v>
      </c>
      <c r="D184" t="s">
        <v>126</v>
      </c>
      <c r="E184" t="s">
        <v>63</v>
      </c>
      <c r="F184">
        <v>2012</v>
      </c>
      <c r="G184" t="s">
        <v>121</v>
      </c>
      <c r="H184" t="s">
        <v>179</v>
      </c>
      <c r="I184">
        <v>26780932</v>
      </c>
      <c r="J184">
        <v>1000000</v>
      </c>
      <c r="K184">
        <v>1000</v>
      </c>
      <c r="L184">
        <v>1698.72</v>
      </c>
      <c r="M184">
        <v>2</v>
      </c>
      <c r="N184">
        <v>57</v>
      </c>
      <c r="O184">
        <v>45</v>
      </c>
      <c r="P184" s="1">
        <v>45822</v>
      </c>
      <c r="Q184" s="1">
        <v>45867</v>
      </c>
      <c r="R184">
        <v>0</v>
      </c>
      <c r="S184">
        <v>1</v>
      </c>
      <c r="T184">
        <v>83.1</v>
      </c>
      <c r="U184">
        <v>0</v>
      </c>
    </row>
    <row r="185" spans="1:21" x14ac:dyDescent="0.3">
      <c r="A185">
        <v>905934</v>
      </c>
      <c r="B185">
        <v>3970445</v>
      </c>
      <c r="C185">
        <v>3931</v>
      </c>
      <c r="D185" t="s">
        <v>92</v>
      </c>
      <c r="E185" t="s">
        <v>80</v>
      </c>
      <c r="F185">
        <v>2023</v>
      </c>
      <c r="G185" t="s">
        <v>129</v>
      </c>
      <c r="H185" t="s">
        <v>130</v>
      </c>
      <c r="I185">
        <v>28633492</v>
      </c>
      <c r="J185">
        <v>500000</v>
      </c>
      <c r="K185">
        <v>2500</v>
      </c>
      <c r="L185">
        <v>1578.6</v>
      </c>
      <c r="M185">
        <v>0</v>
      </c>
      <c r="N185">
        <v>83.9</v>
      </c>
      <c r="O185">
        <v>60</v>
      </c>
      <c r="P185" s="1">
        <v>46007</v>
      </c>
      <c r="Q185" s="1">
        <v>46067</v>
      </c>
      <c r="R185">
        <v>0</v>
      </c>
      <c r="S185">
        <v>1</v>
      </c>
      <c r="T185">
        <v>94</v>
      </c>
      <c r="U185">
        <v>0</v>
      </c>
    </row>
    <row r="186" spans="1:21" x14ac:dyDescent="0.3">
      <c r="A186">
        <v>772097</v>
      </c>
      <c r="B186">
        <v>7917152</v>
      </c>
      <c r="C186">
        <v>8777</v>
      </c>
      <c r="D186" t="s">
        <v>92</v>
      </c>
      <c r="E186" t="s">
        <v>63</v>
      </c>
      <c r="F186">
        <v>2025</v>
      </c>
      <c r="G186" t="s">
        <v>129</v>
      </c>
      <c r="H186" t="s">
        <v>156</v>
      </c>
      <c r="I186">
        <v>20019311</v>
      </c>
      <c r="J186">
        <v>3000000</v>
      </c>
      <c r="K186">
        <v>2500</v>
      </c>
      <c r="L186">
        <v>1747.02</v>
      </c>
      <c r="M186">
        <v>1</v>
      </c>
      <c r="N186">
        <v>78</v>
      </c>
      <c r="O186">
        <v>30</v>
      </c>
      <c r="P186" s="1">
        <v>45803</v>
      </c>
      <c r="Q186" s="1">
        <v>45833</v>
      </c>
      <c r="R186">
        <v>0</v>
      </c>
      <c r="S186">
        <v>1</v>
      </c>
      <c r="T186">
        <v>99.5</v>
      </c>
      <c r="U186">
        <v>0</v>
      </c>
    </row>
    <row r="187" spans="1:21" x14ac:dyDescent="0.3">
      <c r="A187">
        <v>456699</v>
      </c>
      <c r="B187">
        <v>1415846</v>
      </c>
      <c r="C187">
        <v>1197</v>
      </c>
      <c r="D187" t="s">
        <v>106</v>
      </c>
      <c r="E187" t="s">
        <v>2</v>
      </c>
      <c r="F187">
        <v>2019</v>
      </c>
      <c r="G187" t="s">
        <v>121</v>
      </c>
      <c r="H187" t="s">
        <v>195</v>
      </c>
      <c r="I187">
        <v>29103209</v>
      </c>
      <c r="J187">
        <v>500000</v>
      </c>
      <c r="K187">
        <v>2500</v>
      </c>
      <c r="L187">
        <v>1960.13</v>
      </c>
      <c r="M187">
        <v>0</v>
      </c>
      <c r="N187">
        <v>74.599999999999994</v>
      </c>
      <c r="O187">
        <v>45</v>
      </c>
      <c r="P187" s="1">
        <v>45964</v>
      </c>
      <c r="Q187" s="1">
        <v>46009</v>
      </c>
      <c r="R187">
        <v>0</v>
      </c>
      <c r="S187">
        <v>1</v>
      </c>
      <c r="T187">
        <v>95.5</v>
      </c>
      <c r="U187">
        <v>0</v>
      </c>
    </row>
    <row r="188" spans="1:21" x14ac:dyDescent="0.3">
      <c r="A188">
        <v>216970</v>
      </c>
      <c r="B188">
        <v>4009172</v>
      </c>
      <c r="C188">
        <v>8125</v>
      </c>
      <c r="D188" t="s">
        <v>106</v>
      </c>
      <c r="E188" t="s">
        <v>63</v>
      </c>
      <c r="F188">
        <v>2013</v>
      </c>
      <c r="G188" t="s">
        <v>132</v>
      </c>
      <c r="H188" t="s">
        <v>229</v>
      </c>
      <c r="I188">
        <v>27750676</v>
      </c>
      <c r="J188">
        <v>5000000</v>
      </c>
      <c r="K188">
        <v>10000</v>
      </c>
      <c r="L188">
        <v>1472.75</v>
      </c>
      <c r="M188">
        <v>0</v>
      </c>
      <c r="N188">
        <v>87.9</v>
      </c>
      <c r="O188">
        <v>45</v>
      </c>
      <c r="P188" s="1">
        <v>45726</v>
      </c>
      <c r="Q188" s="1">
        <v>45771</v>
      </c>
      <c r="R188">
        <v>0</v>
      </c>
      <c r="S188">
        <v>1</v>
      </c>
      <c r="T188">
        <v>82.9</v>
      </c>
      <c r="U188">
        <v>0</v>
      </c>
    </row>
    <row r="189" spans="1:21" x14ac:dyDescent="0.3">
      <c r="A189">
        <v>407757</v>
      </c>
      <c r="B189">
        <v>6573147</v>
      </c>
      <c r="C189">
        <v>2930</v>
      </c>
      <c r="D189" t="s">
        <v>101</v>
      </c>
      <c r="E189" t="s">
        <v>215</v>
      </c>
      <c r="F189">
        <v>2015</v>
      </c>
      <c r="G189" t="s">
        <v>93</v>
      </c>
      <c r="H189" t="s">
        <v>94</v>
      </c>
      <c r="I189">
        <v>26933143</v>
      </c>
      <c r="J189">
        <v>1000000</v>
      </c>
      <c r="K189">
        <v>1000</v>
      </c>
      <c r="L189">
        <v>2320.13</v>
      </c>
      <c r="M189">
        <v>0</v>
      </c>
      <c r="N189">
        <v>90.4</v>
      </c>
      <c r="O189">
        <v>90</v>
      </c>
      <c r="P189" s="1">
        <v>45903</v>
      </c>
      <c r="Q189" s="1">
        <v>45993</v>
      </c>
      <c r="R189">
        <v>0</v>
      </c>
      <c r="S189">
        <v>1</v>
      </c>
      <c r="T189">
        <v>90.5</v>
      </c>
      <c r="U189">
        <v>1</v>
      </c>
    </row>
    <row r="190" spans="1:21" x14ac:dyDescent="0.3">
      <c r="A190">
        <v>555884</v>
      </c>
      <c r="B190">
        <v>7907400</v>
      </c>
      <c r="C190">
        <v>7287</v>
      </c>
      <c r="D190" t="s">
        <v>126</v>
      </c>
      <c r="E190" t="s">
        <v>63</v>
      </c>
      <c r="F190">
        <v>2008</v>
      </c>
      <c r="G190" t="s">
        <v>78</v>
      </c>
      <c r="H190" t="s">
        <v>219</v>
      </c>
      <c r="I190">
        <v>20909393</v>
      </c>
      <c r="J190">
        <v>500000</v>
      </c>
      <c r="K190">
        <v>2500</v>
      </c>
      <c r="L190">
        <v>1125.6099999999999</v>
      </c>
      <c r="M190">
        <v>0</v>
      </c>
      <c r="N190">
        <v>67.5</v>
      </c>
      <c r="O190">
        <v>90</v>
      </c>
      <c r="P190" s="1">
        <v>46014</v>
      </c>
      <c r="Q190" s="1">
        <v>46104</v>
      </c>
      <c r="R190">
        <v>0</v>
      </c>
      <c r="S190">
        <v>1</v>
      </c>
      <c r="T190">
        <v>78.900000000000006</v>
      </c>
      <c r="U190">
        <v>0</v>
      </c>
    </row>
    <row r="191" spans="1:21" x14ac:dyDescent="0.3">
      <c r="A191">
        <v>265840</v>
      </c>
      <c r="B191">
        <v>5163555</v>
      </c>
      <c r="C191">
        <v>9800</v>
      </c>
      <c r="D191" t="s">
        <v>57</v>
      </c>
      <c r="E191" t="s">
        <v>63</v>
      </c>
      <c r="F191">
        <v>2024</v>
      </c>
      <c r="G191" t="s">
        <v>176</v>
      </c>
      <c r="H191" t="s">
        <v>177</v>
      </c>
      <c r="I191">
        <v>23147112</v>
      </c>
      <c r="J191">
        <v>2000000</v>
      </c>
      <c r="K191">
        <v>2500</v>
      </c>
      <c r="L191">
        <v>1531.35</v>
      </c>
      <c r="M191">
        <v>0</v>
      </c>
      <c r="N191">
        <v>75.099999999999994</v>
      </c>
      <c r="O191">
        <v>30</v>
      </c>
      <c r="P191" s="1">
        <v>45695</v>
      </c>
      <c r="Q191" s="1">
        <v>45725</v>
      </c>
      <c r="R191">
        <v>0</v>
      </c>
      <c r="S191">
        <v>1</v>
      </c>
      <c r="T191">
        <v>92</v>
      </c>
      <c r="U191">
        <v>0</v>
      </c>
    </row>
    <row r="192" spans="1:21" x14ac:dyDescent="0.3">
      <c r="A192">
        <v>575763</v>
      </c>
      <c r="B192">
        <v>5476257</v>
      </c>
      <c r="C192">
        <v>5282</v>
      </c>
      <c r="D192" t="s">
        <v>185</v>
      </c>
      <c r="E192" t="s">
        <v>215</v>
      </c>
      <c r="F192">
        <v>2011</v>
      </c>
      <c r="G192" t="s">
        <v>200</v>
      </c>
      <c r="H192" t="s">
        <v>161</v>
      </c>
      <c r="I192">
        <v>28697969</v>
      </c>
      <c r="J192">
        <v>2000000</v>
      </c>
      <c r="K192">
        <v>2500</v>
      </c>
      <c r="L192">
        <v>2121.5100000000002</v>
      </c>
      <c r="M192">
        <v>0</v>
      </c>
      <c r="N192">
        <v>75.099999999999994</v>
      </c>
      <c r="O192">
        <v>60</v>
      </c>
      <c r="P192" s="1">
        <v>45661</v>
      </c>
      <c r="Q192" s="1">
        <v>45721</v>
      </c>
      <c r="R192">
        <v>0</v>
      </c>
      <c r="S192">
        <v>1</v>
      </c>
      <c r="T192">
        <v>91.2</v>
      </c>
      <c r="U192">
        <v>0</v>
      </c>
    </row>
    <row r="193" spans="1:21" x14ac:dyDescent="0.3">
      <c r="A193">
        <v>103402</v>
      </c>
      <c r="B193">
        <v>3670896</v>
      </c>
      <c r="C193">
        <v>3511</v>
      </c>
      <c r="D193" t="s">
        <v>142</v>
      </c>
      <c r="E193" t="s">
        <v>80</v>
      </c>
      <c r="F193">
        <v>2020</v>
      </c>
      <c r="G193" t="s">
        <v>103</v>
      </c>
      <c r="H193" t="s">
        <v>285</v>
      </c>
      <c r="I193">
        <v>26069650</v>
      </c>
      <c r="J193">
        <v>1000000</v>
      </c>
      <c r="K193">
        <v>5000</v>
      </c>
      <c r="L193">
        <v>1330.32</v>
      </c>
      <c r="M193">
        <v>0</v>
      </c>
      <c r="N193">
        <v>73.5</v>
      </c>
      <c r="O193">
        <v>45</v>
      </c>
      <c r="P193" s="1">
        <v>45816</v>
      </c>
      <c r="Q193" s="1">
        <v>45861</v>
      </c>
      <c r="R193">
        <v>0</v>
      </c>
      <c r="S193">
        <v>1</v>
      </c>
      <c r="T193">
        <v>74.900000000000006</v>
      </c>
      <c r="U193">
        <v>0</v>
      </c>
    </row>
    <row r="194" spans="1:21" x14ac:dyDescent="0.3">
      <c r="A194">
        <v>857168</v>
      </c>
      <c r="B194">
        <v>2813543</v>
      </c>
      <c r="C194">
        <v>1659</v>
      </c>
      <c r="D194" t="s">
        <v>142</v>
      </c>
      <c r="E194" t="s">
        <v>112</v>
      </c>
      <c r="F194">
        <v>2015</v>
      </c>
      <c r="G194" t="s">
        <v>116</v>
      </c>
      <c r="H194" t="s">
        <v>128</v>
      </c>
      <c r="I194">
        <v>28363326</v>
      </c>
      <c r="J194">
        <v>1000000</v>
      </c>
      <c r="K194">
        <v>2500</v>
      </c>
      <c r="L194">
        <v>1991.34</v>
      </c>
      <c r="M194">
        <v>1</v>
      </c>
      <c r="N194">
        <v>85.5</v>
      </c>
      <c r="O194">
        <v>45</v>
      </c>
      <c r="P194" s="1">
        <v>45691</v>
      </c>
      <c r="Q194" s="1">
        <v>45736</v>
      </c>
      <c r="R194">
        <v>0</v>
      </c>
      <c r="S194">
        <v>1</v>
      </c>
      <c r="T194">
        <v>79.900000000000006</v>
      </c>
      <c r="U194">
        <v>0</v>
      </c>
    </row>
    <row r="195" spans="1:21" x14ac:dyDescent="0.3">
      <c r="A195">
        <v>854639</v>
      </c>
      <c r="B195">
        <v>7417985</v>
      </c>
      <c r="C195">
        <v>3811</v>
      </c>
      <c r="D195" t="s">
        <v>142</v>
      </c>
      <c r="E195" t="s">
        <v>63</v>
      </c>
      <c r="F195">
        <v>2020</v>
      </c>
      <c r="G195" t="s">
        <v>78</v>
      </c>
      <c r="H195" t="s">
        <v>219</v>
      </c>
      <c r="I195">
        <v>27416216</v>
      </c>
      <c r="J195">
        <v>2000000</v>
      </c>
      <c r="K195">
        <v>10000</v>
      </c>
      <c r="L195">
        <v>1614.84</v>
      </c>
      <c r="M195">
        <v>0</v>
      </c>
      <c r="N195">
        <v>80.3</v>
      </c>
      <c r="O195">
        <v>60</v>
      </c>
      <c r="P195" s="1">
        <v>45931</v>
      </c>
      <c r="Q195" s="1">
        <v>45991</v>
      </c>
      <c r="R195">
        <v>0</v>
      </c>
      <c r="S195">
        <v>1</v>
      </c>
      <c r="T195">
        <v>86</v>
      </c>
      <c r="U195">
        <v>0</v>
      </c>
    </row>
    <row r="196" spans="1:21" x14ac:dyDescent="0.3">
      <c r="A196">
        <v>376183</v>
      </c>
      <c r="B196">
        <v>1649691</v>
      </c>
      <c r="C196">
        <v>8098</v>
      </c>
      <c r="D196" t="s">
        <v>84</v>
      </c>
      <c r="E196" t="s">
        <v>63</v>
      </c>
      <c r="F196">
        <v>2021</v>
      </c>
      <c r="G196" t="s">
        <v>86</v>
      </c>
      <c r="H196" t="s">
        <v>243</v>
      </c>
      <c r="I196">
        <v>20865901</v>
      </c>
      <c r="J196">
        <v>1000000</v>
      </c>
      <c r="K196">
        <v>1000</v>
      </c>
      <c r="L196">
        <v>1433.51</v>
      </c>
      <c r="M196">
        <v>0</v>
      </c>
      <c r="N196">
        <v>79.599999999999994</v>
      </c>
      <c r="O196">
        <v>90</v>
      </c>
      <c r="P196" s="1">
        <v>45991</v>
      </c>
      <c r="Q196" s="1">
        <v>46081</v>
      </c>
      <c r="R196">
        <v>0</v>
      </c>
      <c r="S196">
        <v>1</v>
      </c>
      <c r="T196">
        <v>85.9</v>
      </c>
      <c r="U196">
        <v>1</v>
      </c>
    </row>
    <row r="197" spans="1:21" x14ac:dyDescent="0.3">
      <c r="A197">
        <v>624902</v>
      </c>
      <c r="B197">
        <v>8896868</v>
      </c>
      <c r="C197">
        <v>7546</v>
      </c>
      <c r="D197" t="s">
        <v>101</v>
      </c>
      <c r="E197" t="s">
        <v>2</v>
      </c>
      <c r="F197">
        <v>2023</v>
      </c>
      <c r="G197" t="s">
        <v>134</v>
      </c>
      <c r="H197" t="s">
        <v>172</v>
      </c>
      <c r="I197">
        <v>23415140</v>
      </c>
      <c r="J197">
        <v>5000000</v>
      </c>
      <c r="K197">
        <v>1000</v>
      </c>
      <c r="L197">
        <v>2014.34</v>
      </c>
      <c r="M197">
        <v>0</v>
      </c>
      <c r="N197">
        <v>64</v>
      </c>
      <c r="O197">
        <v>90</v>
      </c>
      <c r="P197" s="1">
        <v>45816</v>
      </c>
      <c r="Q197" s="1">
        <v>45906</v>
      </c>
      <c r="R197">
        <v>0</v>
      </c>
      <c r="S197">
        <v>0</v>
      </c>
      <c r="T197">
        <v>64.5</v>
      </c>
      <c r="U197">
        <v>0</v>
      </c>
    </row>
    <row r="198" spans="1:21" x14ac:dyDescent="0.3">
      <c r="A198">
        <v>898975</v>
      </c>
      <c r="B198">
        <v>4731818</v>
      </c>
      <c r="C198">
        <v>2986</v>
      </c>
      <c r="D198" t="s">
        <v>84</v>
      </c>
      <c r="E198" t="s">
        <v>80</v>
      </c>
      <c r="F198">
        <v>2013</v>
      </c>
      <c r="G198" t="s">
        <v>116</v>
      </c>
      <c r="H198" t="s">
        <v>139</v>
      </c>
      <c r="I198">
        <v>24480460</v>
      </c>
      <c r="J198">
        <v>5000000</v>
      </c>
      <c r="K198">
        <v>5000</v>
      </c>
      <c r="L198">
        <v>1743.47</v>
      </c>
      <c r="M198">
        <v>0</v>
      </c>
      <c r="N198">
        <v>87.7</v>
      </c>
      <c r="O198">
        <v>45</v>
      </c>
      <c r="P198" s="1">
        <v>45752</v>
      </c>
      <c r="Q198" s="1">
        <v>45797</v>
      </c>
      <c r="R198">
        <v>0</v>
      </c>
      <c r="S198">
        <v>1</v>
      </c>
      <c r="T198">
        <v>90.7</v>
      </c>
      <c r="U198">
        <v>0</v>
      </c>
    </row>
    <row r="199" spans="1:21" x14ac:dyDescent="0.3">
      <c r="A199">
        <v>287330</v>
      </c>
      <c r="B199">
        <v>4348276</v>
      </c>
      <c r="C199">
        <v>9338</v>
      </c>
      <c r="D199" t="s">
        <v>101</v>
      </c>
      <c r="E199" t="s">
        <v>2</v>
      </c>
      <c r="F199">
        <v>2008</v>
      </c>
      <c r="G199" t="s">
        <v>200</v>
      </c>
      <c r="H199" t="s">
        <v>338</v>
      </c>
      <c r="I199">
        <v>29214376</v>
      </c>
      <c r="J199">
        <v>2000000</v>
      </c>
      <c r="K199">
        <v>2500</v>
      </c>
      <c r="L199">
        <v>2057.79</v>
      </c>
      <c r="M199">
        <v>0</v>
      </c>
      <c r="N199">
        <v>70.8</v>
      </c>
      <c r="O199">
        <v>45</v>
      </c>
      <c r="P199" s="1">
        <v>45816</v>
      </c>
      <c r="Q199" s="1">
        <v>45861</v>
      </c>
      <c r="R199">
        <v>0</v>
      </c>
      <c r="S199">
        <v>1</v>
      </c>
      <c r="T199">
        <v>89.8</v>
      </c>
      <c r="U199">
        <v>0</v>
      </c>
    </row>
    <row r="200" spans="1:21" x14ac:dyDescent="0.3">
      <c r="A200">
        <v>632342</v>
      </c>
      <c r="B200">
        <v>8722606</v>
      </c>
      <c r="C200">
        <v>3911</v>
      </c>
      <c r="D200" t="s">
        <v>101</v>
      </c>
      <c r="E200" t="s">
        <v>2</v>
      </c>
      <c r="F200">
        <v>2012</v>
      </c>
      <c r="G200" t="s">
        <v>150</v>
      </c>
      <c r="H200" t="s">
        <v>265</v>
      </c>
      <c r="I200">
        <v>22198037</v>
      </c>
      <c r="J200">
        <v>500000</v>
      </c>
      <c r="K200">
        <v>1000</v>
      </c>
      <c r="L200">
        <v>2096.8000000000002</v>
      </c>
      <c r="M200">
        <v>0</v>
      </c>
      <c r="N200">
        <v>82.5</v>
      </c>
      <c r="O200">
        <v>60</v>
      </c>
      <c r="P200" s="1">
        <v>45922</v>
      </c>
      <c r="Q200" s="1">
        <v>45982</v>
      </c>
      <c r="R200">
        <v>1</v>
      </c>
      <c r="S200">
        <v>1</v>
      </c>
      <c r="T200">
        <v>86.6</v>
      </c>
      <c r="U200">
        <v>0</v>
      </c>
    </row>
    <row r="201" spans="1:21" x14ac:dyDescent="0.3">
      <c r="A201">
        <v>211579</v>
      </c>
      <c r="B201">
        <v>6866294</v>
      </c>
      <c r="C201">
        <v>2734</v>
      </c>
      <c r="D201" t="s">
        <v>225</v>
      </c>
      <c r="E201" t="s">
        <v>63</v>
      </c>
      <c r="F201">
        <v>2024</v>
      </c>
      <c r="G201" t="s">
        <v>150</v>
      </c>
      <c r="H201" t="s">
        <v>196</v>
      </c>
      <c r="I201">
        <v>24832327</v>
      </c>
      <c r="J201">
        <v>2000000</v>
      </c>
      <c r="K201">
        <v>1000</v>
      </c>
      <c r="L201">
        <v>1539.06</v>
      </c>
      <c r="M201">
        <v>0</v>
      </c>
      <c r="N201">
        <v>84.5</v>
      </c>
      <c r="O201">
        <v>45</v>
      </c>
      <c r="P201" s="1">
        <v>45661</v>
      </c>
      <c r="Q201" s="1">
        <v>45706</v>
      </c>
      <c r="R201">
        <v>0</v>
      </c>
      <c r="S201">
        <v>0</v>
      </c>
      <c r="T201">
        <v>67.7</v>
      </c>
      <c r="U201">
        <v>0</v>
      </c>
    </row>
    <row r="202" spans="1:21" x14ac:dyDescent="0.3">
      <c r="A202">
        <v>755674</v>
      </c>
      <c r="B202">
        <v>6120253</v>
      </c>
      <c r="C202">
        <v>2843</v>
      </c>
      <c r="D202" t="s">
        <v>57</v>
      </c>
      <c r="E202" t="s">
        <v>112</v>
      </c>
      <c r="F202">
        <v>2024</v>
      </c>
      <c r="G202" t="s">
        <v>109</v>
      </c>
      <c r="H202" t="s">
        <v>161</v>
      </c>
      <c r="I202">
        <v>27350368</v>
      </c>
      <c r="J202">
        <v>500000</v>
      </c>
      <c r="K202">
        <v>1000</v>
      </c>
      <c r="L202">
        <v>1759.05</v>
      </c>
      <c r="M202">
        <v>0</v>
      </c>
      <c r="N202">
        <v>94.2</v>
      </c>
      <c r="O202">
        <v>45</v>
      </c>
      <c r="P202" s="1">
        <v>45873</v>
      </c>
      <c r="Q202" s="1">
        <v>45918</v>
      </c>
      <c r="R202">
        <v>0</v>
      </c>
      <c r="S202">
        <v>1</v>
      </c>
      <c r="T202">
        <v>95.3</v>
      </c>
      <c r="U202">
        <v>0</v>
      </c>
    </row>
    <row r="203" spans="1:21" x14ac:dyDescent="0.3">
      <c r="A203">
        <v>412942</v>
      </c>
      <c r="B203">
        <v>4818418</v>
      </c>
      <c r="C203">
        <v>9680</v>
      </c>
      <c r="D203" t="s">
        <v>84</v>
      </c>
      <c r="E203" t="s">
        <v>63</v>
      </c>
      <c r="F203">
        <v>2020</v>
      </c>
      <c r="G203" t="s">
        <v>78</v>
      </c>
      <c r="H203" t="s">
        <v>219</v>
      </c>
      <c r="I203">
        <v>28132114</v>
      </c>
      <c r="J203">
        <v>500000</v>
      </c>
      <c r="K203">
        <v>5000</v>
      </c>
      <c r="L203">
        <v>1257.76</v>
      </c>
      <c r="M203">
        <v>0</v>
      </c>
      <c r="N203">
        <v>70.2</v>
      </c>
      <c r="O203">
        <v>45</v>
      </c>
      <c r="P203" s="1">
        <v>45881</v>
      </c>
      <c r="Q203" s="1">
        <v>45926</v>
      </c>
      <c r="R203">
        <v>0</v>
      </c>
      <c r="S203">
        <v>1</v>
      </c>
      <c r="T203">
        <v>99.6</v>
      </c>
      <c r="U203">
        <v>0</v>
      </c>
    </row>
    <row r="204" spans="1:21" x14ac:dyDescent="0.3">
      <c r="A204">
        <v>982554</v>
      </c>
      <c r="B204">
        <v>4740036</v>
      </c>
      <c r="C204">
        <v>3976</v>
      </c>
      <c r="D204" t="s">
        <v>84</v>
      </c>
      <c r="E204" t="s">
        <v>63</v>
      </c>
      <c r="F204">
        <v>2020</v>
      </c>
      <c r="G204" t="s">
        <v>59</v>
      </c>
      <c r="H204" t="s">
        <v>60</v>
      </c>
      <c r="I204">
        <v>22037191</v>
      </c>
      <c r="J204">
        <v>1000000</v>
      </c>
      <c r="K204">
        <v>1000</v>
      </c>
      <c r="L204">
        <v>1600.47</v>
      </c>
      <c r="M204">
        <v>1</v>
      </c>
      <c r="N204">
        <v>50.8</v>
      </c>
      <c r="O204">
        <v>60</v>
      </c>
      <c r="P204" s="1">
        <v>45890</v>
      </c>
      <c r="Q204" s="1">
        <v>45950</v>
      </c>
      <c r="R204">
        <v>0</v>
      </c>
      <c r="S204">
        <v>1</v>
      </c>
      <c r="T204">
        <v>84.6</v>
      </c>
      <c r="U204">
        <v>0</v>
      </c>
    </row>
    <row r="205" spans="1:21" x14ac:dyDescent="0.3">
      <c r="A205">
        <v>769987</v>
      </c>
      <c r="B205">
        <v>1397023</v>
      </c>
      <c r="C205">
        <v>2959</v>
      </c>
      <c r="D205" t="s">
        <v>142</v>
      </c>
      <c r="E205" t="s">
        <v>63</v>
      </c>
      <c r="F205">
        <v>2021</v>
      </c>
      <c r="G205" t="s">
        <v>200</v>
      </c>
      <c r="H205" t="s">
        <v>171</v>
      </c>
      <c r="I205">
        <v>20484348</v>
      </c>
      <c r="J205">
        <v>1000000</v>
      </c>
      <c r="K205">
        <v>1000</v>
      </c>
      <c r="L205">
        <v>1528.81</v>
      </c>
      <c r="M205">
        <v>1</v>
      </c>
      <c r="N205">
        <v>79.7</v>
      </c>
      <c r="O205">
        <v>45</v>
      </c>
      <c r="P205" s="1">
        <v>45746</v>
      </c>
      <c r="Q205" s="1">
        <v>45791</v>
      </c>
      <c r="R205">
        <v>0</v>
      </c>
      <c r="S205">
        <v>1</v>
      </c>
      <c r="T205">
        <v>83.7</v>
      </c>
      <c r="U205">
        <v>0</v>
      </c>
    </row>
    <row r="206" spans="1:21" x14ac:dyDescent="0.3">
      <c r="A206">
        <v>632323</v>
      </c>
      <c r="B206">
        <v>4240180</v>
      </c>
      <c r="C206">
        <v>6759</v>
      </c>
      <c r="D206" t="s">
        <v>106</v>
      </c>
      <c r="E206" t="s">
        <v>63</v>
      </c>
      <c r="F206">
        <v>2013</v>
      </c>
      <c r="G206" t="s">
        <v>170</v>
      </c>
      <c r="H206" t="s">
        <v>918</v>
      </c>
      <c r="I206">
        <v>24014745</v>
      </c>
      <c r="J206">
        <v>3000000</v>
      </c>
      <c r="K206">
        <v>1000</v>
      </c>
      <c r="L206">
        <v>1710.51</v>
      </c>
      <c r="M206">
        <v>0</v>
      </c>
      <c r="N206">
        <v>98.2</v>
      </c>
      <c r="O206">
        <v>30</v>
      </c>
      <c r="P206" s="1">
        <v>45918</v>
      </c>
      <c r="Q206" s="1">
        <v>45948</v>
      </c>
      <c r="R206">
        <v>0</v>
      </c>
      <c r="S206">
        <v>1</v>
      </c>
      <c r="T206">
        <v>91.4</v>
      </c>
      <c r="U206">
        <v>0</v>
      </c>
    </row>
    <row r="207" spans="1:21" x14ac:dyDescent="0.3">
      <c r="A207">
        <v>738551</v>
      </c>
      <c r="B207">
        <v>7685149</v>
      </c>
      <c r="C207">
        <v>7694</v>
      </c>
      <c r="D207" t="s">
        <v>84</v>
      </c>
      <c r="E207" t="s">
        <v>63</v>
      </c>
      <c r="F207">
        <v>2024</v>
      </c>
      <c r="G207" t="s">
        <v>200</v>
      </c>
      <c r="H207" t="s">
        <v>171</v>
      </c>
      <c r="I207">
        <v>22657144</v>
      </c>
      <c r="J207">
        <v>2000000</v>
      </c>
      <c r="K207">
        <v>2500</v>
      </c>
      <c r="L207">
        <v>1428.89</v>
      </c>
      <c r="M207">
        <v>0</v>
      </c>
      <c r="N207">
        <v>93.2</v>
      </c>
      <c r="O207">
        <v>90</v>
      </c>
      <c r="P207" s="1">
        <v>45691</v>
      </c>
      <c r="Q207" s="1">
        <v>45781</v>
      </c>
      <c r="R207">
        <v>0</v>
      </c>
      <c r="S207">
        <v>1</v>
      </c>
      <c r="T207">
        <v>85.5</v>
      </c>
      <c r="U207">
        <v>0</v>
      </c>
    </row>
    <row r="208" spans="1:21" x14ac:dyDescent="0.3">
      <c r="A208">
        <v>308573</v>
      </c>
      <c r="B208">
        <v>6507321</v>
      </c>
      <c r="C208">
        <v>3385</v>
      </c>
      <c r="D208" t="s">
        <v>84</v>
      </c>
      <c r="E208" t="s">
        <v>63</v>
      </c>
      <c r="F208">
        <v>2017</v>
      </c>
      <c r="G208" t="s">
        <v>121</v>
      </c>
      <c r="H208" t="s">
        <v>237</v>
      </c>
      <c r="I208">
        <v>25213522</v>
      </c>
      <c r="J208">
        <v>2000000</v>
      </c>
      <c r="K208">
        <v>1000</v>
      </c>
      <c r="L208">
        <v>1464.78</v>
      </c>
      <c r="M208">
        <v>0</v>
      </c>
      <c r="N208">
        <v>83.9</v>
      </c>
      <c r="O208">
        <v>30</v>
      </c>
      <c r="P208" s="1">
        <v>45730</v>
      </c>
      <c r="Q208" s="1">
        <v>45760</v>
      </c>
      <c r="R208">
        <v>1</v>
      </c>
      <c r="S208">
        <v>1</v>
      </c>
      <c r="T208">
        <v>87</v>
      </c>
      <c r="U208">
        <v>0</v>
      </c>
    </row>
    <row r="209" spans="1:21" x14ac:dyDescent="0.3">
      <c r="A209">
        <v>260263</v>
      </c>
      <c r="B209">
        <v>5674183</v>
      </c>
      <c r="C209">
        <v>5736</v>
      </c>
      <c r="D209" t="s">
        <v>185</v>
      </c>
      <c r="E209" t="s">
        <v>2</v>
      </c>
      <c r="F209">
        <v>2017</v>
      </c>
      <c r="G209" t="s">
        <v>86</v>
      </c>
      <c r="H209" t="s">
        <v>268</v>
      </c>
      <c r="I209">
        <v>29241545</v>
      </c>
      <c r="J209">
        <v>1000000</v>
      </c>
      <c r="K209">
        <v>2500</v>
      </c>
      <c r="L209">
        <v>2146.1799999999998</v>
      </c>
      <c r="M209">
        <v>1</v>
      </c>
      <c r="N209">
        <v>73.599999999999994</v>
      </c>
      <c r="O209">
        <v>45</v>
      </c>
      <c r="P209" s="1">
        <v>45978</v>
      </c>
      <c r="Q209" s="1">
        <v>46023</v>
      </c>
      <c r="R209">
        <v>0</v>
      </c>
      <c r="S209">
        <v>1</v>
      </c>
      <c r="T209">
        <v>93.2</v>
      </c>
      <c r="U209">
        <v>0</v>
      </c>
    </row>
    <row r="210" spans="1:21" x14ac:dyDescent="0.3">
      <c r="A210">
        <v>492077</v>
      </c>
      <c r="B210">
        <v>2164686</v>
      </c>
      <c r="C210">
        <v>2802</v>
      </c>
      <c r="D210" t="s">
        <v>84</v>
      </c>
      <c r="E210" t="s">
        <v>63</v>
      </c>
      <c r="F210">
        <v>2019</v>
      </c>
      <c r="G210" t="s">
        <v>59</v>
      </c>
      <c r="H210" t="s">
        <v>61</v>
      </c>
      <c r="I210">
        <v>20229419</v>
      </c>
      <c r="J210">
        <v>1000000</v>
      </c>
      <c r="K210">
        <v>1000</v>
      </c>
      <c r="L210">
        <v>1635.23</v>
      </c>
      <c r="M210">
        <v>1</v>
      </c>
      <c r="N210">
        <v>85.3</v>
      </c>
      <c r="O210">
        <v>45</v>
      </c>
      <c r="P210" s="1">
        <v>45927</v>
      </c>
      <c r="Q210" s="1">
        <v>45972</v>
      </c>
      <c r="R210">
        <v>0</v>
      </c>
      <c r="S210">
        <v>0</v>
      </c>
      <c r="T210">
        <v>59.6</v>
      </c>
      <c r="U210">
        <v>0</v>
      </c>
    </row>
    <row r="211" spans="1:21" x14ac:dyDescent="0.3">
      <c r="A211">
        <v>899550</v>
      </c>
      <c r="B211">
        <v>5682940</v>
      </c>
      <c r="C211">
        <v>9155</v>
      </c>
      <c r="D211" t="s">
        <v>225</v>
      </c>
      <c r="E211" t="s">
        <v>2</v>
      </c>
      <c r="F211">
        <v>2009</v>
      </c>
      <c r="G211" t="s">
        <v>86</v>
      </c>
      <c r="H211" t="s">
        <v>268</v>
      </c>
      <c r="I211">
        <v>29265241</v>
      </c>
      <c r="J211">
        <v>1000000</v>
      </c>
      <c r="K211">
        <v>5000</v>
      </c>
      <c r="L211">
        <v>2103.41</v>
      </c>
      <c r="M211">
        <v>0</v>
      </c>
      <c r="N211">
        <v>73.2</v>
      </c>
      <c r="O211">
        <v>30</v>
      </c>
      <c r="P211" s="1">
        <v>45663</v>
      </c>
      <c r="Q211" s="1">
        <v>45693</v>
      </c>
      <c r="R211">
        <v>0</v>
      </c>
      <c r="S211">
        <v>1</v>
      </c>
      <c r="T211">
        <v>97.2</v>
      </c>
      <c r="U211">
        <v>0</v>
      </c>
    </row>
    <row r="212" spans="1:21" x14ac:dyDescent="0.3">
      <c r="A212">
        <v>269396</v>
      </c>
      <c r="B212">
        <v>6891254</v>
      </c>
      <c r="C212">
        <v>9120</v>
      </c>
      <c r="D212" t="s">
        <v>185</v>
      </c>
      <c r="E212" t="s">
        <v>63</v>
      </c>
      <c r="F212">
        <v>2012</v>
      </c>
      <c r="G212" t="s">
        <v>132</v>
      </c>
      <c r="H212" t="s">
        <v>328</v>
      </c>
      <c r="I212">
        <v>26844947</v>
      </c>
      <c r="J212">
        <v>5000000</v>
      </c>
      <c r="K212">
        <v>1000</v>
      </c>
      <c r="L212">
        <v>1375.28</v>
      </c>
      <c r="M212">
        <v>0</v>
      </c>
      <c r="N212">
        <v>86.3</v>
      </c>
      <c r="O212">
        <v>30</v>
      </c>
      <c r="P212" s="1">
        <v>45748</v>
      </c>
      <c r="Q212" s="1">
        <v>45778</v>
      </c>
      <c r="R212">
        <v>0</v>
      </c>
      <c r="S212">
        <v>1</v>
      </c>
      <c r="T212">
        <v>88.5</v>
      </c>
      <c r="U212">
        <v>0</v>
      </c>
    </row>
    <row r="213" spans="1:21" x14ac:dyDescent="0.3">
      <c r="A213">
        <v>665579</v>
      </c>
      <c r="B213">
        <v>9546409</v>
      </c>
      <c r="C213">
        <v>7616</v>
      </c>
      <c r="D213" t="s">
        <v>84</v>
      </c>
      <c r="E213" t="s">
        <v>63</v>
      </c>
      <c r="F213">
        <v>2022</v>
      </c>
      <c r="G213" t="s">
        <v>176</v>
      </c>
      <c r="H213" t="s">
        <v>227</v>
      </c>
      <c r="I213">
        <v>21563790</v>
      </c>
      <c r="J213">
        <v>500000</v>
      </c>
      <c r="K213">
        <v>2500</v>
      </c>
      <c r="L213">
        <v>1473.35</v>
      </c>
      <c r="M213">
        <v>0</v>
      </c>
      <c r="N213">
        <v>86.5</v>
      </c>
      <c r="O213">
        <v>30</v>
      </c>
      <c r="P213" s="1">
        <v>45736</v>
      </c>
      <c r="Q213" s="1">
        <v>45766</v>
      </c>
      <c r="R213">
        <v>1</v>
      </c>
      <c r="S213">
        <v>1</v>
      </c>
      <c r="T213">
        <v>85.1</v>
      </c>
      <c r="U213">
        <v>0</v>
      </c>
    </row>
    <row r="214" spans="1:21" x14ac:dyDescent="0.3">
      <c r="A214">
        <v>916449</v>
      </c>
      <c r="B214">
        <v>7705490</v>
      </c>
      <c r="C214">
        <v>6534</v>
      </c>
      <c r="D214" t="s">
        <v>84</v>
      </c>
      <c r="E214" t="s">
        <v>2</v>
      </c>
      <c r="F214">
        <v>2010</v>
      </c>
      <c r="G214" t="s">
        <v>176</v>
      </c>
      <c r="H214" t="s">
        <v>177</v>
      </c>
      <c r="I214">
        <v>23769851</v>
      </c>
      <c r="J214">
        <v>3000000</v>
      </c>
      <c r="K214">
        <v>5000</v>
      </c>
      <c r="L214">
        <v>1810.9</v>
      </c>
      <c r="M214">
        <v>0</v>
      </c>
      <c r="N214">
        <v>91.5</v>
      </c>
      <c r="O214">
        <v>60</v>
      </c>
      <c r="P214" s="1">
        <v>45756</v>
      </c>
      <c r="Q214" s="1">
        <v>45816</v>
      </c>
      <c r="R214">
        <v>0</v>
      </c>
      <c r="S214">
        <v>1</v>
      </c>
      <c r="T214">
        <v>87.4</v>
      </c>
      <c r="U214">
        <v>1</v>
      </c>
    </row>
    <row r="215" spans="1:21" x14ac:dyDescent="0.3">
      <c r="A215">
        <v>656116</v>
      </c>
      <c r="B215">
        <v>9996207</v>
      </c>
      <c r="C215">
        <v>5061</v>
      </c>
      <c r="D215" t="s">
        <v>92</v>
      </c>
      <c r="E215" t="s">
        <v>63</v>
      </c>
      <c r="F215">
        <v>2020</v>
      </c>
      <c r="G215" t="s">
        <v>103</v>
      </c>
      <c r="H215" t="s">
        <v>99</v>
      </c>
      <c r="I215">
        <v>21903561</v>
      </c>
      <c r="J215">
        <v>1000000</v>
      </c>
      <c r="K215">
        <v>2500</v>
      </c>
      <c r="L215">
        <v>1291.5999999999999</v>
      </c>
      <c r="M215">
        <v>0</v>
      </c>
      <c r="N215">
        <v>99.9</v>
      </c>
      <c r="O215">
        <v>45</v>
      </c>
      <c r="P215" s="1">
        <v>45748</v>
      </c>
      <c r="Q215" s="1">
        <v>45793</v>
      </c>
      <c r="R215">
        <v>0</v>
      </c>
      <c r="S215">
        <v>0</v>
      </c>
      <c r="T215">
        <v>72.7</v>
      </c>
      <c r="U215">
        <v>0</v>
      </c>
    </row>
    <row r="216" spans="1:21" x14ac:dyDescent="0.3">
      <c r="A216">
        <v>100599</v>
      </c>
      <c r="B216">
        <v>6555772</v>
      </c>
      <c r="C216">
        <v>1262</v>
      </c>
      <c r="D216" t="s">
        <v>57</v>
      </c>
      <c r="E216" t="s">
        <v>63</v>
      </c>
      <c r="F216">
        <v>2014</v>
      </c>
      <c r="G216" t="s">
        <v>109</v>
      </c>
      <c r="H216" t="s">
        <v>118</v>
      </c>
      <c r="I216">
        <v>27741810</v>
      </c>
      <c r="J216">
        <v>1000000</v>
      </c>
      <c r="K216">
        <v>2500</v>
      </c>
      <c r="L216">
        <v>1376.59</v>
      </c>
      <c r="M216">
        <v>0</v>
      </c>
      <c r="N216">
        <v>85.5</v>
      </c>
      <c r="O216">
        <v>90</v>
      </c>
      <c r="P216" s="1">
        <v>45680</v>
      </c>
      <c r="Q216" s="1">
        <v>45770</v>
      </c>
      <c r="R216">
        <v>0</v>
      </c>
      <c r="S216">
        <v>1</v>
      </c>
      <c r="T216">
        <v>75.900000000000006</v>
      </c>
      <c r="U216">
        <v>1</v>
      </c>
    </row>
    <row r="217" spans="1:21" x14ac:dyDescent="0.3">
      <c r="A217">
        <v>728038</v>
      </c>
      <c r="B217">
        <v>1463060</v>
      </c>
      <c r="C217">
        <v>7287</v>
      </c>
      <c r="D217" t="s">
        <v>57</v>
      </c>
      <c r="E217" t="s">
        <v>63</v>
      </c>
      <c r="F217">
        <v>2017</v>
      </c>
      <c r="G217" t="s">
        <v>129</v>
      </c>
      <c r="H217" t="s">
        <v>130</v>
      </c>
      <c r="I217">
        <v>21970754</v>
      </c>
      <c r="J217">
        <v>2000000</v>
      </c>
      <c r="K217">
        <v>1000</v>
      </c>
      <c r="L217">
        <v>1445.56</v>
      </c>
      <c r="M217">
        <v>0</v>
      </c>
      <c r="N217">
        <v>77.400000000000006</v>
      </c>
      <c r="O217">
        <v>60</v>
      </c>
      <c r="P217" s="1">
        <v>45825</v>
      </c>
      <c r="Q217" s="1">
        <v>45885</v>
      </c>
      <c r="R217">
        <v>0</v>
      </c>
      <c r="S217">
        <v>1</v>
      </c>
      <c r="T217">
        <v>98.5</v>
      </c>
      <c r="U217">
        <v>0</v>
      </c>
    </row>
    <row r="218" spans="1:21" x14ac:dyDescent="0.3">
      <c r="A218">
        <v>439902</v>
      </c>
      <c r="B218">
        <v>2935113</v>
      </c>
      <c r="C218">
        <v>9815</v>
      </c>
      <c r="D218" t="s">
        <v>142</v>
      </c>
      <c r="E218" t="s">
        <v>63</v>
      </c>
      <c r="F218">
        <v>2015</v>
      </c>
      <c r="G218" t="s">
        <v>150</v>
      </c>
      <c r="H218" t="s">
        <v>311</v>
      </c>
      <c r="I218">
        <v>22583206</v>
      </c>
      <c r="J218">
        <v>1000000</v>
      </c>
      <c r="K218">
        <v>1000</v>
      </c>
      <c r="L218">
        <v>1758.48</v>
      </c>
      <c r="M218">
        <v>2</v>
      </c>
      <c r="N218">
        <v>73.8</v>
      </c>
      <c r="O218">
        <v>45</v>
      </c>
      <c r="P218" s="1">
        <v>45925</v>
      </c>
      <c r="Q218" s="1">
        <v>45970</v>
      </c>
      <c r="R218">
        <v>0</v>
      </c>
      <c r="S218">
        <v>1</v>
      </c>
      <c r="T218">
        <v>88.3</v>
      </c>
      <c r="U218">
        <v>0</v>
      </c>
    </row>
    <row r="219" spans="1:21" x14ac:dyDescent="0.3">
      <c r="A219">
        <v>612340</v>
      </c>
      <c r="B219">
        <v>5382463</v>
      </c>
      <c r="C219">
        <v>3049</v>
      </c>
      <c r="D219" t="s">
        <v>211</v>
      </c>
      <c r="E219" t="s">
        <v>215</v>
      </c>
      <c r="F219">
        <v>2016</v>
      </c>
      <c r="G219" t="s">
        <v>134</v>
      </c>
      <c r="H219" t="s">
        <v>248</v>
      </c>
      <c r="I219">
        <v>28361353</v>
      </c>
      <c r="J219">
        <v>3000000</v>
      </c>
      <c r="K219">
        <v>2500</v>
      </c>
      <c r="L219">
        <v>2116.91</v>
      </c>
      <c r="M219">
        <v>0</v>
      </c>
      <c r="N219">
        <v>66.099999999999994</v>
      </c>
      <c r="O219">
        <v>60</v>
      </c>
      <c r="P219" s="1">
        <v>45879</v>
      </c>
      <c r="Q219" s="1">
        <v>45939</v>
      </c>
      <c r="R219">
        <v>0</v>
      </c>
      <c r="S219">
        <v>1</v>
      </c>
      <c r="T219">
        <v>91.1</v>
      </c>
      <c r="U219">
        <v>0</v>
      </c>
    </row>
    <row r="220" spans="1:21" x14ac:dyDescent="0.3">
      <c r="A220">
        <v>120422</v>
      </c>
      <c r="B220">
        <v>3995870</v>
      </c>
      <c r="C220">
        <v>6423</v>
      </c>
      <c r="D220" t="s">
        <v>92</v>
      </c>
      <c r="E220" t="s">
        <v>63</v>
      </c>
      <c r="F220">
        <v>2022</v>
      </c>
      <c r="G220" t="s">
        <v>176</v>
      </c>
      <c r="H220" t="s">
        <v>227</v>
      </c>
      <c r="I220">
        <v>24896624</v>
      </c>
      <c r="J220">
        <v>3000000</v>
      </c>
      <c r="K220">
        <v>10000</v>
      </c>
      <c r="L220">
        <v>1281.24</v>
      </c>
      <c r="M220">
        <v>0</v>
      </c>
      <c r="N220">
        <v>75.7</v>
      </c>
      <c r="O220">
        <v>45</v>
      </c>
      <c r="P220" s="1">
        <v>45903</v>
      </c>
      <c r="Q220" s="1">
        <v>45948</v>
      </c>
      <c r="R220">
        <v>0</v>
      </c>
      <c r="S220">
        <v>1</v>
      </c>
      <c r="T220">
        <v>94.7</v>
      </c>
      <c r="U220">
        <v>0</v>
      </c>
    </row>
    <row r="221" spans="1:21" x14ac:dyDescent="0.3">
      <c r="A221">
        <v>217301</v>
      </c>
      <c r="B221">
        <v>5453786</v>
      </c>
      <c r="C221">
        <v>5548</v>
      </c>
      <c r="D221" t="s">
        <v>142</v>
      </c>
      <c r="E221" t="s">
        <v>112</v>
      </c>
      <c r="F221">
        <v>2015</v>
      </c>
      <c r="G221" t="s">
        <v>59</v>
      </c>
      <c r="H221" t="s">
        <v>85</v>
      </c>
      <c r="I221">
        <v>28537455</v>
      </c>
      <c r="J221">
        <v>1000000</v>
      </c>
      <c r="K221">
        <v>2500</v>
      </c>
      <c r="L221">
        <v>1740.03</v>
      </c>
      <c r="M221">
        <v>0</v>
      </c>
      <c r="N221">
        <v>78.3</v>
      </c>
      <c r="O221">
        <v>60</v>
      </c>
      <c r="P221" s="1">
        <v>45687</v>
      </c>
      <c r="Q221" s="1">
        <v>45747</v>
      </c>
      <c r="R221">
        <v>0</v>
      </c>
      <c r="S221">
        <v>1</v>
      </c>
      <c r="T221">
        <v>80.900000000000006</v>
      </c>
      <c r="U221">
        <v>0</v>
      </c>
    </row>
    <row r="222" spans="1:21" x14ac:dyDescent="0.3">
      <c r="A222">
        <v>480612</v>
      </c>
      <c r="B222">
        <v>1641849</v>
      </c>
      <c r="C222">
        <v>4108</v>
      </c>
      <c r="D222" t="s">
        <v>57</v>
      </c>
      <c r="E222" t="s">
        <v>63</v>
      </c>
      <c r="F222">
        <v>2020</v>
      </c>
      <c r="G222" t="s">
        <v>200</v>
      </c>
      <c r="H222" t="s">
        <v>338</v>
      </c>
      <c r="I222">
        <v>24587308</v>
      </c>
      <c r="J222">
        <v>1000000</v>
      </c>
      <c r="K222">
        <v>2500</v>
      </c>
      <c r="L222">
        <v>1449.43</v>
      </c>
      <c r="M222">
        <v>1</v>
      </c>
      <c r="N222">
        <v>73.3</v>
      </c>
      <c r="O222">
        <v>45</v>
      </c>
      <c r="P222" s="1">
        <v>46005</v>
      </c>
      <c r="Q222" s="1">
        <v>46050</v>
      </c>
      <c r="R222">
        <v>0</v>
      </c>
      <c r="S222">
        <v>1</v>
      </c>
      <c r="T222">
        <v>91.3</v>
      </c>
      <c r="U222">
        <v>0</v>
      </c>
    </row>
    <row r="223" spans="1:21" x14ac:dyDescent="0.3">
      <c r="A223">
        <v>972064</v>
      </c>
      <c r="B223">
        <v>2818692</v>
      </c>
      <c r="C223">
        <v>8158</v>
      </c>
      <c r="D223" t="s">
        <v>84</v>
      </c>
      <c r="E223" t="s">
        <v>2</v>
      </c>
      <c r="F223">
        <v>2018</v>
      </c>
      <c r="G223" t="s">
        <v>134</v>
      </c>
      <c r="H223" t="s">
        <v>918</v>
      </c>
      <c r="I223">
        <v>26970771</v>
      </c>
      <c r="J223">
        <v>2000000</v>
      </c>
      <c r="K223">
        <v>5000</v>
      </c>
      <c r="L223">
        <v>1991.21</v>
      </c>
      <c r="M223">
        <v>0</v>
      </c>
      <c r="N223">
        <v>83.4</v>
      </c>
      <c r="O223">
        <v>45</v>
      </c>
      <c r="P223" s="1">
        <v>45964</v>
      </c>
      <c r="Q223" s="1">
        <v>46009</v>
      </c>
      <c r="R223">
        <v>0</v>
      </c>
      <c r="S223">
        <v>0</v>
      </c>
      <c r="T223">
        <v>71.099999999999994</v>
      </c>
      <c r="U223">
        <v>0</v>
      </c>
    </row>
    <row r="224" spans="1:21" x14ac:dyDescent="0.3">
      <c r="A224">
        <v>945964</v>
      </c>
      <c r="B224">
        <v>8290770</v>
      </c>
      <c r="C224">
        <v>8400</v>
      </c>
      <c r="D224" t="s">
        <v>142</v>
      </c>
      <c r="E224" t="s">
        <v>112</v>
      </c>
      <c r="F224">
        <v>2021</v>
      </c>
      <c r="G224" t="s">
        <v>70</v>
      </c>
      <c r="H224" t="s">
        <v>138</v>
      </c>
      <c r="I224">
        <v>28094999</v>
      </c>
      <c r="J224">
        <v>3000000</v>
      </c>
      <c r="K224">
        <v>2500</v>
      </c>
      <c r="L224">
        <v>1939.89</v>
      </c>
      <c r="M224">
        <v>1</v>
      </c>
      <c r="N224">
        <v>70.599999999999994</v>
      </c>
      <c r="O224">
        <v>60</v>
      </c>
      <c r="P224" s="1">
        <v>45951</v>
      </c>
      <c r="Q224" s="1">
        <v>46011</v>
      </c>
      <c r="R224">
        <v>0</v>
      </c>
      <c r="S224">
        <v>1</v>
      </c>
      <c r="T224">
        <v>93.9</v>
      </c>
      <c r="U224">
        <v>0</v>
      </c>
    </row>
    <row r="225" spans="1:21" x14ac:dyDescent="0.3">
      <c r="A225">
        <v>422451</v>
      </c>
      <c r="B225">
        <v>6799667</v>
      </c>
      <c r="C225">
        <v>4170</v>
      </c>
      <c r="D225" t="s">
        <v>106</v>
      </c>
      <c r="E225" t="s">
        <v>2</v>
      </c>
      <c r="F225">
        <v>2025</v>
      </c>
      <c r="G225" t="s">
        <v>86</v>
      </c>
      <c r="H225" t="s">
        <v>243</v>
      </c>
      <c r="I225">
        <v>27922533</v>
      </c>
      <c r="J225">
        <v>500000</v>
      </c>
      <c r="K225">
        <v>1000</v>
      </c>
      <c r="L225">
        <v>1725.09</v>
      </c>
      <c r="M225">
        <v>0</v>
      </c>
      <c r="N225">
        <v>92.1</v>
      </c>
      <c r="O225">
        <v>90</v>
      </c>
      <c r="P225" s="1">
        <v>45958</v>
      </c>
      <c r="Q225" s="1">
        <v>46048</v>
      </c>
      <c r="R225">
        <v>0</v>
      </c>
      <c r="S225">
        <v>1</v>
      </c>
      <c r="T225">
        <v>73.099999999999994</v>
      </c>
      <c r="U225">
        <v>0</v>
      </c>
    </row>
    <row r="226" spans="1:21" x14ac:dyDescent="0.3">
      <c r="A226">
        <v>351083</v>
      </c>
      <c r="B226">
        <v>6262632</v>
      </c>
      <c r="C226">
        <v>3255</v>
      </c>
      <c r="D226" t="s">
        <v>57</v>
      </c>
      <c r="E226" t="s">
        <v>63</v>
      </c>
      <c r="F226">
        <v>2022</v>
      </c>
      <c r="G226" t="s">
        <v>176</v>
      </c>
      <c r="H226" t="s">
        <v>292</v>
      </c>
      <c r="I226">
        <v>24089126</v>
      </c>
      <c r="J226">
        <v>2000000</v>
      </c>
      <c r="K226">
        <v>2500</v>
      </c>
      <c r="L226">
        <v>1412.89</v>
      </c>
      <c r="M226">
        <v>0</v>
      </c>
      <c r="N226">
        <v>82</v>
      </c>
      <c r="O226">
        <v>60</v>
      </c>
      <c r="P226" s="1">
        <v>45998</v>
      </c>
      <c r="Q226" s="1">
        <v>46058</v>
      </c>
      <c r="R226">
        <v>0</v>
      </c>
      <c r="S226">
        <v>1</v>
      </c>
      <c r="T226">
        <v>87.3</v>
      </c>
      <c r="U226">
        <v>0</v>
      </c>
    </row>
    <row r="227" spans="1:21" x14ac:dyDescent="0.3">
      <c r="A227">
        <v>160738</v>
      </c>
      <c r="B227">
        <v>8321474</v>
      </c>
      <c r="C227">
        <v>2154</v>
      </c>
      <c r="D227" t="s">
        <v>211</v>
      </c>
      <c r="E227" t="s">
        <v>63</v>
      </c>
      <c r="F227">
        <v>2013</v>
      </c>
      <c r="G227" t="s">
        <v>200</v>
      </c>
      <c r="H227" t="s">
        <v>918</v>
      </c>
      <c r="I227">
        <v>27663605</v>
      </c>
      <c r="J227">
        <v>2000000</v>
      </c>
      <c r="K227">
        <v>10000</v>
      </c>
      <c r="L227">
        <v>1359.74</v>
      </c>
      <c r="M227">
        <v>0</v>
      </c>
      <c r="N227">
        <v>81.900000000000006</v>
      </c>
      <c r="O227">
        <v>45</v>
      </c>
      <c r="P227" s="1">
        <v>45856</v>
      </c>
      <c r="Q227" s="1">
        <v>45901</v>
      </c>
      <c r="R227">
        <v>0</v>
      </c>
      <c r="S227">
        <v>1</v>
      </c>
      <c r="T227">
        <v>83.8</v>
      </c>
      <c r="U227">
        <v>0</v>
      </c>
    </row>
    <row r="228" spans="1:21" x14ac:dyDescent="0.3">
      <c r="A228">
        <v>352572</v>
      </c>
      <c r="B228">
        <v>9580255</v>
      </c>
      <c r="C228">
        <v>5499</v>
      </c>
      <c r="D228" t="s">
        <v>84</v>
      </c>
      <c r="E228" t="s">
        <v>63</v>
      </c>
      <c r="F228">
        <v>2009</v>
      </c>
      <c r="G228" t="s">
        <v>176</v>
      </c>
      <c r="H228" t="s">
        <v>292</v>
      </c>
      <c r="I228">
        <v>29248693</v>
      </c>
      <c r="J228">
        <v>2000000</v>
      </c>
      <c r="K228">
        <v>1000</v>
      </c>
      <c r="L228">
        <v>1488.3</v>
      </c>
      <c r="M228">
        <v>0</v>
      </c>
      <c r="N228">
        <v>79</v>
      </c>
      <c r="O228">
        <v>60</v>
      </c>
      <c r="P228" s="1">
        <v>45731</v>
      </c>
      <c r="Q228" s="1">
        <v>45791</v>
      </c>
      <c r="R228">
        <v>0</v>
      </c>
      <c r="S228">
        <v>1</v>
      </c>
      <c r="T228">
        <v>91</v>
      </c>
      <c r="U228">
        <v>0</v>
      </c>
    </row>
    <row r="229" spans="1:21" x14ac:dyDescent="0.3">
      <c r="A229">
        <v>694916</v>
      </c>
      <c r="B229">
        <v>2940214</v>
      </c>
      <c r="C229">
        <v>7295</v>
      </c>
      <c r="D229" t="s">
        <v>101</v>
      </c>
      <c r="E229" t="s">
        <v>80</v>
      </c>
      <c r="F229">
        <v>2014</v>
      </c>
      <c r="G229" t="s">
        <v>150</v>
      </c>
      <c r="H229" t="s">
        <v>196</v>
      </c>
      <c r="I229">
        <v>22426689</v>
      </c>
      <c r="J229">
        <v>500000</v>
      </c>
      <c r="K229">
        <v>2500</v>
      </c>
      <c r="L229">
        <v>1710.85</v>
      </c>
      <c r="M229">
        <v>0</v>
      </c>
      <c r="N229">
        <v>83.4</v>
      </c>
      <c r="O229">
        <v>45</v>
      </c>
      <c r="P229" s="1">
        <v>45883</v>
      </c>
      <c r="Q229" s="1">
        <v>45928</v>
      </c>
      <c r="R229">
        <v>0</v>
      </c>
      <c r="S229">
        <v>1</v>
      </c>
      <c r="T229">
        <v>91.3</v>
      </c>
      <c r="U229">
        <v>0</v>
      </c>
    </row>
    <row r="230" spans="1:21" x14ac:dyDescent="0.3">
      <c r="A230">
        <v>182582</v>
      </c>
      <c r="B230">
        <v>7462506</v>
      </c>
      <c r="C230">
        <v>7197</v>
      </c>
      <c r="D230" t="s">
        <v>84</v>
      </c>
      <c r="E230" t="s">
        <v>112</v>
      </c>
      <c r="F230">
        <v>2020</v>
      </c>
      <c r="G230" t="s">
        <v>70</v>
      </c>
      <c r="H230" t="s">
        <v>322</v>
      </c>
      <c r="I230">
        <v>26435505</v>
      </c>
      <c r="J230">
        <v>2000000</v>
      </c>
      <c r="K230">
        <v>1000</v>
      </c>
      <c r="L230">
        <v>1524.98</v>
      </c>
      <c r="M230">
        <v>0</v>
      </c>
      <c r="N230">
        <v>89.4</v>
      </c>
      <c r="O230">
        <v>45</v>
      </c>
      <c r="P230" s="1">
        <v>45929</v>
      </c>
      <c r="Q230" s="1">
        <v>45974</v>
      </c>
      <c r="R230">
        <v>0</v>
      </c>
      <c r="S230">
        <v>1</v>
      </c>
      <c r="T230">
        <v>83</v>
      </c>
      <c r="U230">
        <v>0</v>
      </c>
    </row>
    <row r="231" spans="1:21" x14ac:dyDescent="0.3">
      <c r="A231">
        <v>189814</v>
      </c>
      <c r="B231">
        <v>4188992</v>
      </c>
      <c r="C231">
        <v>2648</v>
      </c>
      <c r="D231" t="s">
        <v>101</v>
      </c>
      <c r="E231" t="s">
        <v>215</v>
      </c>
      <c r="F231">
        <v>2009</v>
      </c>
      <c r="G231" t="s">
        <v>116</v>
      </c>
      <c r="H231" t="s">
        <v>139</v>
      </c>
      <c r="I231">
        <v>23197911</v>
      </c>
      <c r="J231">
        <v>3000000</v>
      </c>
      <c r="K231">
        <v>2500</v>
      </c>
      <c r="L231">
        <v>2213.8000000000002</v>
      </c>
      <c r="M231">
        <v>0</v>
      </c>
      <c r="N231">
        <v>74.2</v>
      </c>
      <c r="O231">
        <v>30</v>
      </c>
      <c r="P231" s="1">
        <v>45927</v>
      </c>
      <c r="Q231" s="1">
        <v>45957</v>
      </c>
      <c r="R231">
        <v>0</v>
      </c>
      <c r="S231">
        <v>1</v>
      </c>
      <c r="T231">
        <v>83</v>
      </c>
      <c r="U231">
        <v>1</v>
      </c>
    </row>
    <row r="232" spans="1:21" x14ac:dyDescent="0.3">
      <c r="A232">
        <v>867460</v>
      </c>
      <c r="B232">
        <v>5273534</v>
      </c>
      <c r="C232">
        <v>6539</v>
      </c>
      <c r="D232" t="s">
        <v>84</v>
      </c>
      <c r="E232" t="s">
        <v>63</v>
      </c>
      <c r="F232">
        <v>2019</v>
      </c>
      <c r="G232" t="s">
        <v>176</v>
      </c>
      <c r="H232" t="s">
        <v>177</v>
      </c>
      <c r="I232">
        <v>28526867</v>
      </c>
      <c r="J232">
        <v>500000</v>
      </c>
      <c r="K232">
        <v>1000</v>
      </c>
      <c r="L232">
        <v>1610.78</v>
      </c>
      <c r="M232">
        <v>1</v>
      </c>
      <c r="N232">
        <v>72.099999999999994</v>
      </c>
      <c r="O232">
        <v>60</v>
      </c>
      <c r="P232" s="1">
        <v>45848</v>
      </c>
      <c r="Q232" s="1">
        <v>45908</v>
      </c>
      <c r="R232">
        <v>0</v>
      </c>
      <c r="S232">
        <v>1</v>
      </c>
      <c r="T232">
        <v>87.2</v>
      </c>
      <c r="U232">
        <v>0</v>
      </c>
    </row>
    <row r="233" spans="1:21" x14ac:dyDescent="0.3">
      <c r="A233">
        <v>609597</v>
      </c>
      <c r="B233">
        <v>1744682</v>
      </c>
      <c r="C233">
        <v>5199</v>
      </c>
      <c r="D233" t="s">
        <v>84</v>
      </c>
      <c r="E233" t="s">
        <v>112</v>
      </c>
      <c r="F233">
        <v>2020</v>
      </c>
      <c r="G233" t="s">
        <v>132</v>
      </c>
      <c r="H233" t="s">
        <v>133</v>
      </c>
      <c r="I233">
        <v>22290229</v>
      </c>
      <c r="J233">
        <v>1000000</v>
      </c>
      <c r="K233">
        <v>2500</v>
      </c>
      <c r="L233">
        <v>1830.56</v>
      </c>
      <c r="M233">
        <v>0</v>
      </c>
      <c r="N233">
        <v>79.3</v>
      </c>
      <c r="O233">
        <v>30</v>
      </c>
      <c r="P233" s="1">
        <v>45682</v>
      </c>
      <c r="Q233" s="1">
        <v>45712</v>
      </c>
      <c r="R233">
        <v>0</v>
      </c>
      <c r="S233">
        <v>0</v>
      </c>
      <c r="T233">
        <v>66.7</v>
      </c>
      <c r="U233">
        <v>0</v>
      </c>
    </row>
    <row r="234" spans="1:21" x14ac:dyDescent="0.3">
      <c r="A234">
        <v>955662</v>
      </c>
      <c r="B234">
        <v>8315831</v>
      </c>
      <c r="C234">
        <v>9445</v>
      </c>
      <c r="D234" t="s">
        <v>84</v>
      </c>
      <c r="E234" t="s">
        <v>80</v>
      </c>
      <c r="F234">
        <v>2016</v>
      </c>
      <c r="G234" t="s">
        <v>59</v>
      </c>
      <c r="H234" t="s">
        <v>60</v>
      </c>
      <c r="I234">
        <v>21171218</v>
      </c>
      <c r="J234">
        <v>5000000</v>
      </c>
      <c r="K234">
        <v>5000</v>
      </c>
      <c r="L234">
        <v>1575.58</v>
      </c>
      <c r="M234">
        <v>0</v>
      </c>
      <c r="N234">
        <v>69.900000000000006</v>
      </c>
      <c r="O234">
        <v>45</v>
      </c>
      <c r="P234" s="1">
        <v>45793</v>
      </c>
      <c r="Q234" s="1">
        <v>45838</v>
      </c>
      <c r="R234">
        <v>0</v>
      </c>
      <c r="S234">
        <v>1</v>
      </c>
      <c r="T234">
        <v>93.9</v>
      </c>
      <c r="U234">
        <v>0</v>
      </c>
    </row>
    <row r="235" spans="1:21" x14ac:dyDescent="0.3">
      <c r="A235">
        <v>172574</v>
      </c>
      <c r="B235">
        <v>1028374</v>
      </c>
      <c r="C235">
        <v>3557</v>
      </c>
      <c r="D235" t="s">
        <v>106</v>
      </c>
      <c r="E235" t="s">
        <v>63</v>
      </c>
      <c r="F235">
        <v>2023</v>
      </c>
      <c r="G235" t="s">
        <v>176</v>
      </c>
      <c r="H235" t="s">
        <v>177</v>
      </c>
      <c r="I235">
        <v>24634662</v>
      </c>
      <c r="J235">
        <v>500000</v>
      </c>
      <c r="K235">
        <v>2500</v>
      </c>
      <c r="L235">
        <v>1539.76</v>
      </c>
      <c r="M235">
        <v>1</v>
      </c>
      <c r="N235">
        <v>70.599999999999994</v>
      </c>
      <c r="O235">
        <v>60</v>
      </c>
      <c r="P235" s="1">
        <v>45994</v>
      </c>
      <c r="Q235" s="1">
        <v>46054</v>
      </c>
      <c r="R235">
        <v>0</v>
      </c>
      <c r="S235">
        <v>1</v>
      </c>
      <c r="T235">
        <v>85.4</v>
      </c>
      <c r="U235">
        <v>0</v>
      </c>
    </row>
    <row r="236" spans="1:21" x14ac:dyDescent="0.3">
      <c r="A236">
        <v>897549</v>
      </c>
      <c r="B236">
        <v>9722815</v>
      </c>
      <c r="C236">
        <v>6592</v>
      </c>
      <c r="D236" t="s">
        <v>142</v>
      </c>
      <c r="E236" t="s">
        <v>63</v>
      </c>
      <c r="F236">
        <v>2011</v>
      </c>
      <c r="G236" t="s">
        <v>129</v>
      </c>
      <c r="H236" t="s">
        <v>156</v>
      </c>
      <c r="I236">
        <v>26961578</v>
      </c>
      <c r="J236">
        <v>3000000</v>
      </c>
      <c r="K236">
        <v>2500</v>
      </c>
      <c r="L236">
        <v>1411.71</v>
      </c>
      <c r="M236">
        <v>0</v>
      </c>
      <c r="N236">
        <v>77.7</v>
      </c>
      <c r="O236">
        <v>30</v>
      </c>
      <c r="P236" s="1">
        <v>45871</v>
      </c>
      <c r="Q236" s="1">
        <v>45901</v>
      </c>
      <c r="R236">
        <v>0</v>
      </c>
      <c r="S236">
        <v>1</v>
      </c>
      <c r="T236">
        <v>67.7</v>
      </c>
      <c r="U236">
        <v>0</v>
      </c>
    </row>
    <row r="237" spans="1:21" x14ac:dyDescent="0.3">
      <c r="A237">
        <v>658582</v>
      </c>
      <c r="B237">
        <v>4305700</v>
      </c>
      <c r="C237">
        <v>1098</v>
      </c>
      <c r="D237" t="s">
        <v>106</v>
      </c>
      <c r="E237" t="s">
        <v>112</v>
      </c>
      <c r="F237">
        <v>2010</v>
      </c>
      <c r="G237" t="s">
        <v>134</v>
      </c>
      <c r="H237" t="s">
        <v>248</v>
      </c>
      <c r="I237">
        <v>25702160</v>
      </c>
      <c r="J237">
        <v>1000000</v>
      </c>
      <c r="K237">
        <v>5000</v>
      </c>
      <c r="L237">
        <v>2014.48</v>
      </c>
      <c r="M237">
        <v>2</v>
      </c>
      <c r="N237">
        <v>81.900000000000006</v>
      </c>
      <c r="O237">
        <v>30</v>
      </c>
      <c r="P237" s="1">
        <v>45854</v>
      </c>
      <c r="Q237" s="1">
        <v>45884</v>
      </c>
      <c r="R237">
        <v>0</v>
      </c>
      <c r="S237">
        <v>1</v>
      </c>
      <c r="T237">
        <v>85.4</v>
      </c>
      <c r="U237">
        <v>0</v>
      </c>
    </row>
    <row r="238" spans="1:21" x14ac:dyDescent="0.3">
      <c r="A238">
        <v>903035</v>
      </c>
      <c r="B238">
        <v>7110622</v>
      </c>
      <c r="C238">
        <v>3200</v>
      </c>
      <c r="D238" t="s">
        <v>92</v>
      </c>
      <c r="E238" t="s">
        <v>2</v>
      </c>
      <c r="F238">
        <v>2022</v>
      </c>
      <c r="G238" t="s">
        <v>134</v>
      </c>
      <c r="H238" t="s">
        <v>282</v>
      </c>
      <c r="I238">
        <v>28518424</v>
      </c>
      <c r="J238">
        <v>1000000</v>
      </c>
      <c r="K238">
        <v>10000</v>
      </c>
      <c r="L238">
        <v>2209.12</v>
      </c>
      <c r="M238">
        <v>1</v>
      </c>
      <c r="N238">
        <v>80.400000000000006</v>
      </c>
      <c r="O238">
        <v>30</v>
      </c>
      <c r="P238" s="1">
        <v>45756</v>
      </c>
      <c r="Q238" s="1">
        <v>45786</v>
      </c>
      <c r="R238">
        <v>0</v>
      </c>
      <c r="S238">
        <v>1</v>
      </c>
      <c r="T238">
        <v>80.7</v>
      </c>
      <c r="U238">
        <v>0</v>
      </c>
    </row>
    <row r="239" spans="1:21" x14ac:dyDescent="0.3">
      <c r="A239">
        <v>231869</v>
      </c>
      <c r="B239">
        <v>8235969</v>
      </c>
      <c r="C239">
        <v>3961</v>
      </c>
      <c r="D239" t="s">
        <v>57</v>
      </c>
      <c r="E239" t="s">
        <v>112</v>
      </c>
      <c r="F239">
        <v>2019</v>
      </c>
      <c r="G239" t="s">
        <v>150</v>
      </c>
      <c r="H239" t="s">
        <v>918</v>
      </c>
      <c r="I239">
        <v>24482413</v>
      </c>
      <c r="J239">
        <v>3000000</v>
      </c>
      <c r="K239">
        <v>1000</v>
      </c>
      <c r="L239">
        <v>1752.56</v>
      </c>
      <c r="M239">
        <v>0</v>
      </c>
      <c r="N239">
        <v>83.7</v>
      </c>
      <c r="O239">
        <v>90</v>
      </c>
      <c r="P239" s="1">
        <v>45792</v>
      </c>
      <c r="Q239" s="1">
        <v>45882</v>
      </c>
      <c r="R239">
        <v>0</v>
      </c>
      <c r="S239">
        <v>1</v>
      </c>
      <c r="T239">
        <v>76.599999999999994</v>
      </c>
      <c r="U239">
        <v>0</v>
      </c>
    </row>
    <row r="240" spans="1:21" x14ac:dyDescent="0.3">
      <c r="A240">
        <v>234628</v>
      </c>
      <c r="B240">
        <v>2173965</v>
      </c>
      <c r="C240">
        <v>5973</v>
      </c>
      <c r="D240" t="s">
        <v>126</v>
      </c>
      <c r="E240" t="s">
        <v>63</v>
      </c>
      <c r="F240">
        <v>2022</v>
      </c>
      <c r="G240" t="s">
        <v>59</v>
      </c>
      <c r="H240" t="s">
        <v>85</v>
      </c>
      <c r="I240">
        <v>20043037</v>
      </c>
      <c r="J240">
        <v>1000000</v>
      </c>
      <c r="K240">
        <v>2500</v>
      </c>
      <c r="L240">
        <v>1678.14</v>
      </c>
      <c r="M240">
        <v>0</v>
      </c>
      <c r="N240">
        <v>89.7</v>
      </c>
      <c r="O240">
        <v>45</v>
      </c>
      <c r="P240" s="1">
        <v>45984</v>
      </c>
      <c r="Q240" s="1">
        <v>46029</v>
      </c>
      <c r="R240">
        <v>0</v>
      </c>
      <c r="S240">
        <v>1</v>
      </c>
      <c r="T240">
        <v>79.3</v>
      </c>
      <c r="U240">
        <v>0</v>
      </c>
    </row>
    <row r="241" spans="1:21" x14ac:dyDescent="0.3">
      <c r="A241">
        <v>791798</v>
      </c>
      <c r="B241">
        <v>6539837</v>
      </c>
      <c r="C241">
        <v>5433</v>
      </c>
      <c r="D241" t="s">
        <v>225</v>
      </c>
      <c r="E241" t="s">
        <v>112</v>
      </c>
      <c r="F241">
        <v>2018</v>
      </c>
      <c r="G241" t="s">
        <v>70</v>
      </c>
      <c r="H241" t="s">
        <v>152</v>
      </c>
      <c r="I241">
        <v>24745250</v>
      </c>
      <c r="J241">
        <v>1000000</v>
      </c>
      <c r="K241">
        <v>1000</v>
      </c>
      <c r="L241">
        <v>1742.72</v>
      </c>
      <c r="M241">
        <v>0</v>
      </c>
      <c r="N241">
        <v>80.8</v>
      </c>
      <c r="O241">
        <v>45</v>
      </c>
      <c r="P241" s="1">
        <v>45901</v>
      </c>
      <c r="Q241" s="1">
        <v>45946</v>
      </c>
      <c r="R241">
        <v>0</v>
      </c>
      <c r="S241">
        <v>1</v>
      </c>
      <c r="T241">
        <v>88.8</v>
      </c>
      <c r="U241">
        <v>0</v>
      </c>
    </row>
    <row r="242" spans="1:21" x14ac:dyDescent="0.3">
      <c r="A242">
        <v>598369</v>
      </c>
      <c r="B242">
        <v>6266630</v>
      </c>
      <c r="C242">
        <v>3869</v>
      </c>
      <c r="D242" t="s">
        <v>126</v>
      </c>
      <c r="E242" t="s">
        <v>63</v>
      </c>
      <c r="F242">
        <v>2014</v>
      </c>
      <c r="G242" t="s">
        <v>132</v>
      </c>
      <c r="H242" t="s">
        <v>181</v>
      </c>
      <c r="I242">
        <v>25008935</v>
      </c>
      <c r="J242">
        <v>1000000</v>
      </c>
      <c r="K242">
        <v>10000</v>
      </c>
      <c r="L242">
        <v>1544.99</v>
      </c>
      <c r="M242">
        <v>1</v>
      </c>
      <c r="N242">
        <v>81.5</v>
      </c>
      <c r="O242">
        <v>60</v>
      </c>
      <c r="P242" s="1">
        <v>45945</v>
      </c>
      <c r="Q242" s="1">
        <v>46005</v>
      </c>
      <c r="R242">
        <v>0</v>
      </c>
      <c r="S242">
        <v>1</v>
      </c>
      <c r="T242">
        <v>97.3</v>
      </c>
      <c r="U242">
        <v>0</v>
      </c>
    </row>
    <row r="243" spans="1:21" x14ac:dyDescent="0.3">
      <c r="A243">
        <v>676510</v>
      </c>
      <c r="B243">
        <v>3090865</v>
      </c>
      <c r="C243">
        <v>1956</v>
      </c>
      <c r="D243" t="s">
        <v>92</v>
      </c>
      <c r="E243" t="s">
        <v>63</v>
      </c>
      <c r="F243">
        <v>2023</v>
      </c>
      <c r="G243" t="s">
        <v>121</v>
      </c>
      <c r="H243" t="s">
        <v>143</v>
      </c>
      <c r="I243">
        <v>29847180</v>
      </c>
      <c r="J243">
        <v>2000000</v>
      </c>
      <c r="K243">
        <v>10000</v>
      </c>
      <c r="L243">
        <v>1268.3499999999999</v>
      </c>
      <c r="M243">
        <v>0</v>
      </c>
      <c r="N243">
        <v>81.099999999999994</v>
      </c>
      <c r="O243">
        <v>60</v>
      </c>
      <c r="P243" s="1">
        <v>45823</v>
      </c>
      <c r="Q243" s="1">
        <v>45883</v>
      </c>
      <c r="R243">
        <v>0</v>
      </c>
      <c r="S243">
        <v>1</v>
      </c>
      <c r="T243">
        <v>90.2</v>
      </c>
      <c r="U243">
        <v>0</v>
      </c>
    </row>
    <row r="244" spans="1:21" x14ac:dyDescent="0.3">
      <c r="A244">
        <v>273148</v>
      </c>
      <c r="B244">
        <v>6038571</v>
      </c>
      <c r="C244">
        <v>9352</v>
      </c>
      <c r="D244" t="s">
        <v>84</v>
      </c>
      <c r="E244" t="s">
        <v>63</v>
      </c>
      <c r="F244">
        <v>2023</v>
      </c>
      <c r="G244" t="s">
        <v>59</v>
      </c>
      <c r="H244" t="s">
        <v>85</v>
      </c>
      <c r="I244">
        <v>29729499</v>
      </c>
      <c r="J244">
        <v>500000</v>
      </c>
      <c r="K244">
        <v>2500</v>
      </c>
      <c r="L244">
        <v>1413.62</v>
      </c>
      <c r="M244">
        <v>1</v>
      </c>
      <c r="N244">
        <v>80.400000000000006</v>
      </c>
      <c r="O244">
        <v>45</v>
      </c>
      <c r="P244" s="1">
        <v>45888</v>
      </c>
      <c r="Q244" s="1">
        <v>45933</v>
      </c>
      <c r="R244">
        <v>1</v>
      </c>
      <c r="S244">
        <v>1</v>
      </c>
      <c r="T244">
        <v>83.8</v>
      </c>
      <c r="U244">
        <v>0</v>
      </c>
    </row>
    <row r="245" spans="1:21" x14ac:dyDescent="0.3">
      <c r="A245">
        <v>377932</v>
      </c>
      <c r="B245">
        <v>9508103</v>
      </c>
      <c r="C245">
        <v>6699</v>
      </c>
      <c r="D245" t="s">
        <v>92</v>
      </c>
      <c r="E245" t="s">
        <v>112</v>
      </c>
      <c r="F245">
        <v>2022</v>
      </c>
      <c r="G245" t="s">
        <v>134</v>
      </c>
      <c r="H245" t="s">
        <v>172</v>
      </c>
      <c r="I245">
        <v>28214801</v>
      </c>
      <c r="J245">
        <v>1000000</v>
      </c>
      <c r="K245">
        <v>5000</v>
      </c>
      <c r="L245">
        <v>1559.9</v>
      </c>
      <c r="M245">
        <v>0</v>
      </c>
      <c r="N245">
        <v>76.8</v>
      </c>
      <c r="O245">
        <v>60</v>
      </c>
      <c r="P245" s="1">
        <v>45748</v>
      </c>
      <c r="Q245" s="1">
        <v>45808</v>
      </c>
      <c r="R245">
        <v>1</v>
      </c>
      <c r="S245">
        <v>1</v>
      </c>
      <c r="T245">
        <v>91.2</v>
      </c>
      <c r="U245">
        <v>0</v>
      </c>
    </row>
    <row r="246" spans="1:21" x14ac:dyDescent="0.3">
      <c r="A246">
        <v>653306</v>
      </c>
      <c r="B246">
        <v>6188935</v>
      </c>
      <c r="C246">
        <v>7944</v>
      </c>
      <c r="D246" t="s">
        <v>84</v>
      </c>
      <c r="E246" t="s">
        <v>2</v>
      </c>
      <c r="F246">
        <v>2015</v>
      </c>
      <c r="G246" t="s">
        <v>129</v>
      </c>
      <c r="H246" t="s">
        <v>162</v>
      </c>
      <c r="I246">
        <v>22493017</v>
      </c>
      <c r="J246">
        <v>5000000</v>
      </c>
      <c r="K246">
        <v>2500</v>
      </c>
      <c r="L246">
        <v>1932.06</v>
      </c>
      <c r="M246">
        <v>0</v>
      </c>
      <c r="N246">
        <v>60.1</v>
      </c>
      <c r="O246">
        <v>60</v>
      </c>
      <c r="P246" s="1">
        <v>45915</v>
      </c>
      <c r="Q246" s="1">
        <v>45975</v>
      </c>
      <c r="R246">
        <v>1</v>
      </c>
      <c r="S246">
        <v>1</v>
      </c>
      <c r="T246">
        <v>84.8</v>
      </c>
      <c r="U246">
        <v>0</v>
      </c>
    </row>
    <row r="247" spans="1:21" x14ac:dyDescent="0.3">
      <c r="A247">
        <v>736059</v>
      </c>
      <c r="B247">
        <v>7851696</v>
      </c>
      <c r="C247">
        <v>5493</v>
      </c>
      <c r="D247" t="s">
        <v>211</v>
      </c>
      <c r="E247" t="s">
        <v>2</v>
      </c>
      <c r="F247">
        <v>2020</v>
      </c>
      <c r="G247" t="s">
        <v>170</v>
      </c>
      <c r="H247" t="s">
        <v>189</v>
      </c>
      <c r="I247">
        <v>27491822</v>
      </c>
      <c r="J247">
        <v>1000000</v>
      </c>
      <c r="K247">
        <v>2500</v>
      </c>
      <c r="L247">
        <v>1961.05</v>
      </c>
      <c r="M247">
        <v>0</v>
      </c>
      <c r="N247">
        <v>80.8</v>
      </c>
      <c r="O247">
        <v>60</v>
      </c>
      <c r="P247" s="1">
        <v>45814</v>
      </c>
      <c r="Q247" s="1">
        <v>45874</v>
      </c>
      <c r="R247">
        <v>0</v>
      </c>
      <c r="S247">
        <v>1</v>
      </c>
      <c r="T247">
        <v>83.1</v>
      </c>
      <c r="U247">
        <v>1</v>
      </c>
    </row>
    <row r="248" spans="1:21" x14ac:dyDescent="0.3">
      <c r="A248">
        <v>543692</v>
      </c>
      <c r="B248">
        <v>6472441</v>
      </c>
      <c r="C248">
        <v>5911</v>
      </c>
      <c r="D248" t="s">
        <v>101</v>
      </c>
      <c r="E248" t="s">
        <v>63</v>
      </c>
      <c r="F248">
        <v>2016</v>
      </c>
      <c r="G248" t="s">
        <v>116</v>
      </c>
      <c r="H248" t="s">
        <v>117</v>
      </c>
      <c r="I248">
        <v>29035882</v>
      </c>
      <c r="J248">
        <v>2000000</v>
      </c>
      <c r="K248">
        <v>1000</v>
      </c>
      <c r="L248">
        <v>1440.26</v>
      </c>
      <c r="M248">
        <v>1</v>
      </c>
      <c r="N248">
        <v>90.8</v>
      </c>
      <c r="O248">
        <v>30</v>
      </c>
      <c r="P248" s="1">
        <v>45819</v>
      </c>
      <c r="Q248" s="1">
        <v>45849</v>
      </c>
      <c r="R248">
        <v>1</v>
      </c>
      <c r="S248">
        <v>1</v>
      </c>
      <c r="T248">
        <v>79.900000000000006</v>
      </c>
      <c r="U248">
        <v>0</v>
      </c>
    </row>
    <row r="249" spans="1:21" x14ac:dyDescent="0.3">
      <c r="A249">
        <v>322086</v>
      </c>
      <c r="B249">
        <v>7751158</v>
      </c>
      <c r="C249">
        <v>4987</v>
      </c>
      <c r="D249" t="s">
        <v>92</v>
      </c>
      <c r="E249" t="s">
        <v>80</v>
      </c>
      <c r="F249">
        <v>2010</v>
      </c>
      <c r="G249" t="s">
        <v>150</v>
      </c>
      <c r="H249" t="s">
        <v>265</v>
      </c>
      <c r="I249">
        <v>28125900</v>
      </c>
      <c r="J249">
        <v>1000000</v>
      </c>
      <c r="K249">
        <v>5000</v>
      </c>
      <c r="L249">
        <v>1837.4</v>
      </c>
      <c r="M249">
        <v>1</v>
      </c>
      <c r="N249">
        <v>86.3</v>
      </c>
      <c r="O249">
        <v>60</v>
      </c>
      <c r="P249" s="1">
        <v>45895</v>
      </c>
      <c r="Q249" s="1">
        <v>45955</v>
      </c>
      <c r="R249">
        <v>0</v>
      </c>
      <c r="S249">
        <v>1</v>
      </c>
      <c r="T249">
        <v>75.7</v>
      </c>
      <c r="U249">
        <v>0</v>
      </c>
    </row>
    <row r="250" spans="1:21" x14ac:dyDescent="0.3">
      <c r="A250">
        <v>665492</v>
      </c>
      <c r="B250">
        <v>5960271</v>
      </c>
      <c r="C250">
        <v>7015</v>
      </c>
      <c r="D250" t="s">
        <v>84</v>
      </c>
      <c r="E250" t="s">
        <v>63</v>
      </c>
      <c r="F250">
        <v>2025</v>
      </c>
      <c r="G250" t="s">
        <v>121</v>
      </c>
      <c r="H250" t="s">
        <v>122</v>
      </c>
      <c r="I250">
        <v>25790218</v>
      </c>
      <c r="J250">
        <v>2000000</v>
      </c>
      <c r="K250">
        <v>1000</v>
      </c>
      <c r="L250">
        <v>1392.03</v>
      </c>
      <c r="M250">
        <v>0</v>
      </c>
      <c r="N250">
        <v>90.7</v>
      </c>
      <c r="O250">
        <v>45</v>
      </c>
      <c r="P250" s="1">
        <v>45999</v>
      </c>
      <c r="Q250" s="1">
        <v>46044</v>
      </c>
      <c r="R250">
        <v>0</v>
      </c>
      <c r="S250">
        <v>1</v>
      </c>
      <c r="T250">
        <v>85.3</v>
      </c>
      <c r="U250">
        <v>0</v>
      </c>
    </row>
    <row r="251" spans="1:21" x14ac:dyDescent="0.3">
      <c r="A251">
        <v>891952</v>
      </c>
      <c r="B251">
        <v>3135534</v>
      </c>
      <c r="C251">
        <v>2218</v>
      </c>
      <c r="D251" t="s">
        <v>106</v>
      </c>
      <c r="E251" t="s">
        <v>112</v>
      </c>
      <c r="F251">
        <v>2012</v>
      </c>
      <c r="G251" t="s">
        <v>129</v>
      </c>
      <c r="H251" t="s">
        <v>130</v>
      </c>
      <c r="I251">
        <v>25577416</v>
      </c>
      <c r="J251">
        <v>500000</v>
      </c>
      <c r="K251">
        <v>5000</v>
      </c>
      <c r="L251">
        <v>1767.62</v>
      </c>
      <c r="M251">
        <v>0</v>
      </c>
      <c r="N251">
        <v>93.1</v>
      </c>
      <c r="O251">
        <v>45</v>
      </c>
      <c r="P251" s="1">
        <v>45681</v>
      </c>
      <c r="Q251" s="1">
        <v>45726</v>
      </c>
      <c r="R251">
        <v>0</v>
      </c>
      <c r="S251">
        <v>1</v>
      </c>
      <c r="T251">
        <v>89.1</v>
      </c>
      <c r="U251">
        <v>0</v>
      </c>
    </row>
    <row r="252" spans="1:21" x14ac:dyDescent="0.3">
      <c r="A252">
        <v>865388</v>
      </c>
      <c r="B252">
        <v>4218542</v>
      </c>
      <c r="C252">
        <v>5496</v>
      </c>
      <c r="D252" t="s">
        <v>92</v>
      </c>
      <c r="E252" t="s">
        <v>63</v>
      </c>
      <c r="F252">
        <v>2025</v>
      </c>
      <c r="G252" t="s">
        <v>70</v>
      </c>
      <c r="H252" t="s">
        <v>71</v>
      </c>
      <c r="I252">
        <v>29259637</v>
      </c>
      <c r="J252">
        <v>5000000</v>
      </c>
      <c r="K252">
        <v>5000</v>
      </c>
      <c r="L252">
        <v>1643.47</v>
      </c>
      <c r="M252">
        <v>0</v>
      </c>
      <c r="N252">
        <v>82.8</v>
      </c>
      <c r="O252">
        <v>45</v>
      </c>
      <c r="P252" s="1">
        <v>45959</v>
      </c>
      <c r="Q252" s="1">
        <v>46004</v>
      </c>
      <c r="R252">
        <v>0</v>
      </c>
      <c r="S252">
        <v>1</v>
      </c>
      <c r="T252">
        <v>87.3</v>
      </c>
      <c r="U252">
        <v>0</v>
      </c>
    </row>
    <row r="253" spans="1:21" x14ac:dyDescent="0.3">
      <c r="A253">
        <v>823378</v>
      </c>
      <c r="B253">
        <v>8053918</v>
      </c>
      <c r="C253">
        <v>5735</v>
      </c>
      <c r="D253" t="s">
        <v>101</v>
      </c>
      <c r="E253" t="s">
        <v>63</v>
      </c>
      <c r="F253">
        <v>2018</v>
      </c>
      <c r="G253" t="s">
        <v>170</v>
      </c>
      <c r="H253" t="s">
        <v>189</v>
      </c>
      <c r="I253">
        <v>29117243</v>
      </c>
      <c r="J253">
        <v>1000000</v>
      </c>
      <c r="K253">
        <v>5000</v>
      </c>
      <c r="L253">
        <v>1557.62</v>
      </c>
      <c r="M253">
        <v>0</v>
      </c>
      <c r="N253">
        <v>83.8</v>
      </c>
      <c r="O253">
        <v>30</v>
      </c>
      <c r="P253" s="1">
        <v>45764</v>
      </c>
      <c r="Q253" s="1">
        <v>45794</v>
      </c>
      <c r="R253">
        <v>0</v>
      </c>
      <c r="S253">
        <v>1</v>
      </c>
      <c r="T253">
        <v>85.1</v>
      </c>
      <c r="U253">
        <v>0</v>
      </c>
    </row>
    <row r="254" spans="1:21" x14ac:dyDescent="0.3">
      <c r="A254">
        <v>310922</v>
      </c>
      <c r="B254">
        <v>7361002</v>
      </c>
      <c r="C254">
        <v>5555</v>
      </c>
      <c r="D254" t="s">
        <v>106</v>
      </c>
      <c r="E254" t="s">
        <v>63</v>
      </c>
      <c r="F254">
        <v>2013</v>
      </c>
      <c r="G254" t="s">
        <v>86</v>
      </c>
      <c r="H254" t="s">
        <v>108</v>
      </c>
      <c r="I254">
        <v>26328534</v>
      </c>
      <c r="J254">
        <v>1000000</v>
      </c>
      <c r="K254">
        <v>1000</v>
      </c>
      <c r="L254">
        <v>1597.78</v>
      </c>
      <c r="M254">
        <v>1</v>
      </c>
      <c r="N254">
        <v>72.400000000000006</v>
      </c>
      <c r="O254">
        <v>30</v>
      </c>
      <c r="P254" s="1">
        <v>45820</v>
      </c>
      <c r="Q254" s="1">
        <v>45850</v>
      </c>
      <c r="R254">
        <v>0</v>
      </c>
      <c r="S254">
        <v>1</v>
      </c>
      <c r="T254">
        <v>81.400000000000006</v>
      </c>
      <c r="U254">
        <v>0</v>
      </c>
    </row>
    <row r="255" spans="1:21" x14ac:dyDescent="0.3">
      <c r="A255">
        <v>847581</v>
      </c>
      <c r="B255">
        <v>3919694</v>
      </c>
      <c r="C255">
        <v>9050</v>
      </c>
      <c r="D255" t="s">
        <v>185</v>
      </c>
      <c r="E255" t="s">
        <v>63</v>
      </c>
      <c r="F255">
        <v>2019</v>
      </c>
      <c r="G255" t="s">
        <v>70</v>
      </c>
      <c r="H255" t="s">
        <v>71</v>
      </c>
      <c r="I255">
        <v>27639414</v>
      </c>
      <c r="J255">
        <v>500000</v>
      </c>
      <c r="K255">
        <v>1000</v>
      </c>
      <c r="L255">
        <v>1343.06</v>
      </c>
      <c r="M255">
        <v>0</v>
      </c>
      <c r="N255">
        <v>79.2</v>
      </c>
      <c r="O255">
        <v>60</v>
      </c>
      <c r="P255" s="1">
        <v>45665</v>
      </c>
      <c r="Q255" s="1">
        <v>45725</v>
      </c>
      <c r="R255">
        <v>0</v>
      </c>
      <c r="S255">
        <v>1</v>
      </c>
      <c r="T255">
        <v>92.3</v>
      </c>
      <c r="U255">
        <v>0</v>
      </c>
    </row>
    <row r="256" spans="1:21" x14ac:dyDescent="0.3">
      <c r="A256">
        <v>426858</v>
      </c>
      <c r="B256">
        <v>6049101</v>
      </c>
      <c r="C256">
        <v>4446</v>
      </c>
      <c r="D256" t="s">
        <v>101</v>
      </c>
      <c r="E256" t="s">
        <v>112</v>
      </c>
      <c r="F256">
        <v>2024</v>
      </c>
      <c r="G256" t="s">
        <v>129</v>
      </c>
      <c r="H256" t="s">
        <v>130</v>
      </c>
      <c r="I256">
        <v>25398528</v>
      </c>
      <c r="J256">
        <v>500000</v>
      </c>
      <c r="K256">
        <v>1000</v>
      </c>
      <c r="L256">
        <v>1671.78</v>
      </c>
      <c r="M256">
        <v>1</v>
      </c>
      <c r="N256">
        <v>83.5</v>
      </c>
      <c r="O256">
        <v>30</v>
      </c>
      <c r="P256" s="1">
        <v>45767</v>
      </c>
      <c r="Q256" s="1">
        <v>45797</v>
      </c>
      <c r="R256">
        <v>0</v>
      </c>
      <c r="S256">
        <v>1</v>
      </c>
      <c r="T256">
        <v>78.8</v>
      </c>
      <c r="U256">
        <v>0</v>
      </c>
    </row>
    <row r="257" spans="1:21" x14ac:dyDescent="0.3">
      <c r="A257">
        <v>518373</v>
      </c>
      <c r="B257">
        <v>7812810</v>
      </c>
      <c r="C257">
        <v>2045</v>
      </c>
      <c r="D257" t="s">
        <v>106</v>
      </c>
      <c r="E257" t="s">
        <v>63</v>
      </c>
      <c r="F257">
        <v>2022</v>
      </c>
      <c r="G257" t="s">
        <v>86</v>
      </c>
      <c r="H257" t="s">
        <v>268</v>
      </c>
      <c r="I257">
        <v>23165061</v>
      </c>
      <c r="J257">
        <v>1000000</v>
      </c>
      <c r="K257">
        <v>2500</v>
      </c>
      <c r="L257">
        <v>1543.7</v>
      </c>
      <c r="M257">
        <v>1</v>
      </c>
      <c r="N257">
        <v>88.8</v>
      </c>
      <c r="O257">
        <v>45</v>
      </c>
      <c r="P257" s="1">
        <v>45841</v>
      </c>
      <c r="Q257" s="1">
        <v>45886</v>
      </c>
      <c r="R257">
        <v>0</v>
      </c>
      <c r="S257">
        <v>1</v>
      </c>
      <c r="T257">
        <v>93.4</v>
      </c>
      <c r="U257">
        <v>0</v>
      </c>
    </row>
    <row r="258" spans="1:21" x14ac:dyDescent="0.3">
      <c r="A258">
        <v>804314</v>
      </c>
      <c r="B258">
        <v>1006810</v>
      </c>
      <c r="C258">
        <v>7893</v>
      </c>
      <c r="D258" t="s">
        <v>106</v>
      </c>
      <c r="E258" t="s">
        <v>63</v>
      </c>
      <c r="F258">
        <v>2023</v>
      </c>
      <c r="G258" t="s">
        <v>78</v>
      </c>
      <c r="H258" t="s">
        <v>219</v>
      </c>
      <c r="I258">
        <v>24006492</v>
      </c>
      <c r="J258">
        <v>1000000</v>
      </c>
      <c r="K258">
        <v>1000</v>
      </c>
      <c r="L258">
        <v>1424.66</v>
      </c>
      <c r="M258">
        <v>0</v>
      </c>
      <c r="N258">
        <v>80.7</v>
      </c>
      <c r="O258">
        <v>45</v>
      </c>
      <c r="P258" s="1">
        <v>45678</v>
      </c>
      <c r="Q258" s="1">
        <v>45723</v>
      </c>
      <c r="R258">
        <v>0</v>
      </c>
      <c r="S258">
        <v>1</v>
      </c>
      <c r="T258">
        <v>81</v>
      </c>
      <c r="U258">
        <v>0</v>
      </c>
    </row>
    <row r="259" spans="1:21" x14ac:dyDescent="0.3">
      <c r="A259">
        <v>781446</v>
      </c>
      <c r="B259">
        <v>6098175</v>
      </c>
      <c r="C259">
        <v>2693</v>
      </c>
      <c r="D259" t="s">
        <v>211</v>
      </c>
      <c r="E259" t="s">
        <v>80</v>
      </c>
      <c r="F259">
        <v>2021</v>
      </c>
      <c r="G259" t="s">
        <v>150</v>
      </c>
      <c r="H259" t="s">
        <v>265</v>
      </c>
      <c r="I259">
        <v>29593172</v>
      </c>
      <c r="J259">
        <v>3000000</v>
      </c>
      <c r="K259">
        <v>10000</v>
      </c>
      <c r="L259">
        <v>1431.54</v>
      </c>
      <c r="M259">
        <v>0</v>
      </c>
      <c r="N259">
        <v>77.900000000000006</v>
      </c>
      <c r="O259">
        <v>30</v>
      </c>
      <c r="P259" s="1">
        <v>45837</v>
      </c>
      <c r="Q259" s="1">
        <v>45867</v>
      </c>
      <c r="R259">
        <v>0</v>
      </c>
      <c r="S259">
        <v>1</v>
      </c>
      <c r="T259">
        <v>82.7</v>
      </c>
      <c r="U259">
        <v>0</v>
      </c>
    </row>
    <row r="260" spans="1:21" x14ac:dyDescent="0.3">
      <c r="A260">
        <v>491559</v>
      </c>
      <c r="B260">
        <v>5813613</v>
      </c>
      <c r="C260">
        <v>4436</v>
      </c>
      <c r="D260" t="s">
        <v>84</v>
      </c>
      <c r="E260" t="s">
        <v>63</v>
      </c>
      <c r="F260">
        <v>2022</v>
      </c>
      <c r="G260" t="s">
        <v>59</v>
      </c>
      <c r="H260" t="s">
        <v>85</v>
      </c>
      <c r="I260">
        <v>26425184</v>
      </c>
      <c r="J260">
        <v>1000000</v>
      </c>
      <c r="K260">
        <v>2500</v>
      </c>
      <c r="L260">
        <v>1434.25</v>
      </c>
      <c r="M260">
        <v>0</v>
      </c>
      <c r="N260">
        <v>82</v>
      </c>
      <c r="O260">
        <v>90</v>
      </c>
      <c r="P260" s="1">
        <v>45996</v>
      </c>
      <c r="Q260" s="1">
        <v>46086</v>
      </c>
      <c r="R260">
        <v>0</v>
      </c>
      <c r="S260">
        <v>0</v>
      </c>
      <c r="T260">
        <v>62.7</v>
      </c>
      <c r="U260">
        <v>0</v>
      </c>
    </row>
    <row r="261" spans="1:21" x14ac:dyDescent="0.3">
      <c r="A261">
        <v>559381</v>
      </c>
      <c r="B261">
        <v>4526280</v>
      </c>
      <c r="C261">
        <v>9754</v>
      </c>
      <c r="D261" t="s">
        <v>126</v>
      </c>
      <c r="E261" t="s">
        <v>2</v>
      </c>
      <c r="F261">
        <v>2024</v>
      </c>
      <c r="G261" t="s">
        <v>86</v>
      </c>
      <c r="H261" t="s">
        <v>108</v>
      </c>
      <c r="I261">
        <v>23918527</v>
      </c>
      <c r="J261">
        <v>1000000</v>
      </c>
      <c r="K261">
        <v>1000</v>
      </c>
      <c r="L261">
        <v>2089.2199999999998</v>
      </c>
      <c r="M261">
        <v>1</v>
      </c>
      <c r="N261">
        <v>83.4</v>
      </c>
      <c r="O261">
        <v>45</v>
      </c>
      <c r="P261" s="1">
        <v>45696</v>
      </c>
      <c r="Q261" s="1">
        <v>45741</v>
      </c>
      <c r="R261">
        <v>0</v>
      </c>
      <c r="S261">
        <v>1</v>
      </c>
      <c r="T261">
        <v>84.5</v>
      </c>
      <c r="U261">
        <v>0</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FE91-6A67-4D6D-899E-79ECC573E291}">
  <dimension ref="A1:BA1004"/>
  <sheetViews>
    <sheetView topLeftCell="AT1" zoomScale="12" zoomScaleNormal="12" workbookViewId="0">
      <pane ySplit="1" topLeftCell="A266" activePane="bottomLeft" state="frozen"/>
      <selection activeCell="AD1" sqref="AD1"/>
      <selection pane="bottomLeft" activeCell="AC438" sqref="AC438"/>
    </sheetView>
  </sheetViews>
  <sheetFormatPr defaultRowHeight="14.4" x14ac:dyDescent="0.3"/>
  <cols>
    <col min="1" max="1" width="15.21875" style="6" customWidth="1"/>
    <col min="2" max="2" width="10.109375" style="6" bestFit="1" customWidth="1"/>
    <col min="3" max="3" width="10.77734375" style="6" bestFit="1" customWidth="1"/>
    <col min="4" max="4" width="11.33203125" style="6" bestFit="1" customWidth="1"/>
    <col min="5" max="5" width="23.21875" style="6" bestFit="1" customWidth="1"/>
    <col min="6" max="6" width="14" style="6" bestFit="1" customWidth="1"/>
    <col min="7" max="7" width="18" style="6" bestFit="1" customWidth="1"/>
    <col min="8" max="8" width="25.88671875" style="6" customWidth="1"/>
    <col min="9" max="9" width="17.33203125" style="6" bestFit="1" customWidth="1"/>
    <col min="10" max="10" width="21.109375" customWidth="1"/>
    <col min="11" max="11" width="29.5546875" bestFit="1" customWidth="1"/>
    <col min="12" max="12" width="25.5546875" style="6" bestFit="1" customWidth="1"/>
    <col min="13" max="13" width="15.109375" style="6" bestFit="1" customWidth="1"/>
    <col min="14" max="14" width="13.44140625" style="6" bestFit="1" customWidth="1"/>
    <col min="15" max="15" width="15.77734375" bestFit="1" customWidth="1"/>
    <col min="16" max="16" width="18.5546875" style="6" bestFit="1" customWidth="1"/>
    <col min="17" max="17" width="17.33203125" bestFit="1" customWidth="1"/>
    <col min="18" max="18" width="9.44140625" bestFit="1" customWidth="1"/>
    <col min="19" max="19" width="9.44140625" style="6" bestFit="1" customWidth="1"/>
    <col min="20" max="20" width="11.77734375" style="6" bestFit="1" customWidth="1"/>
    <col min="21" max="21" width="16.5546875" bestFit="1" customWidth="1"/>
    <col min="22" max="22" width="14.44140625" style="6" bestFit="1" customWidth="1"/>
    <col min="23" max="23" width="17.6640625" style="6" bestFit="1" customWidth="1"/>
    <col min="24" max="24" width="15" style="6" bestFit="1" customWidth="1"/>
    <col min="25" max="25" width="12.88671875" style="6" bestFit="1" customWidth="1"/>
    <col min="26" max="26" width="13.33203125" style="6" bestFit="1" customWidth="1"/>
    <col min="27" max="27" width="16.21875" bestFit="1" customWidth="1"/>
    <col min="28" max="28" width="21" style="6" bestFit="1" customWidth="1"/>
    <col min="29" max="29" width="18.21875" bestFit="1" customWidth="1"/>
    <col min="30" max="30" width="15.21875" bestFit="1" customWidth="1"/>
    <col min="31" max="31" width="16.109375" bestFit="1" customWidth="1"/>
    <col min="32" max="32" width="20.109375" bestFit="1" customWidth="1"/>
    <col min="33" max="33" width="24.33203125" bestFit="1" customWidth="1"/>
    <col min="34" max="34" width="14.109375" style="6" bestFit="1" customWidth="1"/>
    <col min="35" max="35" width="17.33203125" style="6" bestFit="1" customWidth="1"/>
    <col min="36" max="36" width="16.33203125" style="6" bestFit="1" customWidth="1"/>
    <col min="37" max="37" width="12.88671875" bestFit="1" customWidth="1"/>
    <col min="38" max="38" width="21.33203125" style="8" bestFit="1" customWidth="1"/>
    <col min="39" max="39" width="24.33203125" style="6" bestFit="1" customWidth="1"/>
    <col min="40" max="40" width="17.44140625" style="6" bestFit="1" customWidth="1"/>
    <col min="41" max="41" width="20.109375" style="6" bestFit="1" customWidth="1"/>
    <col min="42" max="43" width="16.21875" style="6" bestFit="1" customWidth="1"/>
    <col min="44" max="44" width="12.77734375" style="6" bestFit="1" customWidth="1"/>
    <col min="45" max="45" width="14.33203125" style="6" bestFit="1" customWidth="1"/>
    <col min="46" max="46" width="10.5546875" style="6" bestFit="1" customWidth="1"/>
    <col min="47" max="47" width="15.5546875" style="6" bestFit="1" customWidth="1"/>
    <col min="48" max="48" width="23.5546875" style="6" bestFit="1" customWidth="1"/>
    <col min="49" max="49" width="16.21875" style="6" bestFit="1" customWidth="1"/>
    <col min="50" max="50" width="24.44140625" style="6" bestFit="1" customWidth="1"/>
    <col min="51" max="51" width="17.21875" style="6" bestFit="1" customWidth="1"/>
    <col min="52" max="52" width="21.77734375" style="6" bestFit="1" customWidth="1"/>
    <col min="53" max="53" width="24.6640625" style="6" bestFit="1" customWidth="1"/>
  </cols>
  <sheetData>
    <row r="1" spans="1:53" x14ac:dyDescent="0.3">
      <c r="A1" s="6" t="s">
        <v>6</v>
      </c>
      <c r="B1" s="6" t="s">
        <v>0</v>
      </c>
      <c r="C1" s="6" t="s">
        <v>7</v>
      </c>
      <c r="D1" s="6" t="s">
        <v>8</v>
      </c>
      <c r="E1" s="6" t="s">
        <v>9</v>
      </c>
      <c r="F1" s="6" t="s">
        <v>10</v>
      </c>
      <c r="G1" s="6" t="s">
        <v>11</v>
      </c>
      <c r="H1" s="6" t="s">
        <v>12</v>
      </c>
      <c r="I1" s="6" t="s">
        <v>13</v>
      </c>
      <c r="J1" t="s">
        <v>14</v>
      </c>
      <c r="K1" t="s">
        <v>15</v>
      </c>
      <c r="L1" s="6" t="s">
        <v>16</v>
      </c>
      <c r="M1" s="6" t="s">
        <v>17</v>
      </c>
      <c r="N1" s="6" t="s">
        <v>18</v>
      </c>
      <c r="O1" t="s">
        <v>19</v>
      </c>
      <c r="P1" s="6" t="s">
        <v>20</v>
      </c>
      <c r="Q1" t="s">
        <v>21</v>
      </c>
      <c r="R1" t="s">
        <v>22</v>
      </c>
      <c r="S1" s="6" t="s">
        <v>23</v>
      </c>
      <c r="T1" s="6" t="s">
        <v>24</v>
      </c>
      <c r="U1" t="s">
        <v>25</v>
      </c>
      <c r="V1" s="6" t="s">
        <v>26</v>
      </c>
      <c r="W1" s="6" t="s">
        <v>27</v>
      </c>
      <c r="X1" s="6" t="s">
        <v>28</v>
      </c>
      <c r="Y1" s="6" t="s">
        <v>29</v>
      </c>
      <c r="Z1" s="6" t="s">
        <v>30</v>
      </c>
      <c r="AA1" t="s">
        <v>31</v>
      </c>
      <c r="AB1" s="6" t="s">
        <v>32</v>
      </c>
      <c r="AC1" t="s">
        <v>33</v>
      </c>
      <c r="AD1" t="s">
        <v>34</v>
      </c>
      <c r="AE1" t="s">
        <v>35</v>
      </c>
      <c r="AF1" t="s">
        <v>36</v>
      </c>
      <c r="AG1" t="s">
        <v>37</v>
      </c>
      <c r="AH1" s="6" t="s">
        <v>38</v>
      </c>
      <c r="AI1" s="6" t="s">
        <v>39</v>
      </c>
      <c r="AJ1" s="6" t="s">
        <v>4</v>
      </c>
      <c r="AK1" t="s">
        <v>40</v>
      </c>
      <c r="AL1" s="8" t="s">
        <v>41</v>
      </c>
      <c r="AM1" s="6" t="s">
        <v>42</v>
      </c>
      <c r="AN1" s="6" t="s">
        <v>43</v>
      </c>
      <c r="AO1" s="6" t="s">
        <v>44</v>
      </c>
      <c r="AP1" s="6" t="s">
        <v>45</v>
      </c>
      <c r="AQ1" s="6" t="s">
        <v>46</v>
      </c>
      <c r="AR1" s="6" t="s">
        <v>47</v>
      </c>
      <c r="AS1" s="6" t="s">
        <v>48</v>
      </c>
      <c r="AT1" s="6" t="s">
        <v>49</v>
      </c>
      <c r="AU1" s="6" t="s">
        <v>50</v>
      </c>
      <c r="AV1" s="6" t="s">
        <v>51</v>
      </c>
      <c r="AW1" s="6" t="s">
        <v>52</v>
      </c>
      <c r="AX1" s="6" t="s">
        <v>53</v>
      </c>
      <c r="AY1" s="6" t="s">
        <v>54</v>
      </c>
      <c r="AZ1" s="6" t="s">
        <v>55</v>
      </c>
      <c r="BA1" s="6" t="s">
        <v>56</v>
      </c>
    </row>
    <row r="2" spans="1:53" x14ac:dyDescent="0.3">
      <c r="A2" s="6">
        <v>545478870</v>
      </c>
      <c r="B2" s="6">
        <v>220116</v>
      </c>
      <c r="C2" s="6">
        <v>6933742</v>
      </c>
      <c r="D2" s="6">
        <v>5218</v>
      </c>
      <c r="E2" s="6" t="s">
        <v>57</v>
      </c>
      <c r="F2" s="6">
        <v>52666</v>
      </c>
      <c r="G2" s="6" t="s">
        <v>58</v>
      </c>
      <c r="H2" s="10">
        <v>45818</v>
      </c>
      <c r="I2" s="10">
        <v>45818</v>
      </c>
      <c r="J2" s="4">
        <v>45818.760416666664</v>
      </c>
      <c r="K2" s="4">
        <v>45818.948796296296</v>
      </c>
      <c r="L2" s="11">
        <v>45818.930046296293</v>
      </c>
      <c r="M2" s="10">
        <v>45818</v>
      </c>
      <c r="N2" s="6" t="s">
        <v>59</v>
      </c>
      <c r="O2" t="s">
        <v>60</v>
      </c>
      <c r="P2" s="6" t="s">
        <v>59</v>
      </c>
      <c r="Q2" t="s">
        <v>61</v>
      </c>
      <c r="R2" t="s">
        <v>62</v>
      </c>
      <c r="S2" s="6">
        <v>797593</v>
      </c>
      <c r="T2" s="6" t="s">
        <v>1</v>
      </c>
      <c r="U2">
        <v>224</v>
      </c>
      <c r="V2" s="6">
        <v>9.3000000000000007</v>
      </c>
      <c r="W2" s="6">
        <v>20.3</v>
      </c>
      <c r="X2" s="6">
        <v>218.4</v>
      </c>
      <c r="Y2" s="6">
        <v>248</v>
      </c>
      <c r="Z2" s="6" t="s">
        <v>63</v>
      </c>
      <c r="AA2" t="s">
        <v>64</v>
      </c>
      <c r="AB2" s="6" t="s">
        <v>65</v>
      </c>
      <c r="AC2" t="s">
        <v>66</v>
      </c>
      <c r="AD2" t="s">
        <v>67</v>
      </c>
      <c r="AE2">
        <v>-27</v>
      </c>
      <c r="AF2">
        <v>0</v>
      </c>
      <c r="AG2">
        <v>0</v>
      </c>
      <c r="AH2" s="6">
        <v>30.2</v>
      </c>
      <c r="AI2" s="6">
        <v>0</v>
      </c>
      <c r="AJ2" s="6">
        <v>0.80500000000000005</v>
      </c>
      <c r="AK2" s="6">
        <v>0.57599999999999996</v>
      </c>
      <c r="AL2" s="8">
        <v>3050.4</v>
      </c>
      <c r="AM2" s="6" t="s">
        <v>68</v>
      </c>
      <c r="AN2" s="6">
        <v>1</v>
      </c>
      <c r="AO2" s="6">
        <v>1</v>
      </c>
      <c r="AP2" s="6">
        <v>0</v>
      </c>
      <c r="AQ2" s="6">
        <v>1</v>
      </c>
      <c r="AR2" s="6">
        <v>0</v>
      </c>
      <c r="AS2" s="6">
        <v>1</v>
      </c>
      <c r="AT2" s="6">
        <v>0</v>
      </c>
      <c r="AU2" s="6">
        <v>2.0299999999999998</v>
      </c>
      <c r="AV2" s="6">
        <v>1.51</v>
      </c>
      <c r="AW2" s="6">
        <v>215.13</v>
      </c>
      <c r="AX2" s="6">
        <v>50.82</v>
      </c>
      <c r="AY2" s="6">
        <v>146.57</v>
      </c>
      <c r="AZ2" s="6">
        <v>31.9</v>
      </c>
      <c r="BA2" s="6">
        <v>44.5</v>
      </c>
    </row>
    <row r="3" spans="1:53" x14ac:dyDescent="0.3">
      <c r="A3" s="6">
        <v>803217037</v>
      </c>
      <c r="B3" s="6">
        <v>974628</v>
      </c>
      <c r="C3" s="6">
        <v>3641282</v>
      </c>
      <c r="D3" s="6">
        <v>6892</v>
      </c>
      <c r="E3" s="6" t="s">
        <v>57</v>
      </c>
      <c r="F3" s="6">
        <v>58655</v>
      </c>
      <c r="G3" s="6" t="s">
        <v>69</v>
      </c>
      <c r="H3" s="10">
        <v>45766</v>
      </c>
      <c r="I3" s="10">
        <v>45766</v>
      </c>
      <c r="J3" s="4">
        <v>45766.479166666664</v>
      </c>
      <c r="K3" s="4">
        <v>45766.666076388887</v>
      </c>
      <c r="L3" s="11">
        <v>45766.644548611112</v>
      </c>
      <c r="M3" s="10">
        <v>45766</v>
      </c>
      <c r="N3" s="6" t="s">
        <v>70</v>
      </c>
      <c r="O3" t="s">
        <v>71</v>
      </c>
      <c r="P3" s="6" t="s">
        <v>70</v>
      </c>
      <c r="Q3" t="s">
        <v>72</v>
      </c>
      <c r="R3" t="s">
        <v>73</v>
      </c>
      <c r="S3" s="6">
        <v>733303</v>
      </c>
      <c r="T3" s="6" t="s">
        <v>1</v>
      </c>
      <c r="U3">
        <v>201</v>
      </c>
      <c r="V3" s="6">
        <v>28.7</v>
      </c>
      <c r="W3" s="6">
        <v>2.7</v>
      </c>
      <c r="X3" s="6">
        <v>199.4</v>
      </c>
      <c r="Y3" s="6">
        <v>230.8</v>
      </c>
      <c r="Z3" s="6" t="s">
        <v>63</v>
      </c>
      <c r="AA3" t="s">
        <v>74</v>
      </c>
      <c r="AB3" s="6" t="s">
        <v>75</v>
      </c>
      <c r="AC3" t="s">
        <v>76</v>
      </c>
      <c r="AD3" t="s">
        <v>67</v>
      </c>
      <c r="AE3">
        <v>-31</v>
      </c>
      <c r="AF3">
        <v>0</v>
      </c>
      <c r="AG3">
        <v>0</v>
      </c>
      <c r="AH3" s="6">
        <v>27.9</v>
      </c>
      <c r="AI3" s="6">
        <v>0</v>
      </c>
      <c r="AJ3" s="6">
        <v>0.87</v>
      </c>
      <c r="AK3" s="6">
        <v>0.77400000000000002</v>
      </c>
      <c r="AL3" s="8">
        <v>2754.27</v>
      </c>
      <c r="AM3" s="6" t="s">
        <v>68</v>
      </c>
      <c r="AN3" s="6">
        <v>1</v>
      </c>
      <c r="AO3" s="6">
        <v>1</v>
      </c>
      <c r="AP3" s="6">
        <v>0</v>
      </c>
      <c r="AQ3" s="6">
        <v>1</v>
      </c>
      <c r="AR3" s="6">
        <v>0</v>
      </c>
      <c r="AS3" s="6">
        <v>1</v>
      </c>
      <c r="AT3" s="6">
        <v>0</v>
      </c>
      <c r="AU3" s="6">
        <v>2.2799999999999998</v>
      </c>
      <c r="AV3" s="6">
        <v>1.73</v>
      </c>
      <c r="AW3" s="6">
        <v>201.01</v>
      </c>
      <c r="AX3" s="6">
        <v>43.43</v>
      </c>
      <c r="AY3" s="6">
        <v>160.22</v>
      </c>
      <c r="AZ3" s="6">
        <v>1.4</v>
      </c>
      <c r="BA3" s="6">
        <v>13.1</v>
      </c>
    </row>
    <row r="4" spans="1:53" x14ac:dyDescent="0.3">
      <c r="A4" s="6">
        <v>206323670</v>
      </c>
      <c r="B4" s="6">
        <v>198246</v>
      </c>
      <c r="C4" s="6">
        <v>9626108</v>
      </c>
      <c r="D4" s="6">
        <v>5555</v>
      </c>
      <c r="E4" s="6" t="s">
        <v>57</v>
      </c>
      <c r="F4" s="6">
        <v>55968</v>
      </c>
      <c r="G4" s="6" t="s">
        <v>77</v>
      </c>
      <c r="H4" s="10">
        <v>45824</v>
      </c>
      <c r="I4" s="10">
        <v>45824</v>
      </c>
      <c r="J4" s="4">
        <v>45824.090277777781</v>
      </c>
      <c r="K4" s="4">
        <v>45824.212534722225</v>
      </c>
      <c r="L4" s="11">
        <v>45824.203506944446</v>
      </c>
      <c r="M4" s="10">
        <v>45824</v>
      </c>
      <c r="N4" s="6" t="s">
        <v>78</v>
      </c>
      <c r="O4" t="s">
        <v>79</v>
      </c>
      <c r="P4" s="6" t="s">
        <v>70</v>
      </c>
      <c r="Q4" t="s">
        <v>71</v>
      </c>
      <c r="R4" t="s">
        <v>73</v>
      </c>
      <c r="S4" s="6">
        <v>747187</v>
      </c>
      <c r="T4" s="6" t="s">
        <v>1</v>
      </c>
      <c r="U4">
        <v>166</v>
      </c>
      <c r="V4" s="6">
        <v>36.799999999999997</v>
      </c>
      <c r="W4" s="6">
        <v>9.4</v>
      </c>
      <c r="X4" s="6">
        <v>162.19999999999999</v>
      </c>
      <c r="Y4" s="6">
        <v>208.4</v>
      </c>
      <c r="Z4" s="6" t="s">
        <v>80</v>
      </c>
      <c r="AA4" t="s">
        <v>81</v>
      </c>
      <c r="AB4" s="6" t="s">
        <v>82</v>
      </c>
      <c r="AC4" t="s">
        <v>83</v>
      </c>
      <c r="AD4" t="s">
        <v>67</v>
      </c>
      <c r="AE4">
        <v>-13</v>
      </c>
      <c r="AF4">
        <v>0</v>
      </c>
      <c r="AG4">
        <v>0</v>
      </c>
      <c r="AH4" s="6">
        <v>31.9</v>
      </c>
      <c r="AI4" s="6">
        <v>0</v>
      </c>
      <c r="AJ4" s="6">
        <v>0.66400000000000003</v>
      </c>
      <c r="AK4" s="6">
        <v>0.54400000000000004</v>
      </c>
      <c r="AL4" s="8">
        <v>3026.58</v>
      </c>
      <c r="AM4" s="6" t="s">
        <v>68</v>
      </c>
      <c r="AN4" s="6">
        <v>1</v>
      </c>
      <c r="AO4" s="6">
        <v>1</v>
      </c>
      <c r="AP4" s="6">
        <v>0</v>
      </c>
      <c r="AQ4" s="6">
        <v>1</v>
      </c>
      <c r="AR4" s="6">
        <v>0</v>
      </c>
      <c r="AS4" s="6">
        <v>1</v>
      </c>
      <c r="AT4" s="6">
        <v>0</v>
      </c>
      <c r="AU4" s="6">
        <v>1.87</v>
      </c>
      <c r="AV4" s="6">
        <v>1.21</v>
      </c>
      <c r="AW4" s="6">
        <v>183.12</v>
      </c>
      <c r="AX4" s="6">
        <v>29.36</v>
      </c>
      <c r="AY4" s="6">
        <v>135.97999999999999</v>
      </c>
      <c r="AZ4" s="6">
        <v>11.5</v>
      </c>
      <c r="BA4" s="6">
        <v>5.4</v>
      </c>
    </row>
    <row r="5" spans="1:53" x14ac:dyDescent="0.3">
      <c r="A5" s="6">
        <v>995171130</v>
      </c>
      <c r="B5" s="6">
        <v>584714</v>
      </c>
      <c r="C5" s="6">
        <v>5004485</v>
      </c>
      <c r="D5" s="6">
        <v>7938</v>
      </c>
      <c r="E5" s="6" t="s">
        <v>84</v>
      </c>
      <c r="F5" s="6">
        <v>57641</v>
      </c>
      <c r="G5" s="6" t="s">
        <v>69</v>
      </c>
      <c r="H5" s="10">
        <v>45683</v>
      </c>
      <c r="I5" s="10">
        <v>45683</v>
      </c>
      <c r="J5" s="4">
        <v>45683.663194444445</v>
      </c>
      <c r="K5" s="4">
        <v>45683.726006944446</v>
      </c>
      <c r="L5" s="11">
        <v>45683.714201388888</v>
      </c>
      <c r="M5" s="10">
        <v>45683</v>
      </c>
      <c r="N5" s="6" t="s">
        <v>59</v>
      </c>
      <c r="O5" t="s">
        <v>85</v>
      </c>
      <c r="P5" s="6" t="s">
        <v>86</v>
      </c>
      <c r="Q5" t="s">
        <v>87</v>
      </c>
      <c r="R5" t="s">
        <v>88</v>
      </c>
      <c r="S5" s="6">
        <v>759297</v>
      </c>
      <c r="T5" s="6" t="s">
        <v>3</v>
      </c>
      <c r="U5">
        <v>46</v>
      </c>
      <c r="V5" s="6">
        <v>24.5</v>
      </c>
      <c r="W5" s="6">
        <v>50.7</v>
      </c>
      <c r="X5" s="6">
        <v>49</v>
      </c>
      <c r="Y5" s="6">
        <v>124.2</v>
      </c>
      <c r="Z5" s="6" t="s">
        <v>63</v>
      </c>
      <c r="AA5" t="s">
        <v>89</v>
      </c>
      <c r="AB5" s="6" t="s">
        <v>90</v>
      </c>
      <c r="AC5" t="s">
        <v>91</v>
      </c>
      <c r="AD5" t="s">
        <v>67</v>
      </c>
      <c r="AE5">
        <v>-17</v>
      </c>
      <c r="AF5">
        <v>0</v>
      </c>
      <c r="AG5">
        <v>0</v>
      </c>
      <c r="AH5" s="6">
        <v>49.2</v>
      </c>
      <c r="AI5" s="6">
        <v>0</v>
      </c>
      <c r="AJ5" s="6">
        <v>0.65400000000000003</v>
      </c>
      <c r="AK5" s="6">
        <v>0.69899999999999995</v>
      </c>
      <c r="AL5" s="8">
        <v>1358.53</v>
      </c>
      <c r="AM5" s="6" t="s">
        <v>68</v>
      </c>
      <c r="AN5" s="6">
        <v>1</v>
      </c>
      <c r="AO5" s="6">
        <v>1</v>
      </c>
      <c r="AP5" s="6">
        <v>0</v>
      </c>
      <c r="AQ5" s="6">
        <v>1</v>
      </c>
      <c r="AR5" s="6">
        <v>0</v>
      </c>
      <c r="AS5" s="6">
        <v>1</v>
      </c>
      <c r="AT5" s="6">
        <v>0</v>
      </c>
      <c r="AU5" s="6">
        <v>2.11</v>
      </c>
      <c r="AV5" s="6">
        <v>1.67</v>
      </c>
      <c r="AW5" s="6">
        <v>78.37</v>
      </c>
      <c r="AX5" s="6">
        <v>25.85</v>
      </c>
      <c r="AY5" s="6">
        <v>64.72</v>
      </c>
      <c r="AZ5" s="6">
        <v>0.2</v>
      </c>
      <c r="BA5" s="6">
        <v>49.4</v>
      </c>
    </row>
    <row r="6" spans="1:53" x14ac:dyDescent="0.3">
      <c r="A6" s="6">
        <v>625432379</v>
      </c>
      <c r="B6" s="6">
        <v>835911</v>
      </c>
      <c r="C6" s="6">
        <v>7774229</v>
      </c>
      <c r="D6" s="6">
        <v>3454</v>
      </c>
      <c r="E6" s="6" t="s">
        <v>92</v>
      </c>
      <c r="F6" s="6">
        <v>52181</v>
      </c>
      <c r="G6" s="6" t="s">
        <v>77</v>
      </c>
      <c r="H6" s="10">
        <v>45949</v>
      </c>
      <c r="I6" s="10">
        <v>45949</v>
      </c>
      <c r="J6" s="4">
        <v>45949.326388888891</v>
      </c>
      <c r="K6" s="4">
        <v>45949.534699074073</v>
      </c>
      <c r="L6" s="11">
        <v>45949.519421296296</v>
      </c>
      <c r="M6" s="10">
        <v>45949</v>
      </c>
      <c r="N6" s="6" t="s">
        <v>93</v>
      </c>
      <c r="O6" t="s">
        <v>94</v>
      </c>
      <c r="P6" s="6" t="s">
        <v>93</v>
      </c>
      <c r="Q6" t="s">
        <v>95</v>
      </c>
      <c r="R6" t="s">
        <v>73</v>
      </c>
      <c r="S6" s="6">
        <v>758654</v>
      </c>
      <c r="T6" s="6" t="s">
        <v>1</v>
      </c>
      <c r="U6">
        <v>187</v>
      </c>
      <c r="V6" s="6">
        <v>47.9</v>
      </c>
      <c r="W6" s="6">
        <v>3.4</v>
      </c>
      <c r="X6" s="6">
        <v>191.8</v>
      </c>
      <c r="Y6" s="6">
        <v>243.1</v>
      </c>
      <c r="Z6" s="6" t="s">
        <v>2</v>
      </c>
      <c r="AA6" t="s">
        <v>96</v>
      </c>
      <c r="AB6" s="6" t="s">
        <v>97</v>
      </c>
      <c r="AC6" t="s">
        <v>91</v>
      </c>
      <c r="AD6" t="s">
        <v>67</v>
      </c>
      <c r="AE6">
        <v>-22</v>
      </c>
      <c r="AF6">
        <v>37</v>
      </c>
      <c r="AG6">
        <v>0</v>
      </c>
      <c r="AH6" s="6">
        <v>49.4</v>
      </c>
      <c r="AI6" s="6">
        <v>0</v>
      </c>
      <c r="AJ6" s="6">
        <v>0.67800000000000005</v>
      </c>
      <c r="AK6" s="6">
        <v>0.31900000000000001</v>
      </c>
      <c r="AL6" s="8">
        <v>4480.1099999999997</v>
      </c>
      <c r="AM6" s="6" t="s">
        <v>68</v>
      </c>
      <c r="AN6" s="6">
        <v>1</v>
      </c>
      <c r="AO6" s="6">
        <v>1</v>
      </c>
      <c r="AP6" s="6">
        <v>0</v>
      </c>
      <c r="AQ6" s="6">
        <v>1</v>
      </c>
      <c r="AR6" s="6">
        <v>0</v>
      </c>
      <c r="AS6" s="6">
        <v>1</v>
      </c>
      <c r="AT6" s="6">
        <v>0</v>
      </c>
      <c r="AU6" s="6">
        <v>2.4300000000000002</v>
      </c>
      <c r="AV6" s="6">
        <v>1.42</v>
      </c>
      <c r="AW6" s="6">
        <v>223.18</v>
      </c>
      <c r="AX6" s="6">
        <v>47.37</v>
      </c>
      <c r="AY6" s="6">
        <v>128.76</v>
      </c>
      <c r="AZ6" s="6">
        <v>11.7</v>
      </c>
      <c r="BA6" s="6">
        <v>55.9</v>
      </c>
    </row>
    <row r="7" spans="1:53" x14ac:dyDescent="0.3">
      <c r="A7" s="6">
        <v>761051532</v>
      </c>
      <c r="B7" s="6">
        <v>972064</v>
      </c>
      <c r="C7" s="6">
        <v>2818692</v>
      </c>
      <c r="D7" s="6">
        <v>8158</v>
      </c>
      <c r="E7" s="6" t="s">
        <v>84</v>
      </c>
      <c r="F7" s="6">
        <v>59834</v>
      </c>
      <c r="G7" s="6" t="s">
        <v>98</v>
      </c>
      <c r="H7" s="10">
        <v>45746</v>
      </c>
      <c r="I7" s="10">
        <v>45746</v>
      </c>
      <c r="J7" s="4">
        <v>45746.586805555555</v>
      </c>
      <c r="K7" s="4">
        <v>45746.928287037037</v>
      </c>
      <c r="L7" s="11">
        <v>45746.904675925929</v>
      </c>
      <c r="M7" s="10">
        <v>45746</v>
      </c>
      <c r="N7" s="6" t="s">
        <v>78</v>
      </c>
      <c r="O7" t="s">
        <v>79</v>
      </c>
      <c r="P7" s="6" t="s">
        <v>59</v>
      </c>
      <c r="Q7" t="s">
        <v>99</v>
      </c>
      <c r="R7" t="s">
        <v>62</v>
      </c>
      <c r="S7" s="6">
        <v>752047</v>
      </c>
      <c r="T7" s="6" t="s">
        <v>1</v>
      </c>
      <c r="U7">
        <v>284</v>
      </c>
      <c r="V7" s="6">
        <v>10.4</v>
      </c>
      <c r="W7" s="6">
        <v>29.8</v>
      </c>
      <c r="X7" s="6">
        <v>279.8</v>
      </c>
      <c r="Y7" s="6">
        <v>320</v>
      </c>
      <c r="Z7" s="6" t="s">
        <v>2</v>
      </c>
      <c r="AA7" t="s">
        <v>100</v>
      </c>
      <c r="AB7" s="6" t="s">
        <v>90</v>
      </c>
      <c r="AC7" t="s">
        <v>91</v>
      </c>
      <c r="AD7" t="s">
        <v>67</v>
      </c>
      <c r="AE7">
        <v>-34</v>
      </c>
      <c r="AF7">
        <v>0</v>
      </c>
      <c r="AG7">
        <v>0</v>
      </c>
      <c r="AH7" s="6">
        <v>87</v>
      </c>
      <c r="AI7" s="6">
        <v>0</v>
      </c>
      <c r="AJ7" s="6">
        <v>0.77700000000000002</v>
      </c>
      <c r="AK7" s="6">
        <v>0.48399999999999999</v>
      </c>
      <c r="AL7" s="8">
        <v>5631.22</v>
      </c>
      <c r="AM7" s="6" t="s">
        <v>68</v>
      </c>
      <c r="AN7" s="6">
        <v>1</v>
      </c>
      <c r="AO7" s="6">
        <v>1</v>
      </c>
      <c r="AP7" s="6">
        <v>0</v>
      </c>
      <c r="AQ7" s="6">
        <v>1</v>
      </c>
      <c r="AR7" s="6">
        <v>0</v>
      </c>
      <c r="AS7" s="6">
        <v>1</v>
      </c>
      <c r="AT7" s="6">
        <v>0</v>
      </c>
      <c r="AU7" s="6">
        <v>2.3199999999999998</v>
      </c>
      <c r="AV7" s="6">
        <v>1.59</v>
      </c>
      <c r="AW7" s="6">
        <v>246.65</v>
      </c>
      <c r="AX7" s="6">
        <v>48.5</v>
      </c>
      <c r="AY7" s="6">
        <v>216.14</v>
      </c>
      <c r="AZ7" s="6">
        <v>10</v>
      </c>
      <c r="BA7" s="6">
        <v>36.6</v>
      </c>
    </row>
    <row r="8" spans="1:53" x14ac:dyDescent="0.3">
      <c r="A8" s="6">
        <v>538211092</v>
      </c>
      <c r="B8" s="6">
        <v>145561</v>
      </c>
      <c r="C8" s="6">
        <v>2564689</v>
      </c>
      <c r="D8" s="6">
        <v>1161</v>
      </c>
      <c r="E8" s="6" t="s">
        <v>101</v>
      </c>
      <c r="F8" s="6">
        <v>53888</v>
      </c>
      <c r="G8" s="6" t="s">
        <v>102</v>
      </c>
      <c r="H8" s="10">
        <v>45922</v>
      </c>
      <c r="I8" s="10">
        <v>45922</v>
      </c>
      <c r="J8" s="4">
        <v>45922.409722222219</v>
      </c>
      <c r="K8" s="4">
        <v>45922.664803240739</v>
      </c>
      <c r="L8" s="11">
        <v>45922.648136574076</v>
      </c>
      <c r="M8" s="10">
        <v>45922</v>
      </c>
      <c r="N8" s="6" t="s">
        <v>86</v>
      </c>
      <c r="O8" t="s">
        <v>87</v>
      </c>
      <c r="P8" s="6" t="s">
        <v>103</v>
      </c>
      <c r="Q8" t="s">
        <v>104</v>
      </c>
      <c r="R8" t="s">
        <v>73</v>
      </c>
      <c r="S8" s="6">
        <v>700025</v>
      </c>
      <c r="T8" s="6" t="s">
        <v>1</v>
      </c>
      <c r="U8">
        <v>312</v>
      </c>
      <c r="V8" s="6">
        <v>19.8</v>
      </c>
      <c r="W8" s="6">
        <v>0.7</v>
      </c>
      <c r="X8" s="6">
        <v>306.8</v>
      </c>
      <c r="Y8" s="6">
        <v>327.3</v>
      </c>
      <c r="Z8" s="6" t="s">
        <v>63</v>
      </c>
      <c r="AA8" t="s">
        <v>105</v>
      </c>
      <c r="AB8" s="6" t="s">
        <v>97</v>
      </c>
      <c r="AC8" t="s">
        <v>83</v>
      </c>
      <c r="AD8" t="s">
        <v>67</v>
      </c>
      <c r="AE8">
        <v>-24</v>
      </c>
      <c r="AF8">
        <v>0</v>
      </c>
      <c r="AG8">
        <v>0</v>
      </c>
      <c r="AH8" s="6">
        <v>9</v>
      </c>
      <c r="AI8" s="6">
        <v>0</v>
      </c>
      <c r="AJ8" s="6">
        <v>0.52300000000000002</v>
      </c>
      <c r="AK8" s="6">
        <v>0.79100000000000004</v>
      </c>
      <c r="AL8" s="8">
        <v>5672.69</v>
      </c>
      <c r="AM8" s="6" t="s">
        <v>68</v>
      </c>
      <c r="AN8" s="6">
        <v>1</v>
      </c>
      <c r="AO8" s="6">
        <v>1</v>
      </c>
      <c r="AP8" s="6">
        <v>0</v>
      </c>
      <c r="AQ8" s="6">
        <v>1</v>
      </c>
      <c r="AR8" s="6">
        <v>0</v>
      </c>
      <c r="AS8" s="6">
        <v>1</v>
      </c>
      <c r="AT8" s="6">
        <v>0</v>
      </c>
      <c r="AU8" s="6">
        <v>2.4300000000000002</v>
      </c>
      <c r="AV8" s="6">
        <v>1.55</v>
      </c>
      <c r="AW8" s="6">
        <v>288.62</v>
      </c>
      <c r="AX8" s="6">
        <v>65.739999999999995</v>
      </c>
      <c r="AY8" s="6">
        <v>190.54</v>
      </c>
      <c r="AZ8" s="6">
        <v>5.6</v>
      </c>
      <c r="BA8" s="6">
        <v>0</v>
      </c>
    </row>
    <row r="9" spans="1:53" x14ac:dyDescent="0.3">
      <c r="A9" s="6">
        <v>400368694</v>
      </c>
      <c r="B9" s="6">
        <v>891952</v>
      </c>
      <c r="C9" s="6">
        <v>3135534</v>
      </c>
      <c r="D9" s="6">
        <v>2218</v>
      </c>
      <c r="E9" s="6" t="s">
        <v>106</v>
      </c>
      <c r="F9" s="6">
        <v>50840</v>
      </c>
      <c r="G9" s="6" t="s">
        <v>107</v>
      </c>
      <c r="H9" s="10">
        <v>45682</v>
      </c>
      <c r="I9" s="10">
        <v>45682</v>
      </c>
      <c r="J9" s="4">
        <v>45682.510416666664</v>
      </c>
      <c r="K9" s="4">
        <v>45682.840624999997</v>
      </c>
      <c r="L9" s="11">
        <v>45682.832291666666</v>
      </c>
      <c r="M9" s="10">
        <v>45682</v>
      </c>
      <c r="N9" s="6" t="s">
        <v>86</v>
      </c>
      <c r="O9" t="s">
        <v>108</v>
      </c>
      <c r="P9" s="6" t="s">
        <v>109</v>
      </c>
      <c r="Q9" t="s">
        <v>110</v>
      </c>
      <c r="R9" t="s">
        <v>88</v>
      </c>
      <c r="S9" s="6">
        <v>795199</v>
      </c>
      <c r="T9" s="6" t="s">
        <v>111</v>
      </c>
      <c r="U9">
        <v>390</v>
      </c>
      <c r="V9" s="6">
        <v>27</v>
      </c>
      <c r="W9" s="6">
        <v>24</v>
      </c>
      <c r="X9" s="6">
        <v>395.1</v>
      </c>
      <c r="Y9" s="6">
        <v>446.1</v>
      </c>
      <c r="Z9" s="6" t="s">
        <v>112</v>
      </c>
      <c r="AA9" t="s">
        <v>113</v>
      </c>
      <c r="AB9" s="6" t="s">
        <v>75</v>
      </c>
      <c r="AC9" t="s">
        <v>76</v>
      </c>
      <c r="AD9" t="s">
        <v>67</v>
      </c>
      <c r="AE9">
        <v>-12</v>
      </c>
      <c r="AF9">
        <v>0</v>
      </c>
      <c r="AG9">
        <v>0</v>
      </c>
      <c r="AH9" s="6">
        <v>35.9</v>
      </c>
      <c r="AI9" s="6">
        <v>0</v>
      </c>
      <c r="AJ9" s="6">
        <v>0.51500000000000001</v>
      </c>
      <c r="AK9" s="6">
        <v>0.54</v>
      </c>
      <c r="AL9" s="8">
        <v>9867.64</v>
      </c>
      <c r="AM9" s="6" t="s">
        <v>114</v>
      </c>
      <c r="AN9" s="6">
        <v>1</v>
      </c>
      <c r="AO9" s="6">
        <v>1</v>
      </c>
      <c r="AP9" s="6">
        <v>0</v>
      </c>
      <c r="AQ9" s="6">
        <v>1</v>
      </c>
      <c r="AR9" s="6">
        <v>0</v>
      </c>
      <c r="AS9" s="6">
        <v>1</v>
      </c>
      <c r="AT9" s="6">
        <v>0</v>
      </c>
      <c r="AU9" s="6">
        <v>2.35</v>
      </c>
      <c r="AV9" s="6">
        <v>1.75</v>
      </c>
      <c r="AW9" s="6">
        <v>397.71</v>
      </c>
      <c r="AX9" s="6">
        <v>59.15</v>
      </c>
      <c r="AY9" s="6">
        <v>240.79</v>
      </c>
      <c r="AZ9" s="6">
        <v>4.0999999999999996</v>
      </c>
      <c r="BA9" s="6">
        <v>57.6</v>
      </c>
    </row>
    <row r="10" spans="1:53" x14ac:dyDescent="0.3">
      <c r="A10" s="6">
        <v>135128844</v>
      </c>
      <c r="B10" s="6">
        <v>322086</v>
      </c>
      <c r="C10" s="6">
        <v>7751158</v>
      </c>
      <c r="D10" s="6">
        <v>4987</v>
      </c>
      <c r="E10" s="6" t="s">
        <v>92</v>
      </c>
      <c r="F10" s="6">
        <v>55899</v>
      </c>
      <c r="G10" s="6" t="s">
        <v>115</v>
      </c>
      <c r="H10" s="10">
        <v>46006</v>
      </c>
      <c r="I10" s="10">
        <v>46006</v>
      </c>
      <c r="J10" s="4">
        <v>46006.746527777781</v>
      </c>
      <c r="K10" s="4">
        <v>46006.933148148149</v>
      </c>
      <c r="L10" s="11">
        <v>46007.197731481479</v>
      </c>
      <c r="M10" s="10">
        <v>46007</v>
      </c>
      <c r="N10" s="6" t="s">
        <v>116</v>
      </c>
      <c r="O10" t="s">
        <v>117</v>
      </c>
      <c r="P10" s="6" t="s">
        <v>109</v>
      </c>
      <c r="Q10" t="s">
        <v>118</v>
      </c>
      <c r="R10" t="s">
        <v>88</v>
      </c>
      <c r="S10" s="6">
        <v>704543</v>
      </c>
      <c r="T10" s="6" t="s">
        <v>1</v>
      </c>
      <c r="U10">
        <v>189</v>
      </c>
      <c r="V10" s="6">
        <v>19.2</v>
      </c>
      <c r="W10" s="6">
        <v>26.6</v>
      </c>
      <c r="X10" s="6">
        <v>183.1</v>
      </c>
      <c r="Y10" s="6">
        <v>228.9</v>
      </c>
      <c r="Z10" s="6" t="s">
        <v>80</v>
      </c>
      <c r="AA10" t="s">
        <v>119</v>
      </c>
      <c r="AB10" s="6" t="s">
        <v>90</v>
      </c>
      <c r="AC10" t="s">
        <v>83</v>
      </c>
      <c r="AD10" t="s">
        <v>120</v>
      </c>
      <c r="AE10">
        <v>381</v>
      </c>
      <c r="AF10">
        <v>0</v>
      </c>
      <c r="AG10">
        <v>0</v>
      </c>
      <c r="AH10" s="6">
        <v>38.5</v>
      </c>
      <c r="AI10" s="6">
        <v>1</v>
      </c>
      <c r="AJ10" s="6">
        <v>0.72499999999999998</v>
      </c>
      <c r="AK10" s="6">
        <v>0.59499999999999997</v>
      </c>
      <c r="AL10" s="8">
        <v>2362.61</v>
      </c>
      <c r="AM10" s="6" t="s">
        <v>68</v>
      </c>
      <c r="AN10" s="6">
        <v>1</v>
      </c>
      <c r="AO10" s="6">
        <v>0</v>
      </c>
      <c r="AP10" s="6">
        <v>1</v>
      </c>
      <c r="AQ10" s="6">
        <v>0</v>
      </c>
      <c r="AR10" s="6">
        <v>1</v>
      </c>
      <c r="AS10" s="6">
        <v>0</v>
      </c>
      <c r="AT10" s="6">
        <v>1</v>
      </c>
      <c r="AU10" s="6">
        <v>1.89</v>
      </c>
      <c r="AV10" s="6">
        <v>1.43</v>
      </c>
      <c r="AW10" s="6">
        <v>177.25</v>
      </c>
      <c r="AX10" s="6">
        <v>552.41</v>
      </c>
      <c r="AY10" s="6">
        <v>133.09</v>
      </c>
      <c r="AZ10" s="6">
        <v>23.2</v>
      </c>
      <c r="BA10" s="6">
        <v>66.3</v>
      </c>
    </row>
    <row r="11" spans="1:53" x14ac:dyDescent="0.3">
      <c r="A11" s="6">
        <v>841183219</v>
      </c>
      <c r="B11" s="6">
        <v>145561</v>
      </c>
      <c r="C11" s="6">
        <v>2564689</v>
      </c>
      <c r="D11" s="6">
        <v>1161</v>
      </c>
      <c r="E11" s="6" t="s">
        <v>101</v>
      </c>
      <c r="F11" s="6">
        <v>54118</v>
      </c>
      <c r="G11" s="6" t="s">
        <v>107</v>
      </c>
      <c r="H11" s="10">
        <v>45728</v>
      </c>
      <c r="I11" s="10">
        <v>45728</v>
      </c>
      <c r="J11" s="4">
        <v>45728.881944444445</v>
      </c>
      <c r="K11" s="4">
        <v>45728.944444444445</v>
      </c>
      <c r="L11" s="11">
        <v>45728.949305555558</v>
      </c>
      <c r="M11" s="10">
        <v>45728</v>
      </c>
      <c r="N11" s="6" t="s">
        <v>70</v>
      </c>
      <c r="O11" t="s">
        <v>71</v>
      </c>
      <c r="P11" s="6" t="s">
        <v>121</v>
      </c>
      <c r="Q11" t="s">
        <v>122</v>
      </c>
      <c r="R11" t="s">
        <v>123</v>
      </c>
      <c r="S11" s="6">
        <v>737287</v>
      </c>
      <c r="T11" s="6" t="s">
        <v>3</v>
      </c>
      <c r="U11">
        <v>96</v>
      </c>
      <c r="V11" s="6">
        <v>17.7</v>
      </c>
      <c r="W11" s="6">
        <v>21.8</v>
      </c>
      <c r="X11" s="6">
        <v>94.3</v>
      </c>
      <c r="Y11" s="6">
        <v>133.80000000000001</v>
      </c>
      <c r="Z11" s="6" t="s">
        <v>63</v>
      </c>
      <c r="AA11" t="s">
        <v>124</v>
      </c>
      <c r="AB11" s="6" t="s">
        <v>65</v>
      </c>
      <c r="AC11" t="s">
        <v>125</v>
      </c>
      <c r="AD11" t="s">
        <v>67</v>
      </c>
      <c r="AE11">
        <v>7</v>
      </c>
      <c r="AF11">
        <v>0</v>
      </c>
      <c r="AG11">
        <v>0</v>
      </c>
      <c r="AH11" s="6">
        <v>68.8</v>
      </c>
      <c r="AI11" s="6">
        <v>0</v>
      </c>
      <c r="AJ11" s="6">
        <v>0.8</v>
      </c>
      <c r="AK11" s="6">
        <v>0.57499999999999996</v>
      </c>
      <c r="AL11" s="8">
        <v>849.69</v>
      </c>
      <c r="AM11" s="6" t="s">
        <v>68</v>
      </c>
      <c r="AN11" s="6">
        <v>1</v>
      </c>
      <c r="AO11" s="6">
        <v>1</v>
      </c>
      <c r="AP11" s="6">
        <v>0</v>
      </c>
      <c r="AQ11" s="6">
        <v>1</v>
      </c>
      <c r="AR11" s="6">
        <v>0</v>
      </c>
      <c r="AS11" s="6">
        <v>1</v>
      </c>
      <c r="AT11" s="6">
        <v>0</v>
      </c>
      <c r="AU11" s="6">
        <v>2.13</v>
      </c>
      <c r="AV11" s="6">
        <v>1.62</v>
      </c>
      <c r="AW11" s="6">
        <v>85.01</v>
      </c>
      <c r="AX11" s="6">
        <v>15.22</v>
      </c>
      <c r="AY11" s="6">
        <v>69.41</v>
      </c>
      <c r="AZ11" s="6">
        <v>5.6</v>
      </c>
      <c r="BA11" s="6">
        <v>0</v>
      </c>
    </row>
    <row r="12" spans="1:53" x14ac:dyDescent="0.3">
      <c r="A12" s="6">
        <v>497853519</v>
      </c>
      <c r="B12" s="6">
        <v>996865</v>
      </c>
      <c r="C12" s="6">
        <v>2022698</v>
      </c>
      <c r="D12" s="6">
        <v>6463</v>
      </c>
      <c r="E12" s="6" t="s">
        <v>126</v>
      </c>
      <c r="F12" s="6">
        <v>50565</v>
      </c>
      <c r="G12" s="6" t="s">
        <v>127</v>
      </c>
      <c r="H12" s="10">
        <v>45980</v>
      </c>
      <c r="I12" s="10">
        <v>45980</v>
      </c>
      <c r="J12" s="4">
        <v>45980.368055555555</v>
      </c>
      <c r="K12" s="4">
        <v>45980.595810185187</v>
      </c>
      <c r="L12" s="11">
        <v>45980.59511574074</v>
      </c>
      <c r="M12" s="10">
        <v>45980</v>
      </c>
      <c r="N12" s="6" t="s">
        <v>116</v>
      </c>
      <c r="O12" t="s">
        <v>128</v>
      </c>
      <c r="P12" s="6" t="s">
        <v>129</v>
      </c>
      <c r="Q12" t="s">
        <v>130</v>
      </c>
      <c r="R12" t="s">
        <v>123</v>
      </c>
      <c r="S12" s="6">
        <v>778087</v>
      </c>
      <c r="T12" s="6" t="s">
        <v>1</v>
      </c>
      <c r="U12">
        <v>196</v>
      </c>
      <c r="V12" s="6">
        <v>35.1</v>
      </c>
      <c r="W12" s="6">
        <v>6.5</v>
      </c>
      <c r="X12" s="6">
        <v>189.9</v>
      </c>
      <c r="Y12" s="6">
        <v>231.5</v>
      </c>
      <c r="Z12" s="6" t="s">
        <v>63</v>
      </c>
      <c r="AA12" t="s">
        <v>131</v>
      </c>
      <c r="AB12" s="6" t="s">
        <v>97</v>
      </c>
      <c r="AC12" t="s">
        <v>125</v>
      </c>
      <c r="AD12" t="s">
        <v>67</v>
      </c>
      <c r="AE12">
        <v>-1</v>
      </c>
      <c r="AF12">
        <v>0</v>
      </c>
      <c r="AG12">
        <v>0</v>
      </c>
      <c r="AH12" s="6">
        <v>69.5</v>
      </c>
      <c r="AI12" s="6">
        <v>0</v>
      </c>
      <c r="AJ12" s="6">
        <v>0.434</v>
      </c>
      <c r="AK12" s="6">
        <v>0.77600000000000002</v>
      </c>
      <c r="AL12" s="8">
        <v>7849.3</v>
      </c>
      <c r="AM12" s="6" t="s">
        <v>114</v>
      </c>
      <c r="AN12" s="6">
        <v>1</v>
      </c>
      <c r="AO12" s="6">
        <v>1</v>
      </c>
      <c r="AP12" s="6">
        <v>0</v>
      </c>
      <c r="AQ12" s="6">
        <v>1</v>
      </c>
      <c r="AR12" s="6">
        <v>0</v>
      </c>
      <c r="AS12" s="6">
        <v>1</v>
      </c>
      <c r="AT12" s="6">
        <v>0</v>
      </c>
      <c r="AU12" s="6">
        <v>2.1</v>
      </c>
      <c r="AV12" s="6">
        <v>1.36</v>
      </c>
      <c r="AW12" s="6">
        <v>185.02</v>
      </c>
      <c r="AX12" s="6">
        <v>47.2</v>
      </c>
      <c r="AY12" s="6">
        <v>160.66</v>
      </c>
      <c r="AZ12" s="6">
        <v>8.8000000000000007</v>
      </c>
      <c r="BA12" s="6">
        <v>26.7</v>
      </c>
    </row>
    <row r="13" spans="1:53" x14ac:dyDescent="0.3">
      <c r="A13" s="6">
        <v>333291547</v>
      </c>
      <c r="B13" s="6">
        <v>955662</v>
      </c>
      <c r="C13" s="6">
        <v>8315831</v>
      </c>
      <c r="D13" s="6">
        <v>9445</v>
      </c>
      <c r="E13" s="6" t="s">
        <v>84</v>
      </c>
      <c r="F13" s="6">
        <v>56005</v>
      </c>
      <c r="G13" s="6" t="s">
        <v>107</v>
      </c>
      <c r="H13" s="10">
        <v>45953</v>
      </c>
      <c r="I13" s="10">
        <v>45953</v>
      </c>
      <c r="J13" s="4">
        <v>45953.413194444445</v>
      </c>
      <c r="K13" s="4">
        <v>45953.594467592593</v>
      </c>
      <c r="L13" s="11">
        <v>45953.598634259259</v>
      </c>
      <c r="M13" s="10">
        <v>45953</v>
      </c>
      <c r="N13" s="6" t="s">
        <v>132</v>
      </c>
      <c r="O13" t="s">
        <v>133</v>
      </c>
      <c r="P13" s="6" t="s">
        <v>134</v>
      </c>
      <c r="Q13" t="s">
        <v>135</v>
      </c>
      <c r="R13" t="s">
        <v>73</v>
      </c>
      <c r="S13" s="6">
        <v>702136</v>
      </c>
      <c r="T13" s="6" t="s">
        <v>1</v>
      </c>
      <c r="U13">
        <v>223</v>
      </c>
      <c r="V13" s="6">
        <v>7</v>
      </c>
      <c r="W13" s="6">
        <v>23.9</v>
      </c>
      <c r="X13" s="6">
        <v>219.4</v>
      </c>
      <c r="Y13" s="6">
        <v>250.3</v>
      </c>
      <c r="Z13" s="6" t="s">
        <v>80</v>
      </c>
      <c r="AA13" t="s">
        <v>136</v>
      </c>
      <c r="AB13" s="6" t="s">
        <v>97</v>
      </c>
      <c r="AC13" t="s">
        <v>137</v>
      </c>
      <c r="AD13" t="s">
        <v>67</v>
      </c>
      <c r="AE13">
        <v>6</v>
      </c>
      <c r="AF13">
        <v>0</v>
      </c>
      <c r="AG13">
        <v>0</v>
      </c>
      <c r="AH13" s="6">
        <v>44.4</v>
      </c>
      <c r="AI13" s="6">
        <v>0</v>
      </c>
      <c r="AJ13" s="6">
        <v>0.89400000000000002</v>
      </c>
      <c r="AK13" s="6">
        <v>0.54100000000000004</v>
      </c>
      <c r="AL13" s="8">
        <v>2594.62</v>
      </c>
      <c r="AM13" s="6" t="s">
        <v>68</v>
      </c>
      <c r="AN13" s="6">
        <v>1</v>
      </c>
      <c r="AO13" s="6">
        <v>1</v>
      </c>
      <c r="AP13" s="6">
        <v>0</v>
      </c>
      <c r="AQ13" s="6">
        <v>1</v>
      </c>
      <c r="AR13" s="6">
        <v>0</v>
      </c>
      <c r="AS13" s="6">
        <v>1</v>
      </c>
      <c r="AT13" s="6">
        <v>0</v>
      </c>
      <c r="AU13" s="6">
        <v>1.92</v>
      </c>
      <c r="AV13" s="6">
        <v>1.23</v>
      </c>
      <c r="AW13" s="6">
        <v>180.27</v>
      </c>
      <c r="AX13" s="6">
        <v>46.94</v>
      </c>
      <c r="AY13" s="6">
        <v>124.44</v>
      </c>
      <c r="AZ13" s="6">
        <v>18.100000000000001</v>
      </c>
      <c r="BA13" s="6">
        <v>35.9</v>
      </c>
    </row>
    <row r="14" spans="1:53" x14ac:dyDescent="0.3">
      <c r="A14" s="6">
        <v>576078963</v>
      </c>
      <c r="B14" s="6">
        <v>891952</v>
      </c>
      <c r="C14" s="6">
        <v>3135534</v>
      </c>
      <c r="D14" s="6">
        <v>2218</v>
      </c>
      <c r="E14" s="6" t="s">
        <v>106</v>
      </c>
      <c r="F14" s="6">
        <v>59156</v>
      </c>
      <c r="G14" s="6" t="s">
        <v>69</v>
      </c>
      <c r="H14" s="10">
        <v>46011</v>
      </c>
      <c r="I14" s="10">
        <v>46011</v>
      </c>
      <c r="J14" s="4">
        <v>46011.541666666664</v>
      </c>
      <c r="K14" s="4">
        <v>46012.014999999999</v>
      </c>
      <c r="L14" s="11">
        <v>46012.023333333331</v>
      </c>
      <c r="M14" s="10">
        <v>46012</v>
      </c>
      <c r="N14" s="6" t="s">
        <v>70</v>
      </c>
      <c r="O14" t="s">
        <v>138</v>
      </c>
      <c r="P14" s="6" t="s">
        <v>116</v>
      </c>
      <c r="Q14" t="s">
        <v>139</v>
      </c>
      <c r="R14" t="s">
        <v>123</v>
      </c>
      <c r="S14" s="6">
        <v>767844</v>
      </c>
      <c r="T14" s="6" t="s">
        <v>140</v>
      </c>
      <c r="U14">
        <v>611</v>
      </c>
      <c r="V14" s="6">
        <v>38.9</v>
      </c>
      <c r="W14" s="6">
        <v>20.2</v>
      </c>
      <c r="X14" s="6">
        <v>602</v>
      </c>
      <c r="Y14" s="6">
        <v>661.1</v>
      </c>
      <c r="Z14" s="6" t="s">
        <v>112</v>
      </c>
      <c r="AA14" t="s">
        <v>141</v>
      </c>
      <c r="AB14" s="6" t="s">
        <v>75</v>
      </c>
      <c r="AC14" t="s">
        <v>76</v>
      </c>
      <c r="AD14" t="s">
        <v>67</v>
      </c>
      <c r="AE14">
        <v>12</v>
      </c>
      <c r="AF14">
        <v>0</v>
      </c>
      <c r="AG14">
        <v>0</v>
      </c>
      <c r="AH14" s="6">
        <v>87.2</v>
      </c>
      <c r="AI14" s="6">
        <v>0</v>
      </c>
      <c r="AJ14" s="6">
        <v>0.56899999999999995</v>
      </c>
      <c r="AK14" s="6">
        <v>0.65300000000000002</v>
      </c>
      <c r="AL14" s="8">
        <v>4362.57</v>
      </c>
      <c r="AM14" s="6" t="s">
        <v>68</v>
      </c>
      <c r="AN14" s="6">
        <v>1</v>
      </c>
      <c r="AO14" s="6">
        <v>1</v>
      </c>
      <c r="AP14" s="6">
        <v>0</v>
      </c>
      <c r="AQ14" s="6">
        <v>1</v>
      </c>
      <c r="AR14" s="6">
        <v>0</v>
      </c>
      <c r="AS14" s="6">
        <v>1</v>
      </c>
      <c r="AT14" s="6">
        <v>0</v>
      </c>
      <c r="AU14" s="6">
        <v>2.48</v>
      </c>
      <c r="AV14" s="6">
        <v>1.81</v>
      </c>
      <c r="AW14" s="6">
        <v>450.89</v>
      </c>
      <c r="AX14" s="6">
        <v>78.209999999999994</v>
      </c>
      <c r="AY14" s="6">
        <v>373.37</v>
      </c>
      <c r="AZ14" s="6">
        <v>4.0999999999999996</v>
      </c>
      <c r="BA14" s="6">
        <v>61.1</v>
      </c>
    </row>
    <row r="15" spans="1:53" x14ac:dyDescent="0.3">
      <c r="A15" s="6">
        <v>577488537</v>
      </c>
      <c r="B15" s="6">
        <v>660086</v>
      </c>
      <c r="C15" s="6">
        <v>6307805</v>
      </c>
      <c r="D15" s="6">
        <v>2028</v>
      </c>
      <c r="E15" s="6" t="s">
        <v>142</v>
      </c>
      <c r="F15" s="6">
        <v>59187</v>
      </c>
      <c r="G15" s="6" t="s">
        <v>69</v>
      </c>
      <c r="H15" s="10">
        <v>45832</v>
      </c>
      <c r="I15" s="10">
        <v>45832</v>
      </c>
      <c r="J15" s="4">
        <v>45832.795138888891</v>
      </c>
      <c r="K15" s="4">
        <v>45833.108842592592</v>
      </c>
      <c r="L15" s="11">
        <v>45833.099120370367</v>
      </c>
      <c r="M15" s="10">
        <v>45833</v>
      </c>
      <c r="N15" s="6" t="s">
        <v>121</v>
      </c>
      <c r="O15" t="s">
        <v>143</v>
      </c>
      <c r="P15" s="6" t="s">
        <v>93</v>
      </c>
      <c r="Q15" t="s">
        <v>144</v>
      </c>
      <c r="R15" t="s">
        <v>73</v>
      </c>
      <c r="S15" s="6">
        <v>717705</v>
      </c>
      <c r="T15" s="6" t="s">
        <v>1</v>
      </c>
      <c r="U15">
        <v>264</v>
      </c>
      <c r="V15" s="6">
        <v>54.9</v>
      </c>
      <c r="W15" s="6">
        <v>41.4</v>
      </c>
      <c r="X15" s="6">
        <v>271.7</v>
      </c>
      <c r="Y15" s="6">
        <v>368</v>
      </c>
      <c r="Z15" s="6" t="s">
        <v>2</v>
      </c>
      <c r="AA15" t="s">
        <v>145</v>
      </c>
      <c r="AB15" s="6" t="s">
        <v>65</v>
      </c>
      <c r="AC15" t="s">
        <v>66</v>
      </c>
      <c r="AD15" t="s">
        <v>67</v>
      </c>
      <c r="AE15">
        <v>-14</v>
      </c>
      <c r="AF15">
        <v>0</v>
      </c>
      <c r="AG15">
        <v>0</v>
      </c>
      <c r="AH15" s="6">
        <v>27.9</v>
      </c>
      <c r="AI15" s="6">
        <v>0</v>
      </c>
      <c r="AJ15" s="6">
        <v>0.877</v>
      </c>
      <c r="AK15" s="6">
        <v>0.85299999999999998</v>
      </c>
      <c r="AL15" s="8">
        <v>2758.69</v>
      </c>
      <c r="AM15" s="6" t="s">
        <v>68</v>
      </c>
      <c r="AN15" s="6">
        <v>1</v>
      </c>
      <c r="AO15" s="6">
        <v>1</v>
      </c>
      <c r="AP15" s="6">
        <v>0</v>
      </c>
      <c r="AQ15" s="6">
        <v>1</v>
      </c>
      <c r="AR15" s="6">
        <v>0</v>
      </c>
      <c r="AS15" s="6">
        <v>1</v>
      </c>
      <c r="AT15" s="6">
        <v>0</v>
      </c>
      <c r="AU15" s="6">
        <v>2.31</v>
      </c>
      <c r="AV15" s="6">
        <v>1.81</v>
      </c>
      <c r="AW15" s="6">
        <v>248.31</v>
      </c>
      <c r="AX15" s="6">
        <v>37.74</v>
      </c>
      <c r="AY15" s="6">
        <v>225.83</v>
      </c>
      <c r="AZ15" s="6">
        <v>15.8</v>
      </c>
      <c r="BA15" s="6">
        <v>12.3</v>
      </c>
    </row>
    <row r="16" spans="1:53" x14ac:dyDescent="0.3">
      <c r="A16" s="6">
        <v>353524015</v>
      </c>
      <c r="B16" s="6">
        <v>301629</v>
      </c>
      <c r="C16" s="6">
        <v>8633773</v>
      </c>
      <c r="D16" s="6">
        <v>7331</v>
      </c>
      <c r="E16" s="6" t="s">
        <v>84</v>
      </c>
      <c r="F16" s="6">
        <v>57226</v>
      </c>
      <c r="G16" s="6" t="s">
        <v>146</v>
      </c>
      <c r="H16" s="10">
        <v>45923</v>
      </c>
      <c r="I16" s="10">
        <v>45923</v>
      </c>
      <c r="J16" s="4">
        <v>45923.836805555555</v>
      </c>
      <c r="K16" s="4">
        <v>45924.059687499997</v>
      </c>
      <c r="L16" s="11">
        <v>45924.060381944444</v>
      </c>
      <c r="M16" s="10">
        <v>45924</v>
      </c>
      <c r="N16" s="6" t="s">
        <v>78</v>
      </c>
      <c r="O16" t="s">
        <v>147</v>
      </c>
      <c r="P16" s="6" t="s">
        <v>78</v>
      </c>
      <c r="Q16" t="s">
        <v>79</v>
      </c>
      <c r="R16" t="s">
        <v>88</v>
      </c>
      <c r="S16" s="6">
        <v>739562</v>
      </c>
      <c r="T16" s="6" t="s">
        <v>1</v>
      </c>
      <c r="U16">
        <v>219</v>
      </c>
      <c r="V16" s="6">
        <v>51.8</v>
      </c>
      <c r="W16" s="6">
        <v>17.7</v>
      </c>
      <c r="X16" s="6">
        <v>225.1</v>
      </c>
      <c r="Y16" s="6">
        <v>294.60000000000002</v>
      </c>
      <c r="Z16" s="6" t="s">
        <v>112</v>
      </c>
      <c r="AA16" t="s">
        <v>148</v>
      </c>
      <c r="AB16" s="6" t="s">
        <v>65</v>
      </c>
      <c r="AC16" t="s">
        <v>66</v>
      </c>
      <c r="AD16" t="s">
        <v>67</v>
      </c>
      <c r="AE16">
        <v>1</v>
      </c>
      <c r="AF16">
        <v>36</v>
      </c>
      <c r="AG16">
        <v>0</v>
      </c>
      <c r="AH16" s="6">
        <v>35.5</v>
      </c>
      <c r="AI16" s="6">
        <v>0</v>
      </c>
      <c r="AJ16" s="6">
        <v>0.51100000000000001</v>
      </c>
      <c r="AK16" s="6">
        <v>0.66200000000000003</v>
      </c>
      <c r="AL16" s="8">
        <v>7206.36</v>
      </c>
      <c r="AM16" s="6" t="s">
        <v>114</v>
      </c>
      <c r="AN16" s="6">
        <v>1</v>
      </c>
      <c r="AO16" s="6">
        <v>1</v>
      </c>
      <c r="AP16" s="6">
        <v>0</v>
      </c>
      <c r="AQ16" s="6">
        <v>1</v>
      </c>
      <c r="AR16" s="6">
        <v>0</v>
      </c>
      <c r="AS16" s="6">
        <v>1</v>
      </c>
      <c r="AT16" s="6">
        <v>0</v>
      </c>
      <c r="AU16" s="6">
        <v>2.2000000000000002</v>
      </c>
      <c r="AV16" s="6">
        <v>1.4</v>
      </c>
      <c r="AW16" s="6">
        <v>232.08</v>
      </c>
      <c r="AX16" s="6">
        <v>43.24</v>
      </c>
      <c r="AY16" s="6">
        <v>203.18</v>
      </c>
      <c r="AZ16" s="6">
        <v>63.5</v>
      </c>
      <c r="BA16" s="6">
        <v>7.8</v>
      </c>
    </row>
    <row r="17" spans="1:53" x14ac:dyDescent="0.3">
      <c r="A17" s="6">
        <v>489431174</v>
      </c>
      <c r="B17" s="6">
        <v>321231</v>
      </c>
      <c r="C17" s="6">
        <v>3646552</v>
      </c>
      <c r="D17" s="6">
        <v>5636</v>
      </c>
      <c r="E17" s="6" t="s">
        <v>84</v>
      </c>
      <c r="F17" s="6">
        <v>59379</v>
      </c>
      <c r="G17" s="6" t="s">
        <v>149</v>
      </c>
      <c r="H17" s="10">
        <v>45793</v>
      </c>
      <c r="I17" s="10">
        <v>45793</v>
      </c>
      <c r="J17" s="4">
        <v>45793.364583333336</v>
      </c>
      <c r="K17" s="4">
        <v>45793.572326388887</v>
      </c>
      <c r="L17" s="11">
        <v>45793.564687500002</v>
      </c>
      <c r="M17" s="10">
        <v>45793</v>
      </c>
      <c r="N17" s="6" t="s">
        <v>150</v>
      </c>
      <c r="O17" t="s">
        <v>151</v>
      </c>
      <c r="P17" s="6" t="s">
        <v>70</v>
      </c>
      <c r="Q17" t="s">
        <v>152</v>
      </c>
      <c r="R17" t="s">
        <v>73</v>
      </c>
      <c r="S17" s="6">
        <v>700860</v>
      </c>
      <c r="T17" s="6" t="s">
        <v>1</v>
      </c>
      <c r="U17">
        <v>278</v>
      </c>
      <c r="V17" s="6">
        <v>10.5</v>
      </c>
      <c r="W17" s="6">
        <v>33</v>
      </c>
      <c r="X17" s="6">
        <v>273.2</v>
      </c>
      <c r="Y17" s="6">
        <v>316.7</v>
      </c>
      <c r="Z17" s="6" t="s">
        <v>63</v>
      </c>
      <c r="AA17" t="s">
        <v>153</v>
      </c>
      <c r="AB17" s="6" t="s">
        <v>97</v>
      </c>
      <c r="AC17" t="s">
        <v>154</v>
      </c>
      <c r="AD17" t="s">
        <v>67</v>
      </c>
      <c r="AE17">
        <v>-11</v>
      </c>
      <c r="AF17">
        <v>0</v>
      </c>
      <c r="AG17">
        <v>0</v>
      </c>
      <c r="AH17" s="6">
        <v>24.3</v>
      </c>
      <c r="AI17" s="6">
        <v>0</v>
      </c>
      <c r="AJ17" s="6">
        <v>0.48</v>
      </c>
      <c r="AK17" s="6">
        <v>0.51700000000000002</v>
      </c>
      <c r="AL17" s="8">
        <v>93625.04</v>
      </c>
      <c r="AM17" s="6" t="s">
        <v>155</v>
      </c>
      <c r="AN17" s="6">
        <v>1</v>
      </c>
      <c r="AO17" s="6">
        <v>1</v>
      </c>
      <c r="AP17" s="6">
        <v>0</v>
      </c>
      <c r="AQ17" s="6">
        <v>1</v>
      </c>
      <c r="AR17" s="6">
        <v>0</v>
      </c>
      <c r="AS17" s="6">
        <v>1</v>
      </c>
      <c r="AT17" s="6">
        <v>0</v>
      </c>
      <c r="AU17" s="6">
        <v>2.25</v>
      </c>
      <c r="AV17" s="6">
        <v>1.76</v>
      </c>
      <c r="AW17" s="6">
        <v>206.28</v>
      </c>
      <c r="AX17" s="6">
        <v>57.33</v>
      </c>
      <c r="AY17" s="6">
        <v>211.42</v>
      </c>
      <c r="AZ17" s="6">
        <v>37.799999999999997</v>
      </c>
      <c r="BA17" s="6">
        <v>13.1</v>
      </c>
    </row>
    <row r="18" spans="1:53" x14ac:dyDescent="0.3">
      <c r="A18" s="6">
        <v>206681214</v>
      </c>
      <c r="B18" s="6">
        <v>724834</v>
      </c>
      <c r="C18" s="6">
        <v>1701771</v>
      </c>
      <c r="D18" s="6">
        <v>6249</v>
      </c>
      <c r="E18" s="6" t="s">
        <v>142</v>
      </c>
      <c r="F18" s="6">
        <v>55890</v>
      </c>
      <c r="G18" s="6" t="s">
        <v>127</v>
      </c>
      <c r="H18" s="10">
        <v>45725</v>
      </c>
      <c r="I18" s="10">
        <v>45725</v>
      </c>
      <c r="J18" s="4">
        <v>45725.354166666664</v>
      </c>
      <c r="K18" s="4">
        <v>45726.206689814811</v>
      </c>
      <c r="L18" s="11">
        <v>45726.214328703703</v>
      </c>
      <c r="M18" s="10">
        <v>45726</v>
      </c>
      <c r="N18" s="6" t="s">
        <v>129</v>
      </c>
      <c r="O18" t="s">
        <v>156</v>
      </c>
      <c r="P18" s="6" t="s">
        <v>129</v>
      </c>
      <c r="Q18" t="s">
        <v>157</v>
      </c>
      <c r="R18" t="s">
        <v>123</v>
      </c>
      <c r="S18" s="6">
        <v>739365</v>
      </c>
      <c r="T18" s="6" t="s">
        <v>140</v>
      </c>
      <c r="U18">
        <v>925</v>
      </c>
      <c r="V18" s="6">
        <v>22.7</v>
      </c>
      <c r="W18" s="6">
        <v>2.4</v>
      </c>
      <c r="X18" s="6">
        <v>927.8</v>
      </c>
      <c r="Y18" s="6">
        <v>952.9</v>
      </c>
      <c r="Z18" s="6" t="s">
        <v>2</v>
      </c>
      <c r="AA18" t="s">
        <v>158</v>
      </c>
      <c r="AB18" s="6" t="s">
        <v>97</v>
      </c>
      <c r="AC18" t="s">
        <v>91</v>
      </c>
      <c r="AD18" t="s">
        <v>67</v>
      </c>
      <c r="AE18">
        <v>11</v>
      </c>
      <c r="AF18">
        <v>0</v>
      </c>
      <c r="AG18">
        <v>1.3</v>
      </c>
      <c r="AH18" s="6">
        <v>57.4</v>
      </c>
      <c r="AI18" s="6">
        <v>0</v>
      </c>
      <c r="AJ18" s="6">
        <v>0.65</v>
      </c>
      <c r="AK18" s="6">
        <v>0.75800000000000001</v>
      </c>
      <c r="AL18" s="8">
        <v>4470.16</v>
      </c>
      <c r="AM18" s="6" t="s">
        <v>68</v>
      </c>
      <c r="AN18" s="6">
        <v>1</v>
      </c>
      <c r="AO18" s="6">
        <v>1</v>
      </c>
      <c r="AP18" s="6">
        <v>0</v>
      </c>
      <c r="AQ18" s="6">
        <v>1</v>
      </c>
      <c r="AR18" s="6">
        <v>0</v>
      </c>
      <c r="AS18" s="6">
        <v>1</v>
      </c>
      <c r="AT18" s="6">
        <v>0</v>
      </c>
      <c r="AU18" s="6">
        <v>2.61</v>
      </c>
      <c r="AV18" s="6">
        <v>1.85</v>
      </c>
      <c r="AW18" s="6">
        <v>825.68</v>
      </c>
      <c r="AX18" s="6">
        <v>127.67</v>
      </c>
      <c r="AY18" s="6">
        <v>462.52</v>
      </c>
      <c r="AZ18" s="6">
        <v>4.4000000000000004</v>
      </c>
      <c r="BA18" s="6">
        <v>14.8</v>
      </c>
    </row>
    <row r="19" spans="1:53" x14ac:dyDescent="0.3">
      <c r="A19" s="6">
        <v>836243579</v>
      </c>
      <c r="B19" s="6">
        <v>496922</v>
      </c>
      <c r="C19" s="6">
        <v>9075854</v>
      </c>
      <c r="D19" s="6">
        <v>8869</v>
      </c>
      <c r="E19" s="6" t="s">
        <v>84</v>
      </c>
      <c r="F19" s="6">
        <v>54311</v>
      </c>
      <c r="G19" s="6" t="s">
        <v>69</v>
      </c>
      <c r="H19" s="10">
        <v>45819</v>
      </c>
      <c r="I19" s="10">
        <v>45819</v>
      </c>
      <c r="J19" s="4">
        <v>45819.527777777781</v>
      </c>
      <c r="K19" s="4">
        <v>45819.819756944446</v>
      </c>
      <c r="L19" s="11">
        <v>45819.780173611114</v>
      </c>
      <c r="M19" s="10">
        <v>45819</v>
      </c>
      <c r="N19" s="6" t="s">
        <v>150</v>
      </c>
      <c r="O19" t="s">
        <v>159</v>
      </c>
      <c r="P19" s="6" t="s">
        <v>103</v>
      </c>
      <c r="Q19" t="s">
        <v>104</v>
      </c>
      <c r="R19" t="s">
        <v>73</v>
      </c>
      <c r="S19" s="6">
        <v>729083</v>
      </c>
      <c r="T19" s="6" t="s">
        <v>111</v>
      </c>
      <c r="U19">
        <v>339</v>
      </c>
      <c r="V19" s="6">
        <v>27.2</v>
      </c>
      <c r="W19" s="6">
        <v>11.7</v>
      </c>
      <c r="X19" s="6">
        <v>330.4</v>
      </c>
      <c r="Y19" s="6">
        <v>369.3</v>
      </c>
      <c r="Z19" s="6" t="s">
        <v>112</v>
      </c>
      <c r="AA19" t="s">
        <v>160</v>
      </c>
      <c r="AB19" s="6" t="s">
        <v>75</v>
      </c>
      <c r="AC19" t="s">
        <v>125</v>
      </c>
      <c r="AD19" t="s">
        <v>67</v>
      </c>
      <c r="AE19">
        <v>-57</v>
      </c>
      <c r="AF19">
        <v>0</v>
      </c>
      <c r="AG19">
        <v>0</v>
      </c>
      <c r="AH19" s="6">
        <v>42</v>
      </c>
      <c r="AI19" s="6">
        <v>0</v>
      </c>
      <c r="AJ19" s="6">
        <v>0.69599999999999995</v>
      </c>
      <c r="AK19" s="6">
        <v>0.7</v>
      </c>
      <c r="AL19" s="8">
        <v>3499.83</v>
      </c>
      <c r="AM19" s="6" t="s">
        <v>68</v>
      </c>
      <c r="AN19" s="6">
        <v>1</v>
      </c>
      <c r="AO19" s="6">
        <v>1</v>
      </c>
      <c r="AP19" s="6">
        <v>0</v>
      </c>
      <c r="AQ19" s="6">
        <v>1</v>
      </c>
      <c r="AR19" s="6">
        <v>0</v>
      </c>
      <c r="AS19" s="6">
        <v>1</v>
      </c>
      <c r="AT19" s="6">
        <v>0</v>
      </c>
      <c r="AU19" s="6">
        <v>2</v>
      </c>
      <c r="AV19" s="6">
        <v>1.48</v>
      </c>
      <c r="AW19" s="6">
        <v>254.15</v>
      </c>
      <c r="AX19" s="6">
        <v>80.06</v>
      </c>
      <c r="AY19" s="6">
        <v>250.41</v>
      </c>
      <c r="AZ19" s="6">
        <v>9.3000000000000007</v>
      </c>
      <c r="BA19" s="6">
        <v>24.7</v>
      </c>
    </row>
    <row r="20" spans="1:53" x14ac:dyDescent="0.3">
      <c r="A20" s="6">
        <v>494422907</v>
      </c>
      <c r="B20" s="6">
        <v>456699</v>
      </c>
      <c r="C20" s="6">
        <v>1415846</v>
      </c>
      <c r="D20" s="6">
        <v>1197</v>
      </c>
      <c r="E20" s="6" t="s">
        <v>106</v>
      </c>
      <c r="F20" s="6">
        <v>57736</v>
      </c>
      <c r="G20" s="6" t="s">
        <v>98</v>
      </c>
      <c r="H20" s="10">
        <v>45718</v>
      </c>
      <c r="I20" s="10">
        <v>45718</v>
      </c>
      <c r="J20" s="4">
        <v>45718.329861111109</v>
      </c>
      <c r="K20" s="4">
        <v>45718.553564814814</v>
      </c>
      <c r="L20" s="11">
        <v>45718.536203703705</v>
      </c>
      <c r="M20" s="10">
        <v>45718</v>
      </c>
      <c r="N20" s="6" t="s">
        <v>109</v>
      </c>
      <c r="O20" t="s">
        <v>161</v>
      </c>
      <c r="P20" s="6" t="s">
        <v>129</v>
      </c>
      <c r="Q20" t="s">
        <v>162</v>
      </c>
      <c r="R20" t="s">
        <v>123</v>
      </c>
      <c r="S20" s="6">
        <v>728157</v>
      </c>
      <c r="T20" s="6" t="s">
        <v>1</v>
      </c>
      <c r="U20">
        <v>258</v>
      </c>
      <c r="V20" s="6">
        <v>45</v>
      </c>
      <c r="W20" s="6">
        <v>6.1</v>
      </c>
      <c r="X20" s="6">
        <v>261.7</v>
      </c>
      <c r="Y20" s="6">
        <v>312.8</v>
      </c>
      <c r="Z20" s="6" t="s">
        <v>2</v>
      </c>
      <c r="AA20" t="s">
        <v>163</v>
      </c>
      <c r="AB20" s="6" t="s">
        <v>97</v>
      </c>
      <c r="AC20" t="s">
        <v>91</v>
      </c>
      <c r="AD20" t="s">
        <v>67</v>
      </c>
      <c r="AE20">
        <v>-25</v>
      </c>
      <c r="AF20">
        <v>0</v>
      </c>
      <c r="AG20">
        <v>0</v>
      </c>
      <c r="AH20" s="6">
        <v>74.2</v>
      </c>
      <c r="AI20" s="6">
        <v>0</v>
      </c>
      <c r="AJ20" s="6">
        <v>0.80900000000000005</v>
      </c>
      <c r="AK20" s="6">
        <v>0.64900000000000002</v>
      </c>
      <c r="AL20" s="8">
        <v>4543.2299999999996</v>
      </c>
      <c r="AM20" s="6" t="s">
        <v>68</v>
      </c>
      <c r="AN20" s="6">
        <v>1</v>
      </c>
      <c r="AO20" s="6">
        <v>1</v>
      </c>
      <c r="AP20" s="6">
        <v>0</v>
      </c>
      <c r="AQ20" s="6">
        <v>1</v>
      </c>
      <c r="AR20" s="6">
        <v>0</v>
      </c>
      <c r="AS20" s="6">
        <v>1</v>
      </c>
      <c r="AT20" s="6">
        <v>0</v>
      </c>
      <c r="AU20" s="6">
        <v>2.2400000000000002</v>
      </c>
      <c r="AV20" s="6">
        <v>1.52</v>
      </c>
      <c r="AW20" s="6">
        <v>245.48</v>
      </c>
      <c r="AX20" s="6">
        <v>66.36</v>
      </c>
      <c r="AY20" s="6">
        <v>198.05</v>
      </c>
      <c r="AZ20" s="6">
        <v>15.2</v>
      </c>
      <c r="BA20" s="6">
        <v>14.2</v>
      </c>
    </row>
    <row r="21" spans="1:53" x14ac:dyDescent="0.3">
      <c r="A21" s="6">
        <v>684615760</v>
      </c>
      <c r="B21" s="6">
        <v>872246</v>
      </c>
      <c r="C21" s="6">
        <v>4860684</v>
      </c>
      <c r="D21" s="6">
        <v>6578</v>
      </c>
      <c r="E21" s="6" t="s">
        <v>126</v>
      </c>
      <c r="F21" s="6">
        <v>58848</v>
      </c>
      <c r="G21" s="6" t="s">
        <v>164</v>
      </c>
      <c r="H21" s="10">
        <v>46016</v>
      </c>
      <c r="I21" s="10">
        <v>46016</v>
      </c>
      <c r="J21" s="4">
        <v>46016.458333333336</v>
      </c>
      <c r="K21" s="4">
        <v>46016.72384259259</v>
      </c>
      <c r="L21" s="11">
        <v>46016.717592592591</v>
      </c>
      <c r="M21" s="10">
        <v>46016</v>
      </c>
      <c r="N21" s="6" t="s">
        <v>116</v>
      </c>
      <c r="O21" t="s">
        <v>117</v>
      </c>
      <c r="P21" s="6" t="s">
        <v>86</v>
      </c>
      <c r="Q21" t="s">
        <v>108</v>
      </c>
      <c r="R21" t="s">
        <v>88</v>
      </c>
      <c r="S21" s="6">
        <v>741275</v>
      </c>
      <c r="T21" s="6" t="s">
        <v>1</v>
      </c>
      <c r="U21">
        <v>277</v>
      </c>
      <c r="V21" s="6">
        <v>25.8</v>
      </c>
      <c r="W21" s="6">
        <v>27.7</v>
      </c>
      <c r="X21" s="6">
        <v>271.7</v>
      </c>
      <c r="Y21" s="6">
        <v>325.2</v>
      </c>
      <c r="Z21" s="6" t="s">
        <v>2</v>
      </c>
      <c r="AA21" t="s">
        <v>165</v>
      </c>
      <c r="AB21" s="6" t="s">
        <v>75</v>
      </c>
      <c r="AC21" t="s">
        <v>137</v>
      </c>
      <c r="AD21" t="s">
        <v>67</v>
      </c>
      <c r="AE21">
        <v>-9</v>
      </c>
      <c r="AF21">
        <v>0</v>
      </c>
      <c r="AG21">
        <v>0.8</v>
      </c>
      <c r="AH21" s="6">
        <v>81.400000000000006</v>
      </c>
      <c r="AI21" s="6">
        <v>0</v>
      </c>
      <c r="AJ21" s="6">
        <v>0.81299999999999994</v>
      </c>
      <c r="AK21" s="6">
        <v>0.20200000000000001</v>
      </c>
      <c r="AL21" s="8">
        <v>4572.32</v>
      </c>
      <c r="AM21" s="6" t="s">
        <v>68</v>
      </c>
      <c r="AN21" s="6">
        <v>1</v>
      </c>
      <c r="AO21" s="6">
        <v>1</v>
      </c>
      <c r="AP21" s="6">
        <v>0</v>
      </c>
      <c r="AQ21" s="6">
        <v>1</v>
      </c>
      <c r="AR21" s="6">
        <v>0</v>
      </c>
      <c r="AS21" s="6">
        <v>1</v>
      </c>
      <c r="AT21" s="6">
        <v>0</v>
      </c>
      <c r="AU21" s="6">
        <v>2.17</v>
      </c>
      <c r="AV21" s="6">
        <v>1.64</v>
      </c>
      <c r="AW21" s="6">
        <v>213.86</v>
      </c>
      <c r="AX21" s="6">
        <v>55.85</v>
      </c>
      <c r="AY21" s="6">
        <v>166.5</v>
      </c>
      <c r="AZ21" s="6">
        <v>41.8</v>
      </c>
      <c r="BA21" s="6">
        <v>16.600000000000001</v>
      </c>
    </row>
    <row r="22" spans="1:53" x14ac:dyDescent="0.3">
      <c r="A22" s="6">
        <v>792377512</v>
      </c>
      <c r="B22" s="6">
        <v>872246</v>
      </c>
      <c r="C22" s="6">
        <v>4860684</v>
      </c>
      <c r="D22" s="6">
        <v>6578</v>
      </c>
      <c r="E22" s="6" t="s">
        <v>126</v>
      </c>
      <c r="F22" s="6">
        <v>52982</v>
      </c>
      <c r="G22" s="6" t="s">
        <v>115</v>
      </c>
      <c r="H22" s="10">
        <v>45693</v>
      </c>
      <c r="I22" s="10">
        <v>45693</v>
      </c>
      <c r="J22" s="4">
        <v>45693.340277777781</v>
      </c>
      <c r="K22" s="4">
        <v>45693.459687499999</v>
      </c>
      <c r="L22" s="11">
        <v>45693.45621527778</v>
      </c>
      <c r="M22" s="10">
        <v>45693</v>
      </c>
      <c r="N22" s="6" t="s">
        <v>78</v>
      </c>
      <c r="O22" t="s">
        <v>166</v>
      </c>
      <c r="P22" s="6" t="s">
        <v>59</v>
      </c>
      <c r="Q22" t="s">
        <v>167</v>
      </c>
      <c r="R22" t="s">
        <v>62</v>
      </c>
      <c r="S22" s="6">
        <v>752047</v>
      </c>
      <c r="T22" s="6" t="s">
        <v>1</v>
      </c>
      <c r="U22">
        <v>179</v>
      </c>
      <c r="V22" s="6">
        <v>45</v>
      </c>
      <c r="W22" s="6">
        <v>12.8</v>
      </c>
      <c r="X22" s="6">
        <v>186.3</v>
      </c>
      <c r="Y22" s="6">
        <v>244.1</v>
      </c>
      <c r="Z22" s="6" t="s">
        <v>2</v>
      </c>
      <c r="AA22" t="s">
        <v>168</v>
      </c>
      <c r="AB22" s="6" t="s">
        <v>97</v>
      </c>
      <c r="AC22" t="s">
        <v>125</v>
      </c>
      <c r="AD22" t="s">
        <v>67</v>
      </c>
      <c r="AE22">
        <v>-5</v>
      </c>
      <c r="AF22">
        <v>0</v>
      </c>
      <c r="AG22">
        <v>0</v>
      </c>
      <c r="AH22" s="6">
        <v>74.8</v>
      </c>
      <c r="AI22" s="6">
        <v>0</v>
      </c>
      <c r="AJ22" s="6">
        <v>0.44700000000000001</v>
      </c>
      <c r="AK22" s="6">
        <v>0.79</v>
      </c>
      <c r="AL22" s="8">
        <v>21829.52</v>
      </c>
      <c r="AM22" s="6" t="s">
        <v>114</v>
      </c>
      <c r="AN22" s="6">
        <v>1</v>
      </c>
      <c r="AO22" s="6">
        <v>1</v>
      </c>
      <c r="AP22" s="6">
        <v>0</v>
      </c>
      <c r="AQ22" s="6">
        <v>1</v>
      </c>
      <c r="AR22" s="6">
        <v>0</v>
      </c>
      <c r="AS22" s="6">
        <v>1</v>
      </c>
      <c r="AT22" s="6">
        <v>0</v>
      </c>
      <c r="AU22" s="6">
        <v>2.2000000000000002</v>
      </c>
      <c r="AV22" s="6">
        <v>1.75</v>
      </c>
      <c r="AW22" s="6">
        <v>214.29</v>
      </c>
      <c r="AX22" s="6">
        <v>33.65</v>
      </c>
      <c r="AY22" s="6">
        <v>153.34</v>
      </c>
      <c r="AZ22" s="6">
        <v>41.8</v>
      </c>
      <c r="BA22" s="6">
        <v>16.5</v>
      </c>
    </row>
    <row r="23" spans="1:53" x14ac:dyDescent="0.3">
      <c r="A23" s="6">
        <v>485123110</v>
      </c>
      <c r="B23" s="6">
        <v>482554</v>
      </c>
      <c r="C23" s="6">
        <v>1954280</v>
      </c>
      <c r="D23" s="6">
        <v>4561</v>
      </c>
      <c r="E23" s="6" t="s">
        <v>84</v>
      </c>
      <c r="F23" s="6">
        <v>59305</v>
      </c>
      <c r="G23" s="6" t="s">
        <v>164</v>
      </c>
      <c r="H23" s="10">
        <v>45873</v>
      </c>
      <c r="I23" s="10">
        <v>45873</v>
      </c>
      <c r="J23" s="4">
        <v>45873.583333333336</v>
      </c>
      <c r="K23" s="4">
        <v>45873.726724537039</v>
      </c>
      <c r="L23" s="11">
        <v>45873.714224537034</v>
      </c>
      <c r="M23" s="10">
        <v>45873</v>
      </c>
      <c r="N23" s="6" t="s">
        <v>121</v>
      </c>
      <c r="O23" t="s">
        <v>143</v>
      </c>
      <c r="P23" s="6" t="s">
        <v>59</v>
      </c>
      <c r="Q23" t="s">
        <v>60</v>
      </c>
      <c r="R23" t="s">
        <v>62</v>
      </c>
      <c r="S23" s="6">
        <v>702844</v>
      </c>
      <c r="T23" s="6" t="s">
        <v>1</v>
      </c>
      <c r="U23">
        <v>142</v>
      </c>
      <c r="V23" s="6">
        <v>10</v>
      </c>
      <c r="W23" s="6">
        <v>35.200000000000003</v>
      </c>
      <c r="X23" s="6">
        <v>145.1</v>
      </c>
      <c r="Y23" s="6">
        <v>190.3</v>
      </c>
      <c r="Z23" s="6" t="s">
        <v>80</v>
      </c>
      <c r="AA23" t="s">
        <v>169</v>
      </c>
      <c r="AB23" s="6" t="s">
        <v>90</v>
      </c>
      <c r="AC23" t="s">
        <v>83</v>
      </c>
      <c r="AD23" t="s">
        <v>67</v>
      </c>
      <c r="AE23">
        <v>-18</v>
      </c>
      <c r="AF23">
        <v>0</v>
      </c>
      <c r="AG23">
        <v>0</v>
      </c>
      <c r="AH23" s="6">
        <v>26</v>
      </c>
      <c r="AI23" s="6">
        <v>0</v>
      </c>
      <c r="AJ23" s="6">
        <v>0.623</v>
      </c>
      <c r="AK23" s="6">
        <v>0.66700000000000004</v>
      </c>
      <c r="AL23" s="8">
        <v>76268.33</v>
      </c>
      <c r="AM23" s="6" t="s">
        <v>155</v>
      </c>
      <c r="AN23" s="6">
        <v>1</v>
      </c>
      <c r="AO23" s="6">
        <v>1</v>
      </c>
      <c r="AP23" s="6">
        <v>0</v>
      </c>
      <c r="AQ23" s="6">
        <v>1</v>
      </c>
      <c r="AR23" s="6">
        <v>0</v>
      </c>
      <c r="AS23" s="6">
        <v>1</v>
      </c>
      <c r="AT23" s="6">
        <v>0</v>
      </c>
      <c r="AU23" s="6">
        <v>1.93</v>
      </c>
      <c r="AV23" s="6">
        <v>1.19</v>
      </c>
      <c r="AW23" s="6">
        <v>157.5</v>
      </c>
      <c r="AX23" s="6">
        <v>39.5</v>
      </c>
      <c r="AY23" s="6">
        <v>128.69999999999999</v>
      </c>
      <c r="AZ23" s="6">
        <v>16.100000000000001</v>
      </c>
      <c r="BA23" s="6">
        <v>34.9</v>
      </c>
    </row>
    <row r="24" spans="1:53" x14ac:dyDescent="0.3">
      <c r="A24" s="6">
        <v>165015165</v>
      </c>
      <c r="B24" s="6">
        <v>391476</v>
      </c>
      <c r="C24" s="6">
        <v>8999183</v>
      </c>
      <c r="D24" s="6">
        <v>6618</v>
      </c>
      <c r="E24" s="6" t="s">
        <v>92</v>
      </c>
      <c r="F24" s="6">
        <v>56083</v>
      </c>
      <c r="G24" s="6" t="s">
        <v>164</v>
      </c>
      <c r="H24" s="10">
        <v>45886</v>
      </c>
      <c r="I24" s="10">
        <v>45886</v>
      </c>
      <c r="J24" s="4">
        <v>45886.913194444445</v>
      </c>
      <c r="K24" s="4">
        <v>45887.10056712963</v>
      </c>
      <c r="L24" s="11">
        <v>45887.062372685185</v>
      </c>
      <c r="M24" s="10">
        <v>45887</v>
      </c>
      <c r="N24" s="6" t="s">
        <v>170</v>
      </c>
      <c r="O24" t="s">
        <v>171</v>
      </c>
      <c r="P24" s="6" t="s">
        <v>134</v>
      </c>
      <c r="Q24" t="s">
        <v>172</v>
      </c>
      <c r="R24" t="s">
        <v>73</v>
      </c>
      <c r="S24" s="6">
        <v>790402</v>
      </c>
      <c r="T24" s="6" t="s">
        <v>111</v>
      </c>
      <c r="U24">
        <v>290</v>
      </c>
      <c r="V24" s="6">
        <v>27.9</v>
      </c>
      <c r="W24" s="6">
        <v>21.4</v>
      </c>
      <c r="X24" s="6">
        <v>287.8</v>
      </c>
      <c r="Y24" s="6">
        <v>337.1</v>
      </c>
      <c r="Z24" s="6" t="s">
        <v>2</v>
      </c>
      <c r="AA24" t="s">
        <v>173</v>
      </c>
      <c r="AB24" s="6" t="s">
        <v>65</v>
      </c>
      <c r="AC24" t="s">
        <v>91</v>
      </c>
      <c r="AD24" t="s">
        <v>67</v>
      </c>
      <c r="AE24">
        <v>-55</v>
      </c>
      <c r="AF24">
        <v>0</v>
      </c>
      <c r="AG24">
        <v>0</v>
      </c>
      <c r="AH24" s="6">
        <v>49</v>
      </c>
      <c r="AI24" s="6">
        <v>0</v>
      </c>
      <c r="AJ24" s="6">
        <v>0.68700000000000006</v>
      </c>
      <c r="AK24" s="6">
        <v>0.74399999999999999</v>
      </c>
      <c r="AL24" s="8">
        <v>80968.17</v>
      </c>
      <c r="AM24" s="6" t="s">
        <v>155</v>
      </c>
      <c r="AN24" s="6">
        <v>1</v>
      </c>
      <c r="AO24" s="6">
        <v>1</v>
      </c>
      <c r="AP24" s="6">
        <v>0</v>
      </c>
      <c r="AQ24" s="6">
        <v>1</v>
      </c>
      <c r="AR24" s="6">
        <v>0</v>
      </c>
      <c r="AS24" s="6">
        <v>1</v>
      </c>
      <c r="AT24" s="6">
        <v>0</v>
      </c>
      <c r="AU24" s="6">
        <v>2.2799999999999998</v>
      </c>
      <c r="AV24" s="6">
        <v>1.52</v>
      </c>
      <c r="AW24" s="6">
        <v>229.89</v>
      </c>
      <c r="AX24" s="6">
        <v>66.209999999999994</v>
      </c>
      <c r="AY24" s="6">
        <v>210.52</v>
      </c>
      <c r="AZ24" s="6">
        <v>51.7</v>
      </c>
      <c r="BA24" s="6">
        <v>57.8</v>
      </c>
    </row>
    <row r="25" spans="1:53" x14ac:dyDescent="0.3">
      <c r="A25" s="6">
        <v>527499187</v>
      </c>
      <c r="B25" s="6">
        <v>301629</v>
      </c>
      <c r="C25" s="6">
        <v>8633773</v>
      </c>
      <c r="D25" s="6">
        <v>7331</v>
      </c>
      <c r="E25" s="6" t="s">
        <v>84</v>
      </c>
      <c r="F25" s="6">
        <v>50556</v>
      </c>
      <c r="G25" s="6" t="s">
        <v>149</v>
      </c>
      <c r="H25" s="10">
        <v>45854</v>
      </c>
      <c r="I25" s="10">
        <v>45854</v>
      </c>
      <c r="J25" s="4">
        <v>45854.909722222219</v>
      </c>
      <c r="K25" s="4">
        <v>45855.074780092589</v>
      </c>
      <c r="L25" s="11">
        <v>45855.059502314813</v>
      </c>
      <c r="M25" s="10">
        <v>45855</v>
      </c>
      <c r="N25" s="6" t="s">
        <v>59</v>
      </c>
      <c r="O25" t="s">
        <v>99</v>
      </c>
      <c r="P25" s="6" t="s">
        <v>70</v>
      </c>
      <c r="Q25" t="s">
        <v>72</v>
      </c>
      <c r="R25" t="s">
        <v>73</v>
      </c>
      <c r="S25" s="6">
        <v>736170</v>
      </c>
      <c r="T25" s="6" t="s">
        <v>1</v>
      </c>
      <c r="U25">
        <v>201</v>
      </c>
      <c r="V25" s="6">
        <v>28.4</v>
      </c>
      <c r="W25" s="6">
        <v>32.299999999999997</v>
      </c>
      <c r="X25" s="6">
        <v>198.6</v>
      </c>
      <c r="Y25" s="6">
        <v>259.3</v>
      </c>
      <c r="Z25" s="6" t="s">
        <v>112</v>
      </c>
      <c r="AA25" t="s">
        <v>174</v>
      </c>
      <c r="AB25" s="6" t="s">
        <v>65</v>
      </c>
      <c r="AC25" t="s">
        <v>125</v>
      </c>
      <c r="AD25" t="s">
        <v>67</v>
      </c>
      <c r="AE25">
        <v>-22</v>
      </c>
      <c r="AF25">
        <v>0</v>
      </c>
      <c r="AG25">
        <v>0</v>
      </c>
      <c r="AH25" s="6">
        <v>61.9</v>
      </c>
      <c r="AI25" s="6">
        <v>0</v>
      </c>
      <c r="AJ25" s="6">
        <v>0.84</v>
      </c>
      <c r="AK25" s="6">
        <v>0.63600000000000001</v>
      </c>
      <c r="AL25" s="8">
        <v>11977</v>
      </c>
      <c r="AM25" s="6" t="s">
        <v>114</v>
      </c>
      <c r="AN25" s="6">
        <v>1</v>
      </c>
      <c r="AO25" s="6">
        <v>1</v>
      </c>
      <c r="AP25" s="6">
        <v>0</v>
      </c>
      <c r="AQ25" s="6">
        <v>1</v>
      </c>
      <c r="AR25" s="6">
        <v>0</v>
      </c>
      <c r="AS25" s="6">
        <v>1</v>
      </c>
      <c r="AT25" s="6">
        <v>0</v>
      </c>
      <c r="AU25" s="6">
        <v>2.34</v>
      </c>
      <c r="AV25" s="6">
        <v>1.8</v>
      </c>
      <c r="AW25" s="6">
        <v>216.44</v>
      </c>
      <c r="AX25" s="6">
        <v>28.61</v>
      </c>
      <c r="AY25" s="6">
        <v>186.64</v>
      </c>
      <c r="AZ25" s="6">
        <v>63.5</v>
      </c>
      <c r="BA25" s="6">
        <v>13.1</v>
      </c>
    </row>
    <row r="26" spans="1:53" x14ac:dyDescent="0.3">
      <c r="A26" s="6">
        <v>396225446</v>
      </c>
      <c r="B26" s="6">
        <v>905635</v>
      </c>
      <c r="C26" s="6">
        <v>2677407</v>
      </c>
      <c r="D26" s="6">
        <v>3790</v>
      </c>
      <c r="E26" s="6" t="s">
        <v>106</v>
      </c>
      <c r="F26" s="6">
        <v>53019</v>
      </c>
      <c r="G26" s="6" t="s">
        <v>175</v>
      </c>
      <c r="H26" s="10">
        <v>45899</v>
      </c>
      <c r="I26" s="10">
        <v>45899</v>
      </c>
      <c r="J26" s="4">
        <v>45899.451388888891</v>
      </c>
      <c r="K26" s="4">
        <v>45899.535069444442</v>
      </c>
      <c r="L26" s="11">
        <v>45899.535069444442</v>
      </c>
      <c r="M26" s="10">
        <v>45899</v>
      </c>
      <c r="N26" s="6" t="s">
        <v>59</v>
      </c>
      <c r="O26" t="s">
        <v>85</v>
      </c>
      <c r="P26" s="6" t="s">
        <v>176</v>
      </c>
      <c r="Q26" t="s">
        <v>177</v>
      </c>
      <c r="R26" t="s">
        <v>88</v>
      </c>
      <c r="S26" s="6">
        <v>772569</v>
      </c>
      <c r="T26" s="6" t="s">
        <v>3</v>
      </c>
      <c r="U26">
        <v>51</v>
      </c>
      <c r="V26" s="6">
        <v>45.6</v>
      </c>
      <c r="W26" s="6">
        <v>29.1</v>
      </c>
      <c r="X26" s="6">
        <v>51.9</v>
      </c>
      <c r="Y26" s="6">
        <v>126.6</v>
      </c>
      <c r="Z26" s="6" t="s">
        <v>63</v>
      </c>
      <c r="AA26" t="s">
        <v>178</v>
      </c>
      <c r="AB26" s="6" t="s">
        <v>75</v>
      </c>
      <c r="AC26" t="s">
        <v>76</v>
      </c>
      <c r="AD26" t="s">
        <v>67</v>
      </c>
      <c r="AE26">
        <v>0</v>
      </c>
      <c r="AF26">
        <v>0</v>
      </c>
      <c r="AG26">
        <v>0</v>
      </c>
      <c r="AH26" s="6">
        <v>60</v>
      </c>
      <c r="AI26" s="6">
        <v>0</v>
      </c>
      <c r="AJ26" s="6">
        <v>0.501</v>
      </c>
      <c r="AK26" s="6">
        <v>0.83199999999999996</v>
      </c>
      <c r="AL26" s="8">
        <v>1229.68</v>
      </c>
      <c r="AM26" s="6" t="s">
        <v>68</v>
      </c>
      <c r="AN26" s="6">
        <v>1</v>
      </c>
      <c r="AO26" s="6">
        <v>1</v>
      </c>
      <c r="AP26" s="6">
        <v>0</v>
      </c>
      <c r="AQ26" s="6">
        <v>1</v>
      </c>
      <c r="AR26" s="6">
        <v>0</v>
      </c>
      <c r="AS26" s="6">
        <v>1</v>
      </c>
      <c r="AT26" s="6">
        <v>0</v>
      </c>
      <c r="AU26" s="6">
        <v>1.95</v>
      </c>
      <c r="AV26" s="6">
        <v>1.21</v>
      </c>
      <c r="AW26" s="6">
        <v>81.64</v>
      </c>
      <c r="AX26" s="6">
        <v>19.899999999999999</v>
      </c>
      <c r="AY26" s="6">
        <v>76.17</v>
      </c>
      <c r="AZ26" s="6">
        <v>27.7</v>
      </c>
      <c r="BA26" s="6">
        <v>8.6</v>
      </c>
    </row>
    <row r="27" spans="1:53" x14ac:dyDescent="0.3">
      <c r="A27" s="6">
        <v>303805386</v>
      </c>
      <c r="B27" s="6">
        <v>301629</v>
      </c>
      <c r="C27" s="6">
        <v>8633773</v>
      </c>
      <c r="D27" s="6">
        <v>7331</v>
      </c>
      <c r="E27" s="6" t="s">
        <v>84</v>
      </c>
      <c r="F27" s="6">
        <v>52580</v>
      </c>
      <c r="G27" s="6" t="s">
        <v>77</v>
      </c>
      <c r="H27" s="10">
        <v>45700</v>
      </c>
      <c r="I27" s="10">
        <v>45700</v>
      </c>
      <c r="J27" s="4">
        <v>45700.427083333336</v>
      </c>
      <c r="K27" s="4">
        <v>45700.759340277778</v>
      </c>
      <c r="L27" s="11">
        <v>45700.741979166669</v>
      </c>
      <c r="M27" s="10">
        <v>45700</v>
      </c>
      <c r="N27" s="6" t="s">
        <v>86</v>
      </c>
      <c r="O27" t="s">
        <v>108</v>
      </c>
      <c r="P27" s="6" t="s">
        <v>121</v>
      </c>
      <c r="Q27" t="s">
        <v>179</v>
      </c>
      <c r="R27" t="s">
        <v>123</v>
      </c>
      <c r="S27" s="6">
        <v>767013</v>
      </c>
      <c r="T27" s="6" t="s">
        <v>111</v>
      </c>
      <c r="U27">
        <v>417</v>
      </c>
      <c r="V27" s="6">
        <v>38.4</v>
      </c>
      <c r="W27" s="6">
        <v>33</v>
      </c>
      <c r="X27" s="6">
        <v>411.5</v>
      </c>
      <c r="Y27" s="6">
        <v>482.9</v>
      </c>
      <c r="Z27" s="6" t="s">
        <v>112</v>
      </c>
      <c r="AA27" t="s">
        <v>180</v>
      </c>
      <c r="AB27" s="6" t="s">
        <v>75</v>
      </c>
      <c r="AC27" t="s">
        <v>125</v>
      </c>
      <c r="AD27" t="s">
        <v>67</v>
      </c>
      <c r="AE27">
        <v>-25</v>
      </c>
      <c r="AF27">
        <v>0</v>
      </c>
      <c r="AG27">
        <v>0</v>
      </c>
      <c r="AH27" s="6">
        <v>98</v>
      </c>
      <c r="AI27" s="6">
        <v>0</v>
      </c>
      <c r="AJ27" s="6">
        <v>0.39800000000000002</v>
      </c>
      <c r="AK27" s="6">
        <v>0.66900000000000004</v>
      </c>
      <c r="AL27" s="8">
        <v>3028.42</v>
      </c>
      <c r="AM27" s="6" t="s">
        <v>68</v>
      </c>
      <c r="AN27" s="6">
        <v>1</v>
      </c>
      <c r="AO27" s="6">
        <v>1</v>
      </c>
      <c r="AP27" s="6">
        <v>0</v>
      </c>
      <c r="AQ27" s="6">
        <v>1</v>
      </c>
      <c r="AR27" s="6">
        <v>0</v>
      </c>
      <c r="AS27" s="6">
        <v>1</v>
      </c>
      <c r="AT27" s="6">
        <v>0</v>
      </c>
      <c r="AU27" s="6">
        <v>2.2599999999999998</v>
      </c>
      <c r="AV27" s="6">
        <v>1.52</v>
      </c>
      <c r="AW27" s="6">
        <v>411.27</v>
      </c>
      <c r="AX27" s="6">
        <v>105.15</v>
      </c>
      <c r="AY27" s="6">
        <v>309.81</v>
      </c>
      <c r="AZ27" s="6">
        <v>63.5</v>
      </c>
      <c r="BA27" s="6">
        <v>5</v>
      </c>
    </row>
    <row r="28" spans="1:53" x14ac:dyDescent="0.3">
      <c r="A28" s="6">
        <v>231167999</v>
      </c>
      <c r="B28" s="6">
        <v>197251</v>
      </c>
      <c r="C28" s="6">
        <v>4078418</v>
      </c>
      <c r="D28" s="6">
        <v>2585</v>
      </c>
      <c r="E28" s="6" t="s">
        <v>106</v>
      </c>
      <c r="F28" s="6">
        <v>58146</v>
      </c>
      <c r="G28" s="6" t="s">
        <v>58</v>
      </c>
      <c r="H28" s="10">
        <v>45860</v>
      </c>
      <c r="I28" s="10">
        <v>45860</v>
      </c>
      <c r="J28" s="4">
        <v>45860.743055555555</v>
      </c>
      <c r="K28" s="4">
        <v>45861.098344907405</v>
      </c>
      <c r="L28" s="11">
        <v>45861.087233796294</v>
      </c>
      <c r="M28" s="10">
        <v>45861</v>
      </c>
      <c r="N28" s="6" t="s">
        <v>86</v>
      </c>
      <c r="O28" t="s">
        <v>87</v>
      </c>
      <c r="P28" s="6" t="s">
        <v>132</v>
      </c>
      <c r="Q28" t="s">
        <v>181</v>
      </c>
      <c r="R28" t="s">
        <v>62</v>
      </c>
      <c r="S28" s="6">
        <v>772918</v>
      </c>
      <c r="T28" s="6" t="s">
        <v>111</v>
      </c>
      <c r="U28">
        <v>333</v>
      </c>
      <c r="V28" s="6">
        <v>34.4</v>
      </c>
      <c r="W28" s="6">
        <v>18.2</v>
      </c>
      <c r="X28" s="6">
        <v>339.7</v>
      </c>
      <c r="Y28" s="6">
        <v>392.3</v>
      </c>
      <c r="Z28" s="6" t="s">
        <v>63</v>
      </c>
      <c r="AA28" t="s">
        <v>182</v>
      </c>
      <c r="AB28" s="6" t="s">
        <v>90</v>
      </c>
      <c r="AC28" t="s">
        <v>66</v>
      </c>
      <c r="AD28" t="s">
        <v>67</v>
      </c>
      <c r="AE28">
        <v>-16</v>
      </c>
      <c r="AF28">
        <v>0</v>
      </c>
      <c r="AG28">
        <v>0</v>
      </c>
      <c r="AH28" s="6">
        <v>44</v>
      </c>
      <c r="AI28" s="6">
        <v>0</v>
      </c>
      <c r="AJ28" s="6">
        <v>0.82</v>
      </c>
      <c r="AK28" s="6">
        <v>0.91200000000000003</v>
      </c>
      <c r="AL28" s="8">
        <v>20794.23</v>
      </c>
      <c r="AM28" s="6" t="s">
        <v>114</v>
      </c>
      <c r="AN28" s="6">
        <v>1</v>
      </c>
      <c r="AO28" s="6">
        <v>1</v>
      </c>
      <c r="AP28" s="6">
        <v>0</v>
      </c>
      <c r="AQ28" s="6">
        <v>1</v>
      </c>
      <c r="AR28" s="6">
        <v>0</v>
      </c>
      <c r="AS28" s="6">
        <v>1</v>
      </c>
      <c r="AT28" s="6">
        <v>0</v>
      </c>
      <c r="AU28" s="6">
        <v>1.86</v>
      </c>
      <c r="AV28" s="6">
        <v>1.1499999999999999</v>
      </c>
      <c r="AW28" s="6">
        <v>300.93</v>
      </c>
      <c r="AX28" s="6">
        <v>60.6</v>
      </c>
      <c r="AY28" s="6">
        <v>194.93</v>
      </c>
      <c r="AZ28" s="6">
        <v>11.9</v>
      </c>
      <c r="BA28" s="6">
        <v>23</v>
      </c>
    </row>
    <row r="29" spans="1:53" x14ac:dyDescent="0.3">
      <c r="A29" s="6">
        <v>984968439</v>
      </c>
      <c r="B29" s="6">
        <v>705397</v>
      </c>
      <c r="C29" s="6">
        <v>5449368</v>
      </c>
      <c r="D29" s="6">
        <v>5859</v>
      </c>
      <c r="E29" s="6" t="s">
        <v>84</v>
      </c>
      <c r="F29" s="6">
        <v>58243</v>
      </c>
      <c r="G29" s="6" t="s">
        <v>77</v>
      </c>
      <c r="H29" s="10">
        <v>45762</v>
      </c>
      <c r="I29" s="10">
        <v>45762</v>
      </c>
      <c r="J29" s="4">
        <v>45762.256944444445</v>
      </c>
      <c r="K29" s="4">
        <v>45762.488518518519</v>
      </c>
      <c r="L29" s="11">
        <v>45762.505185185182</v>
      </c>
      <c r="M29" s="10">
        <v>45762</v>
      </c>
      <c r="N29" s="6" t="s">
        <v>170</v>
      </c>
      <c r="O29" t="s">
        <v>171</v>
      </c>
      <c r="P29" s="6" t="s">
        <v>170</v>
      </c>
      <c r="Q29" t="s">
        <v>183</v>
      </c>
      <c r="R29" t="s">
        <v>62</v>
      </c>
      <c r="S29" s="6">
        <v>774798</v>
      </c>
      <c r="T29" s="6" t="s">
        <v>1</v>
      </c>
      <c r="U29">
        <v>289</v>
      </c>
      <c r="V29" s="6">
        <v>37.299999999999997</v>
      </c>
      <c r="W29" s="6">
        <v>4</v>
      </c>
      <c r="X29" s="6">
        <v>290.8</v>
      </c>
      <c r="Y29" s="6">
        <v>332.1</v>
      </c>
      <c r="Z29" s="6" t="s">
        <v>2</v>
      </c>
      <c r="AA29" t="s">
        <v>184</v>
      </c>
      <c r="AB29" s="6" t="s">
        <v>97</v>
      </c>
      <c r="AC29" t="s">
        <v>66</v>
      </c>
      <c r="AD29" t="s">
        <v>67</v>
      </c>
      <c r="AE29">
        <v>24</v>
      </c>
      <c r="AF29">
        <v>0</v>
      </c>
      <c r="AG29">
        <v>0</v>
      </c>
      <c r="AH29" s="6">
        <v>49.4</v>
      </c>
      <c r="AI29" s="6">
        <v>0</v>
      </c>
      <c r="AJ29" s="6">
        <v>0.39400000000000002</v>
      </c>
      <c r="AK29" s="6">
        <v>0.27600000000000002</v>
      </c>
      <c r="AL29" s="8">
        <v>18352.919999999998</v>
      </c>
      <c r="AM29" s="6" t="s">
        <v>114</v>
      </c>
      <c r="AN29" s="6">
        <v>1</v>
      </c>
      <c r="AO29" s="6">
        <v>0</v>
      </c>
      <c r="AP29" s="6">
        <v>1</v>
      </c>
      <c r="AQ29" s="6">
        <v>0</v>
      </c>
      <c r="AR29" s="6">
        <v>1</v>
      </c>
      <c r="AS29" s="6">
        <v>0</v>
      </c>
      <c r="AT29" s="6">
        <v>1</v>
      </c>
      <c r="AU29" s="6">
        <v>2.1800000000000002</v>
      </c>
      <c r="AV29" s="6">
        <v>1.58</v>
      </c>
      <c r="AW29" s="6">
        <v>217.88</v>
      </c>
      <c r="AX29" s="6">
        <v>70.39</v>
      </c>
      <c r="AY29" s="6">
        <v>224.22</v>
      </c>
      <c r="AZ29" s="6">
        <v>11.4</v>
      </c>
      <c r="BA29" s="6">
        <v>38.5</v>
      </c>
    </row>
    <row r="30" spans="1:53" x14ac:dyDescent="0.3">
      <c r="A30" s="6">
        <v>588249062</v>
      </c>
      <c r="B30" s="6">
        <v>847581</v>
      </c>
      <c r="C30" s="6">
        <v>3919694</v>
      </c>
      <c r="D30" s="6">
        <v>9050</v>
      </c>
      <c r="E30" s="6" t="s">
        <v>185</v>
      </c>
      <c r="F30" s="6">
        <v>59553</v>
      </c>
      <c r="G30" s="6" t="s">
        <v>127</v>
      </c>
      <c r="H30" s="10">
        <v>46001</v>
      </c>
      <c r="I30" s="10">
        <v>46001</v>
      </c>
      <c r="J30" s="4">
        <v>46001.590277777781</v>
      </c>
      <c r="K30" s="4">
        <v>46001.942280092589</v>
      </c>
      <c r="L30" s="11">
        <v>46002.072835648149</v>
      </c>
      <c r="M30" s="10">
        <v>46002</v>
      </c>
      <c r="N30" s="6" t="s">
        <v>59</v>
      </c>
      <c r="O30" t="s">
        <v>61</v>
      </c>
      <c r="P30" s="6" t="s">
        <v>132</v>
      </c>
      <c r="Q30" t="s">
        <v>186</v>
      </c>
      <c r="R30" t="s">
        <v>62</v>
      </c>
      <c r="S30" s="6">
        <v>774922</v>
      </c>
      <c r="T30" s="6" t="s">
        <v>111</v>
      </c>
      <c r="U30">
        <v>349</v>
      </c>
      <c r="V30" s="6">
        <v>0.2</v>
      </c>
      <c r="W30" s="6">
        <v>29.8</v>
      </c>
      <c r="X30" s="6">
        <v>354.8</v>
      </c>
      <c r="Y30" s="6">
        <v>384.8</v>
      </c>
      <c r="Z30" s="6" t="s">
        <v>63</v>
      </c>
      <c r="AA30" t="s">
        <v>187</v>
      </c>
      <c r="AB30" s="6" t="s">
        <v>90</v>
      </c>
      <c r="AC30" t="s">
        <v>125</v>
      </c>
      <c r="AD30" t="s">
        <v>188</v>
      </c>
      <c r="AE30">
        <v>188</v>
      </c>
      <c r="AF30">
        <v>47</v>
      </c>
      <c r="AG30">
        <v>5</v>
      </c>
      <c r="AH30" s="6">
        <v>88.3</v>
      </c>
      <c r="AI30" s="6">
        <v>0</v>
      </c>
      <c r="AJ30" s="6">
        <v>0.60899999999999999</v>
      </c>
      <c r="AK30" s="6">
        <v>0.79900000000000004</v>
      </c>
      <c r="AL30" s="8">
        <v>3349.14</v>
      </c>
      <c r="AM30" s="6" t="s">
        <v>68</v>
      </c>
      <c r="AN30" s="6">
        <v>1</v>
      </c>
      <c r="AO30" s="6">
        <v>0</v>
      </c>
      <c r="AP30" s="6">
        <v>1</v>
      </c>
      <c r="AQ30" s="6">
        <v>0</v>
      </c>
      <c r="AR30" s="6">
        <v>1</v>
      </c>
      <c r="AS30" s="6">
        <v>0</v>
      </c>
      <c r="AT30" s="6">
        <v>1</v>
      </c>
      <c r="AU30" s="6">
        <v>2.11</v>
      </c>
      <c r="AV30" s="6">
        <v>1.33</v>
      </c>
      <c r="AW30" s="6">
        <v>302.12</v>
      </c>
      <c r="AX30" s="6">
        <v>83.61</v>
      </c>
      <c r="AY30" s="6">
        <v>242.34</v>
      </c>
      <c r="AZ30" s="6">
        <v>12.5</v>
      </c>
      <c r="BA30" s="6">
        <v>30.6</v>
      </c>
    </row>
    <row r="31" spans="1:53" x14ac:dyDescent="0.3">
      <c r="A31" s="6">
        <v>198433586</v>
      </c>
      <c r="B31" s="6">
        <v>816751</v>
      </c>
      <c r="C31" s="6">
        <v>3011363</v>
      </c>
      <c r="D31" s="6">
        <v>9996</v>
      </c>
      <c r="E31" s="6" t="s">
        <v>185</v>
      </c>
      <c r="F31" s="6">
        <v>59386</v>
      </c>
      <c r="G31" s="6" t="s">
        <v>115</v>
      </c>
      <c r="H31" s="10">
        <v>45936</v>
      </c>
      <c r="I31" s="10">
        <v>45936</v>
      </c>
      <c r="J31" s="4">
        <v>45936.461805555555</v>
      </c>
      <c r="K31" s="4">
        <v>45936.580995370372</v>
      </c>
      <c r="L31" s="11">
        <v>45936.566412037035</v>
      </c>
      <c r="M31" s="10">
        <v>45936</v>
      </c>
      <c r="N31" s="6" t="s">
        <v>170</v>
      </c>
      <c r="O31" t="s">
        <v>171</v>
      </c>
      <c r="P31" s="6" t="s">
        <v>170</v>
      </c>
      <c r="Q31" t="s">
        <v>189</v>
      </c>
      <c r="R31" t="s">
        <v>62</v>
      </c>
      <c r="S31" s="6">
        <v>774798</v>
      </c>
      <c r="T31" s="6" t="s">
        <v>1</v>
      </c>
      <c r="U31">
        <v>153</v>
      </c>
      <c r="V31" s="6">
        <v>18.899999999999999</v>
      </c>
      <c r="W31" s="6">
        <v>35.799999999999997</v>
      </c>
      <c r="X31" s="6">
        <v>138.30000000000001</v>
      </c>
      <c r="Y31" s="6">
        <v>193</v>
      </c>
      <c r="Z31" s="6" t="s">
        <v>63</v>
      </c>
      <c r="AA31" t="s">
        <v>190</v>
      </c>
      <c r="AB31" s="6" t="s">
        <v>75</v>
      </c>
      <c r="AC31" t="s">
        <v>83</v>
      </c>
      <c r="AD31" t="s">
        <v>67</v>
      </c>
      <c r="AE31">
        <v>-21</v>
      </c>
      <c r="AF31">
        <v>0</v>
      </c>
      <c r="AG31">
        <v>0</v>
      </c>
      <c r="AH31" s="6">
        <v>55.6</v>
      </c>
      <c r="AI31" s="6">
        <v>0</v>
      </c>
      <c r="AJ31" s="6">
        <v>0.79500000000000004</v>
      </c>
      <c r="AK31" s="6">
        <v>0.95799999999999996</v>
      </c>
      <c r="AL31" s="8">
        <v>4028.59</v>
      </c>
      <c r="AM31" s="6" t="s">
        <v>68</v>
      </c>
      <c r="AN31" s="6">
        <v>1</v>
      </c>
      <c r="AO31" s="6">
        <v>1</v>
      </c>
      <c r="AP31" s="6">
        <v>0</v>
      </c>
      <c r="AQ31" s="6">
        <v>1</v>
      </c>
      <c r="AR31" s="6">
        <v>0</v>
      </c>
      <c r="AS31" s="6">
        <v>1</v>
      </c>
      <c r="AT31" s="6">
        <v>0</v>
      </c>
      <c r="AU31" s="6">
        <v>1.99</v>
      </c>
      <c r="AV31" s="6">
        <v>1.32</v>
      </c>
      <c r="AW31" s="6">
        <v>131.29</v>
      </c>
      <c r="AX31" s="6">
        <v>28.27</v>
      </c>
      <c r="AY31" s="6">
        <v>118.64</v>
      </c>
      <c r="AZ31" s="6">
        <v>13.3</v>
      </c>
      <c r="BA31" s="6">
        <v>41.1</v>
      </c>
    </row>
    <row r="32" spans="1:53" x14ac:dyDescent="0.3">
      <c r="A32" s="6">
        <v>811642514</v>
      </c>
      <c r="B32" s="6">
        <v>660086</v>
      </c>
      <c r="C32" s="6">
        <v>6307805</v>
      </c>
      <c r="D32" s="6">
        <v>2028</v>
      </c>
      <c r="E32" s="6" t="s">
        <v>142</v>
      </c>
      <c r="F32" s="6">
        <v>54019</v>
      </c>
      <c r="G32" s="6" t="s">
        <v>164</v>
      </c>
      <c r="H32" s="10">
        <v>46012</v>
      </c>
      <c r="I32" s="10">
        <v>46012</v>
      </c>
      <c r="J32" s="4">
        <v>46012.288194444445</v>
      </c>
      <c r="K32" s="4">
        <v>46012.863819444443</v>
      </c>
      <c r="L32" s="11">
        <v>46012.936041666668</v>
      </c>
      <c r="M32" s="10">
        <v>46012</v>
      </c>
      <c r="N32" s="6" t="s">
        <v>134</v>
      </c>
      <c r="O32" t="s">
        <v>172</v>
      </c>
      <c r="P32" s="6" t="s">
        <v>93</v>
      </c>
      <c r="Q32" t="s">
        <v>95</v>
      </c>
      <c r="R32" t="s">
        <v>73</v>
      </c>
      <c r="S32" s="6">
        <v>720278</v>
      </c>
      <c r="T32" s="6" t="s">
        <v>140</v>
      </c>
      <c r="U32">
        <v>754</v>
      </c>
      <c r="V32" s="6">
        <v>-7.7</v>
      </c>
      <c r="W32" s="6">
        <v>23.9</v>
      </c>
      <c r="X32" s="6">
        <v>754.1</v>
      </c>
      <c r="Y32" s="6">
        <v>778</v>
      </c>
      <c r="Z32" s="6" t="s">
        <v>2</v>
      </c>
      <c r="AA32" t="s">
        <v>191</v>
      </c>
      <c r="AB32" s="6" t="s">
        <v>97</v>
      </c>
      <c r="AC32" t="s">
        <v>91</v>
      </c>
      <c r="AD32" t="s">
        <v>192</v>
      </c>
      <c r="AE32">
        <v>104</v>
      </c>
      <c r="AF32">
        <v>0</v>
      </c>
      <c r="AG32">
        <v>0</v>
      </c>
      <c r="AH32" s="6">
        <v>59.6</v>
      </c>
      <c r="AI32" s="6">
        <v>0</v>
      </c>
      <c r="AJ32" s="6">
        <v>0.69499999999999995</v>
      </c>
      <c r="AK32" s="6">
        <v>0.82299999999999995</v>
      </c>
      <c r="AL32" s="8">
        <v>16146.9</v>
      </c>
      <c r="AM32" s="6" t="s">
        <v>114</v>
      </c>
      <c r="AN32" s="6">
        <v>1</v>
      </c>
      <c r="AO32" s="6">
        <v>0</v>
      </c>
      <c r="AP32" s="6">
        <v>1</v>
      </c>
      <c r="AQ32" s="6">
        <v>0</v>
      </c>
      <c r="AR32" s="6">
        <v>1</v>
      </c>
      <c r="AS32" s="6">
        <v>0</v>
      </c>
      <c r="AT32" s="6">
        <v>1</v>
      </c>
      <c r="AU32" s="6">
        <v>2.2400000000000002</v>
      </c>
      <c r="AV32" s="6">
        <v>1.54</v>
      </c>
      <c r="AW32" s="6">
        <v>639.39</v>
      </c>
      <c r="AX32" s="6">
        <v>167.85</v>
      </c>
      <c r="AY32" s="6">
        <v>505.79</v>
      </c>
      <c r="AZ32" s="6">
        <v>15.8</v>
      </c>
      <c r="BA32" s="6">
        <v>14.4</v>
      </c>
    </row>
    <row r="33" spans="1:53" x14ac:dyDescent="0.3">
      <c r="A33" s="6">
        <v>327746886</v>
      </c>
      <c r="B33" s="6">
        <v>581141</v>
      </c>
      <c r="C33" s="6">
        <v>2936571</v>
      </c>
      <c r="D33" s="6">
        <v>6592</v>
      </c>
      <c r="E33" s="6" t="s">
        <v>57</v>
      </c>
      <c r="F33" s="6">
        <v>53138</v>
      </c>
      <c r="G33" s="6" t="s">
        <v>115</v>
      </c>
      <c r="H33" s="10">
        <v>45671</v>
      </c>
      <c r="I33" s="10">
        <v>45671</v>
      </c>
      <c r="J33" s="4">
        <v>45671.489583333336</v>
      </c>
      <c r="K33" s="4">
        <v>45671.761412037034</v>
      </c>
      <c r="L33" s="11">
        <v>45671.752384259256</v>
      </c>
      <c r="M33" s="10">
        <v>45671</v>
      </c>
      <c r="N33" s="6" t="s">
        <v>170</v>
      </c>
      <c r="O33" t="s">
        <v>189</v>
      </c>
      <c r="P33" s="6" t="s">
        <v>109</v>
      </c>
      <c r="Q33" t="s">
        <v>193</v>
      </c>
      <c r="R33" t="s">
        <v>88</v>
      </c>
      <c r="S33" s="6">
        <v>712358</v>
      </c>
      <c r="T33" s="6" t="s">
        <v>111</v>
      </c>
      <c r="U33">
        <v>404</v>
      </c>
      <c r="V33" s="6">
        <v>10.199999999999999</v>
      </c>
      <c r="W33" s="6">
        <v>20.9</v>
      </c>
      <c r="X33" s="6">
        <v>405.5</v>
      </c>
      <c r="Y33" s="6">
        <v>436.6</v>
      </c>
      <c r="Z33" s="6" t="s">
        <v>63</v>
      </c>
      <c r="AA33" t="s">
        <v>194</v>
      </c>
      <c r="AB33" s="6" t="s">
        <v>75</v>
      </c>
      <c r="AC33" t="s">
        <v>66</v>
      </c>
      <c r="AD33" t="s">
        <v>67</v>
      </c>
      <c r="AE33">
        <v>-13</v>
      </c>
      <c r="AF33">
        <v>0</v>
      </c>
      <c r="AG33">
        <v>0</v>
      </c>
      <c r="AH33" s="6">
        <v>30.5</v>
      </c>
      <c r="AI33" s="6">
        <v>0</v>
      </c>
      <c r="AJ33" s="6">
        <v>0.49399999999999999</v>
      </c>
      <c r="AK33" s="6">
        <v>0.46899999999999997</v>
      </c>
      <c r="AL33" s="8">
        <v>20598.45</v>
      </c>
      <c r="AM33" s="6" t="s">
        <v>114</v>
      </c>
      <c r="AN33" s="6">
        <v>1</v>
      </c>
      <c r="AO33" s="6">
        <v>1</v>
      </c>
      <c r="AP33" s="6">
        <v>0</v>
      </c>
      <c r="AQ33" s="6">
        <v>1</v>
      </c>
      <c r="AR33" s="6">
        <v>0</v>
      </c>
      <c r="AS33" s="6">
        <v>1</v>
      </c>
      <c r="AT33" s="6">
        <v>0</v>
      </c>
      <c r="AU33" s="6">
        <v>2.06</v>
      </c>
      <c r="AV33" s="6">
        <v>1.33</v>
      </c>
      <c r="AW33" s="6">
        <v>363.51</v>
      </c>
      <c r="AX33" s="6">
        <v>50.89</v>
      </c>
      <c r="AY33" s="6">
        <v>268.3</v>
      </c>
      <c r="AZ33" s="6">
        <v>27</v>
      </c>
      <c r="BA33" s="6">
        <v>51.7</v>
      </c>
    </row>
    <row r="34" spans="1:53" x14ac:dyDescent="0.3">
      <c r="A34" s="6">
        <v>789024924</v>
      </c>
      <c r="B34" s="6">
        <v>518373</v>
      </c>
      <c r="C34" s="6">
        <v>7812810</v>
      </c>
      <c r="D34" s="6">
        <v>2045</v>
      </c>
      <c r="E34" s="6" t="s">
        <v>106</v>
      </c>
      <c r="F34" s="6">
        <v>59840</v>
      </c>
      <c r="G34" s="6" t="s">
        <v>149</v>
      </c>
      <c r="H34" s="10">
        <v>45762</v>
      </c>
      <c r="I34" s="10">
        <v>45762</v>
      </c>
      <c r="J34" s="4">
        <v>45762.114583333336</v>
      </c>
      <c r="K34" s="4">
        <v>45762.332175925927</v>
      </c>
      <c r="L34" s="11">
        <v>45762.321759259263</v>
      </c>
      <c r="M34" s="10">
        <v>45762</v>
      </c>
      <c r="N34" s="6" t="s">
        <v>121</v>
      </c>
      <c r="O34" t="s">
        <v>195</v>
      </c>
      <c r="P34" s="6" t="s">
        <v>150</v>
      </c>
      <c r="Q34" t="s">
        <v>196</v>
      </c>
      <c r="R34" t="s">
        <v>73</v>
      </c>
      <c r="S34" s="6">
        <v>704946</v>
      </c>
      <c r="T34" s="6" t="s">
        <v>1</v>
      </c>
      <c r="U34">
        <v>151</v>
      </c>
      <c r="V34" s="6">
        <v>18.899999999999999</v>
      </c>
      <c r="W34" s="6">
        <v>32.9</v>
      </c>
      <c r="X34" s="6">
        <v>151</v>
      </c>
      <c r="Y34" s="6">
        <v>202.8</v>
      </c>
      <c r="Z34" s="6" t="s">
        <v>63</v>
      </c>
      <c r="AA34" t="s">
        <v>197</v>
      </c>
      <c r="AB34" s="6" t="s">
        <v>82</v>
      </c>
      <c r="AC34" t="s">
        <v>66</v>
      </c>
      <c r="AD34" t="s">
        <v>67</v>
      </c>
      <c r="AE34">
        <v>-15</v>
      </c>
      <c r="AF34">
        <v>0</v>
      </c>
      <c r="AG34">
        <v>0</v>
      </c>
      <c r="AH34" s="6">
        <v>51.8</v>
      </c>
      <c r="AI34" s="6">
        <v>0</v>
      </c>
      <c r="AJ34" s="6">
        <v>0.65600000000000003</v>
      </c>
      <c r="AK34" s="6">
        <v>0.40899999999999997</v>
      </c>
      <c r="AL34" s="8">
        <v>1964.01</v>
      </c>
      <c r="AM34" s="6" t="s">
        <v>68</v>
      </c>
      <c r="AN34" s="6">
        <v>1</v>
      </c>
      <c r="AO34" s="6">
        <v>1</v>
      </c>
      <c r="AP34" s="6">
        <v>0</v>
      </c>
      <c r="AQ34" s="6">
        <v>1</v>
      </c>
      <c r="AR34" s="6">
        <v>0</v>
      </c>
      <c r="AS34" s="6">
        <v>1</v>
      </c>
      <c r="AT34" s="6">
        <v>0</v>
      </c>
      <c r="AU34" s="6">
        <v>2.19</v>
      </c>
      <c r="AV34" s="6">
        <v>1.6</v>
      </c>
      <c r="AW34" s="6">
        <v>172.03</v>
      </c>
      <c r="AX34" s="6">
        <v>24.18</v>
      </c>
      <c r="AY34" s="6">
        <v>134.65</v>
      </c>
      <c r="AZ34" s="6">
        <v>21.7</v>
      </c>
      <c r="BA34" s="6">
        <v>3.7</v>
      </c>
    </row>
    <row r="35" spans="1:53" x14ac:dyDescent="0.3">
      <c r="A35" s="6">
        <v>786650291</v>
      </c>
      <c r="B35" s="6">
        <v>946335</v>
      </c>
      <c r="C35" s="6">
        <v>1247595</v>
      </c>
      <c r="D35" s="6">
        <v>6675</v>
      </c>
      <c r="E35" s="6" t="s">
        <v>84</v>
      </c>
      <c r="F35" s="6">
        <v>50671</v>
      </c>
      <c r="G35" s="6" t="s">
        <v>175</v>
      </c>
      <c r="H35" s="10">
        <v>45729</v>
      </c>
      <c r="I35" s="10">
        <v>45729</v>
      </c>
      <c r="J35" s="4">
        <v>45729.694444444445</v>
      </c>
      <c r="K35" s="4">
        <v>45730.040173611109</v>
      </c>
      <c r="L35" s="11">
        <v>45730.03392361111</v>
      </c>
      <c r="M35" s="10">
        <v>45730</v>
      </c>
      <c r="N35" s="6" t="s">
        <v>134</v>
      </c>
      <c r="O35" t="s">
        <v>172</v>
      </c>
      <c r="P35" s="6" t="s">
        <v>109</v>
      </c>
      <c r="Q35" t="s">
        <v>198</v>
      </c>
      <c r="R35" t="s">
        <v>88</v>
      </c>
      <c r="S35" s="6">
        <v>760341</v>
      </c>
      <c r="T35" s="6" t="s">
        <v>111</v>
      </c>
      <c r="U35">
        <v>352</v>
      </c>
      <c r="V35" s="6">
        <v>18.600000000000001</v>
      </c>
      <c r="W35" s="6">
        <v>27.4</v>
      </c>
      <c r="X35" s="6">
        <v>352.1</v>
      </c>
      <c r="Y35" s="6">
        <v>398.1</v>
      </c>
      <c r="Z35" s="6" t="s">
        <v>63</v>
      </c>
      <c r="AA35" t="s">
        <v>199</v>
      </c>
      <c r="AB35" s="6" t="s">
        <v>90</v>
      </c>
      <c r="AC35" t="s">
        <v>137</v>
      </c>
      <c r="AD35" t="s">
        <v>67</v>
      </c>
      <c r="AE35">
        <v>-9</v>
      </c>
      <c r="AF35">
        <v>43</v>
      </c>
      <c r="AG35">
        <v>0</v>
      </c>
      <c r="AH35" s="6">
        <v>67.2</v>
      </c>
      <c r="AI35" s="6">
        <v>0</v>
      </c>
      <c r="AJ35" s="6">
        <v>0.69199999999999995</v>
      </c>
      <c r="AK35" s="6">
        <v>0.98899999999999999</v>
      </c>
      <c r="AL35" s="8">
        <v>20218.98</v>
      </c>
      <c r="AM35" s="6" t="s">
        <v>114</v>
      </c>
      <c r="AN35" s="6">
        <v>1</v>
      </c>
      <c r="AO35" s="6">
        <v>1</v>
      </c>
      <c r="AP35" s="6">
        <v>0</v>
      </c>
      <c r="AQ35" s="6">
        <v>1</v>
      </c>
      <c r="AR35" s="6">
        <v>0</v>
      </c>
      <c r="AS35" s="6">
        <v>1</v>
      </c>
      <c r="AT35" s="6">
        <v>0</v>
      </c>
      <c r="AU35" s="6">
        <v>1.98</v>
      </c>
      <c r="AV35" s="6">
        <v>1.2</v>
      </c>
      <c r="AW35" s="6">
        <v>353.7</v>
      </c>
      <c r="AX35" s="6">
        <v>53.02</v>
      </c>
      <c r="AY35" s="6">
        <v>246.84</v>
      </c>
      <c r="AZ35" s="6">
        <v>32.6</v>
      </c>
      <c r="BA35" s="6">
        <v>7.9</v>
      </c>
    </row>
    <row r="36" spans="1:53" x14ac:dyDescent="0.3">
      <c r="A36" s="6">
        <v>741180590</v>
      </c>
      <c r="B36" s="6">
        <v>724834</v>
      </c>
      <c r="C36" s="6">
        <v>1701771</v>
      </c>
      <c r="D36" s="6">
        <v>6249</v>
      </c>
      <c r="E36" s="6" t="s">
        <v>142</v>
      </c>
      <c r="F36" s="6">
        <v>50777</v>
      </c>
      <c r="G36" s="6" t="s">
        <v>115</v>
      </c>
      <c r="H36" s="10">
        <v>45662</v>
      </c>
      <c r="I36" s="10">
        <v>45662</v>
      </c>
      <c r="J36" s="4">
        <v>45662.402777777781</v>
      </c>
      <c r="K36" s="4">
        <v>45662.7893287037</v>
      </c>
      <c r="L36" s="11">
        <v>45662.817800925928</v>
      </c>
      <c r="M36" s="10">
        <v>45662</v>
      </c>
      <c r="N36" s="6" t="s">
        <v>200</v>
      </c>
      <c r="O36" t="s">
        <v>201</v>
      </c>
      <c r="P36" s="6" t="s">
        <v>121</v>
      </c>
      <c r="Q36" t="s">
        <v>122</v>
      </c>
      <c r="R36" t="s">
        <v>123</v>
      </c>
      <c r="S36" s="6">
        <v>746616</v>
      </c>
      <c r="T36" s="6" t="s">
        <v>140</v>
      </c>
      <c r="U36">
        <v>576</v>
      </c>
      <c r="V36" s="6">
        <v>34.700000000000003</v>
      </c>
      <c r="W36" s="6">
        <v>4.9000000000000004</v>
      </c>
      <c r="X36" s="6">
        <v>574.1</v>
      </c>
      <c r="Y36" s="6">
        <v>613.70000000000005</v>
      </c>
      <c r="Z36" s="6" t="s">
        <v>2</v>
      </c>
      <c r="AA36" t="s">
        <v>202</v>
      </c>
      <c r="AB36" s="6" t="s">
        <v>97</v>
      </c>
      <c r="AC36" t="s">
        <v>91</v>
      </c>
      <c r="AD36" t="s">
        <v>192</v>
      </c>
      <c r="AE36">
        <v>41</v>
      </c>
      <c r="AF36">
        <v>0</v>
      </c>
      <c r="AG36">
        <v>0.8</v>
      </c>
      <c r="AH36" s="6">
        <v>89.2</v>
      </c>
      <c r="AI36" s="6">
        <v>0</v>
      </c>
      <c r="AJ36" s="6">
        <v>0.69399999999999995</v>
      </c>
      <c r="AK36" s="6">
        <v>0.54500000000000004</v>
      </c>
      <c r="AL36" s="8">
        <v>5481.45</v>
      </c>
      <c r="AM36" s="6" t="s">
        <v>68</v>
      </c>
      <c r="AN36" s="6">
        <v>1</v>
      </c>
      <c r="AO36" s="6">
        <v>0</v>
      </c>
      <c r="AP36" s="6">
        <v>1</v>
      </c>
      <c r="AQ36" s="6">
        <v>0</v>
      </c>
      <c r="AR36" s="6">
        <v>1</v>
      </c>
      <c r="AS36" s="6">
        <v>0</v>
      </c>
      <c r="AT36" s="6">
        <v>1</v>
      </c>
      <c r="AU36" s="6">
        <v>2.73</v>
      </c>
      <c r="AV36" s="6">
        <v>2.11</v>
      </c>
      <c r="AW36" s="6">
        <v>501.07</v>
      </c>
      <c r="AX36" s="6">
        <v>95.8</v>
      </c>
      <c r="AY36" s="6">
        <v>371.17</v>
      </c>
      <c r="AZ36" s="6">
        <v>4.4000000000000004</v>
      </c>
      <c r="BA36" s="6">
        <v>4.7</v>
      </c>
    </row>
    <row r="37" spans="1:53" x14ac:dyDescent="0.3">
      <c r="A37" s="6">
        <v>122932394</v>
      </c>
      <c r="B37" s="6">
        <v>220116</v>
      </c>
      <c r="C37" s="6">
        <v>6933742</v>
      </c>
      <c r="D37" s="6">
        <v>5218</v>
      </c>
      <c r="E37" s="6" t="s">
        <v>57</v>
      </c>
      <c r="F37" s="6">
        <v>54927</v>
      </c>
      <c r="G37" s="6" t="s">
        <v>203</v>
      </c>
      <c r="H37" s="10">
        <v>45746</v>
      </c>
      <c r="I37" s="10">
        <v>45746</v>
      </c>
      <c r="J37" s="4">
        <v>45746.326388888891</v>
      </c>
      <c r="K37" s="4">
        <v>45746.583784722221</v>
      </c>
      <c r="L37" s="11">
        <v>45746.924062500002</v>
      </c>
      <c r="M37" s="10">
        <v>45746</v>
      </c>
      <c r="N37" s="6" t="s">
        <v>78</v>
      </c>
      <c r="O37" t="s">
        <v>79</v>
      </c>
      <c r="P37" s="6" t="s">
        <v>103</v>
      </c>
      <c r="Q37" t="s">
        <v>204</v>
      </c>
      <c r="R37" t="s">
        <v>73</v>
      </c>
      <c r="S37" s="6">
        <v>720461</v>
      </c>
      <c r="T37" s="6" t="s">
        <v>1</v>
      </c>
      <c r="U37">
        <v>259</v>
      </c>
      <c r="V37" s="6">
        <v>7.9</v>
      </c>
      <c r="W37" s="6">
        <v>20.100000000000001</v>
      </c>
      <c r="X37" s="6">
        <v>272.5</v>
      </c>
      <c r="Y37" s="6">
        <v>300.5</v>
      </c>
      <c r="Z37" s="6" t="s">
        <v>63</v>
      </c>
      <c r="AA37" t="s">
        <v>205</v>
      </c>
      <c r="AB37" s="6" t="s">
        <v>97</v>
      </c>
      <c r="AC37" t="s">
        <v>91</v>
      </c>
      <c r="AD37" t="s">
        <v>206</v>
      </c>
      <c r="AE37">
        <v>490</v>
      </c>
      <c r="AF37">
        <v>253</v>
      </c>
      <c r="AG37">
        <v>0</v>
      </c>
      <c r="AH37" s="6">
        <v>32.299999999999997</v>
      </c>
      <c r="AI37" s="6">
        <v>0</v>
      </c>
      <c r="AJ37" s="6">
        <v>0.65500000000000003</v>
      </c>
      <c r="AK37" s="6">
        <v>0.70899999999999996</v>
      </c>
      <c r="AL37" s="8">
        <v>1464.28</v>
      </c>
      <c r="AM37" s="6" t="s">
        <v>68</v>
      </c>
      <c r="AN37" s="6">
        <v>1</v>
      </c>
      <c r="AO37" s="6">
        <v>0</v>
      </c>
      <c r="AP37" s="6">
        <v>1</v>
      </c>
      <c r="AQ37" s="6">
        <v>0</v>
      </c>
      <c r="AR37" s="6">
        <v>1</v>
      </c>
      <c r="AS37" s="6">
        <v>0</v>
      </c>
      <c r="AT37" s="6">
        <v>1</v>
      </c>
      <c r="AU37" s="6">
        <v>2</v>
      </c>
      <c r="AV37" s="6">
        <v>1.37</v>
      </c>
      <c r="AW37" s="6">
        <v>230.64</v>
      </c>
      <c r="AX37" s="6">
        <v>36.58</v>
      </c>
      <c r="AY37" s="6">
        <v>153.97999999999999</v>
      </c>
      <c r="AZ37" s="6">
        <v>31.9</v>
      </c>
      <c r="BA37" s="6">
        <v>31.5</v>
      </c>
    </row>
    <row r="38" spans="1:53" x14ac:dyDescent="0.3">
      <c r="A38" s="6">
        <v>154308262</v>
      </c>
      <c r="B38" s="6">
        <v>883300</v>
      </c>
      <c r="C38" s="6">
        <v>9479356</v>
      </c>
      <c r="D38" s="6">
        <v>5413</v>
      </c>
      <c r="E38" s="6" t="s">
        <v>84</v>
      </c>
      <c r="F38" s="6">
        <v>53022</v>
      </c>
      <c r="G38" s="6" t="s">
        <v>207</v>
      </c>
      <c r="H38" s="10">
        <v>45905</v>
      </c>
      <c r="I38" s="10">
        <v>45905</v>
      </c>
      <c r="J38" s="4">
        <v>45905.336805555555</v>
      </c>
      <c r="K38" s="4">
        <v>45905.537662037037</v>
      </c>
      <c r="L38" s="11">
        <v>45905.520300925928</v>
      </c>
      <c r="M38" s="10">
        <v>45905</v>
      </c>
      <c r="N38" s="6" t="s">
        <v>150</v>
      </c>
      <c r="O38" t="s">
        <v>196</v>
      </c>
      <c r="P38" s="6" t="s">
        <v>109</v>
      </c>
      <c r="Q38" t="s">
        <v>193</v>
      </c>
      <c r="R38" t="s">
        <v>88</v>
      </c>
      <c r="S38" s="6">
        <v>718141</v>
      </c>
      <c r="T38" s="6" t="s">
        <v>1</v>
      </c>
      <c r="U38">
        <v>270</v>
      </c>
      <c r="V38" s="6">
        <v>3</v>
      </c>
      <c r="W38" s="6">
        <v>49.1</v>
      </c>
      <c r="X38" s="6">
        <v>271.5</v>
      </c>
      <c r="Y38" s="6">
        <v>323.60000000000002</v>
      </c>
      <c r="Z38" s="6" t="s">
        <v>63</v>
      </c>
      <c r="AA38" t="s">
        <v>208</v>
      </c>
      <c r="AB38" s="6" t="s">
        <v>97</v>
      </c>
      <c r="AC38" t="s">
        <v>154</v>
      </c>
      <c r="AD38" t="s">
        <v>67</v>
      </c>
      <c r="AE38">
        <v>-25</v>
      </c>
      <c r="AF38">
        <v>0</v>
      </c>
      <c r="AG38">
        <v>0</v>
      </c>
      <c r="AH38" s="6">
        <v>49.9</v>
      </c>
      <c r="AI38" s="6">
        <v>0</v>
      </c>
      <c r="AJ38" s="6">
        <v>0.70399999999999996</v>
      </c>
      <c r="AK38" s="6">
        <v>0.60899999999999999</v>
      </c>
      <c r="AL38" s="8">
        <v>58446.66</v>
      </c>
      <c r="AM38" s="6" t="s">
        <v>155</v>
      </c>
      <c r="AN38" s="6">
        <v>1</v>
      </c>
      <c r="AO38" s="6">
        <v>1</v>
      </c>
      <c r="AP38" s="6">
        <v>0</v>
      </c>
      <c r="AQ38" s="6">
        <v>1</v>
      </c>
      <c r="AR38" s="6">
        <v>0</v>
      </c>
      <c r="AS38" s="6">
        <v>1</v>
      </c>
      <c r="AT38" s="6">
        <v>0</v>
      </c>
      <c r="AU38" s="6">
        <v>2.08</v>
      </c>
      <c r="AV38" s="6">
        <v>1.47</v>
      </c>
      <c r="AW38" s="6">
        <v>283.56</v>
      </c>
      <c r="AX38" s="6">
        <v>45.57</v>
      </c>
      <c r="AY38" s="6">
        <v>191.97</v>
      </c>
      <c r="AZ38" s="6">
        <v>29.3</v>
      </c>
      <c r="BA38" s="6">
        <v>20.6</v>
      </c>
    </row>
    <row r="39" spans="1:53" x14ac:dyDescent="0.3">
      <c r="A39" s="6">
        <v>944814262</v>
      </c>
      <c r="B39" s="6">
        <v>198246</v>
      </c>
      <c r="C39" s="6">
        <v>9626108</v>
      </c>
      <c r="D39" s="6">
        <v>5555</v>
      </c>
      <c r="E39" s="6" t="s">
        <v>57</v>
      </c>
      <c r="F39" s="6">
        <v>51860</v>
      </c>
      <c r="G39" s="6" t="s">
        <v>149</v>
      </c>
      <c r="H39" s="10">
        <v>45742</v>
      </c>
      <c r="I39" s="10">
        <v>45742</v>
      </c>
      <c r="J39" s="4">
        <v>45742.881944444445</v>
      </c>
      <c r="K39" s="4">
        <v>45743.252638888887</v>
      </c>
      <c r="L39" s="11">
        <v>45743.22347222222</v>
      </c>
      <c r="M39" s="10">
        <v>45743</v>
      </c>
      <c r="N39" s="6" t="s">
        <v>129</v>
      </c>
      <c r="O39" t="s">
        <v>156</v>
      </c>
      <c r="P39" s="6" t="s">
        <v>150</v>
      </c>
      <c r="Q39" t="s">
        <v>196</v>
      </c>
      <c r="R39" t="s">
        <v>73</v>
      </c>
      <c r="S39" s="6">
        <v>734732</v>
      </c>
      <c r="T39" s="6" t="s">
        <v>111</v>
      </c>
      <c r="U39">
        <v>396</v>
      </c>
      <c r="V39" s="6">
        <v>23.7</v>
      </c>
      <c r="W39" s="6">
        <v>19.2</v>
      </c>
      <c r="X39" s="6">
        <v>396.7</v>
      </c>
      <c r="Y39" s="6">
        <v>439.6</v>
      </c>
      <c r="Z39" s="6" t="s">
        <v>80</v>
      </c>
      <c r="AA39" t="s">
        <v>209</v>
      </c>
      <c r="AB39" s="6" t="s">
        <v>65</v>
      </c>
      <c r="AC39" t="s">
        <v>125</v>
      </c>
      <c r="AD39" t="s">
        <v>67</v>
      </c>
      <c r="AE39">
        <v>-42</v>
      </c>
      <c r="AF39">
        <v>0</v>
      </c>
      <c r="AG39">
        <v>0</v>
      </c>
      <c r="AH39" s="6">
        <v>39.9</v>
      </c>
      <c r="AI39" s="6">
        <v>0</v>
      </c>
      <c r="AJ39" s="6">
        <v>0.72699999999999998</v>
      </c>
      <c r="AK39" s="6">
        <v>0.70099999999999996</v>
      </c>
      <c r="AL39" s="8">
        <v>12980.78</v>
      </c>
      <c r="AM39" s="6" t="s">
        <v>114</v>
      </c>
      <c r="AN39" s="6">
        <v>1</v>
      </c>
      <c r="AO39" s="6">
        <v>1</v>
      </c>
      <c r="AP39" s="6">
        <v>0</v>
      </c>
      <c r="AQ39" s="6">
        <v>1</v>
      </c>
      <c r="AR39" s="6">
        <v>0</v>
      </c>
      <c r="AS39" s="6">
        <v>1</v>
      </c>
      <c r="AT39" s="6">
        <v>0</v>
      </c>
      <c r="AU39" s="6">
        <v>2.2599999999999998</v>
      </c>
      <c r="AV39" s="6">
        <v>1.62</v>
      </c>
      <c r="AW39" s="6">
        <v>391.22</v>
      </c>
      <c r="AX39" s="6">
        <v>49.43</v>
      </c>
      <c r="AY39" s="6">
        <v>267.79000000000002</v>
      </c>
      <c r="AZ39" s="6">
        <v>11.5</v>
      </c>
      <c r="BA39" s="6">
        <v>8.6999999999999993</v>
      </c>
    </row>
    <row r="40" spans="1:53" x14ac:dyDescent="0.3">
      <c r="A40" s="6">
        <v>458102728</v>
      </c>
      <c r="B40" s="6">
        <v>724834</v>
      </c>
      <c r="C40" s="6">
        <v>1701771</v>
      </c>
      <c r="D40" s="6">
        <v>6249</v>
      </c>
      <c r="E40" s="6" t="s">
        <v>142</v>
      </c>
      <c r="F40" s="6">
        <v>53139</v>
      </c>
      <c r="G40" s="6" t="s">
        <v>107</v>
      </c>
      <c r="H40" s="10">
        <v>45843</v>
      </c>
      <c r="I40" s="10">
        <v>45843</v>
      </c>
      <c r="J40" s="4">
        <v>45843.489583333336</v>
      </c>
      <c r="K40" s="4">
        <v>45843.714097222219</v>
      </c>
      <c r="L40" s="11">
        <v>45843.698819444442</v>
      </c>
      <c r="M40" s="10">
        <v>45843</v>
      </c>
      <c r="N40" s="6" t="s">
        <v>86</v>
      </c>
      <c r="O40" t="s">
        <v>108</v>
      </c>
      <c r="P40" s="6" t="s">
        <v>109</v>
      </c>
      <c r="Q40" t="s">
        <v>118</v>
      </c>
      <c r="R40" t="s">
        <v>88</v>
      </c>
      <c r="S40" s="6">
        <v>795199</v>
      </c>
      <c r="T40" s="6" t="s">
        <v>1</v>
      </c>
      <c r="U40">
        <v>258</v>
      </c>
      <c r="V40" s="6">
        <v>15</v>
      </c>
      <c r="W40" s="6">
        <v>35.6</v>
      </c>
      <c r="X40" s="6">
        <v>263.60000000000002</v>
      </c>
      <c r="Y40" s="6">
        <v>314.2</v>
      </c>
      <c r="Z40" s="6" t="s">
        <v>2</v>
      </c>
      <c r="AA40" t="s">
        <v>210</v>
      </c>
      <c r="AB40" s="6" t="s">
        <v>75</v>
      </c>
      <c r="AC40" t="s">
        <v>76</v>
      </c>
      <c r="AD40" t="s">
        <v>67</v>
      </c>
      <c r="AE40">
        <v>-22</v>
      </c>
      <c r="AF40">
        <v>55</v>
      </c>
      <c r="AG40">
        <v>0</v>
      </c>
      <c r="AH40" s="6">
        <v>45.3</v>
      </c>
      <c r="AI40" s="6">
        <v>0</v>
      </c>
      <c r="AJ40" s="6">
        <v>0.438</v>
      </c>
      <c r="AK40" s="6">
        <v>0.78500000000000003</v>
      </c>
      <c r="AL40" s="8">
        <v>1457.01</v>
      </c>
      <c r="AM40" s="6" t="s">
        <v>68</v>
      </c>
      <c r="AN40" s="6">
        <v>1</v>
      </c>
      <c r="AO40" s="6">
        <v>1</v>
      </c>
      <c r="AP40" s="6">
        <v>0</v>
      </c>
      <c r="AQ40" s="6">
        <v>1</v>
      </c>
      <c r="AR40" s="6">
        <v>0</v>
      </c>
      <c r="AS40" s="6">
        <v>1</v>
      </c>
      <c r="AT40" s="6">
        <v>0</v>
      </c>
      <c r="AU40" s="6">
        <v>2.4500000000000002</v>
      </c>
      <c r="AV40" s="6">
        <v>1.45</v>
      </c>
      <c r="AW40" s="6">
        <v>268.49</v>
      </c>
      <c r="AX40" s="6">
        <v>47.63</v>
      </c>
      <c r="AY40" s="6">
        <v>197.91</v>
      </c>
      <c r="AZ40" s="6">
        <v>4.4000000000000004</v>
      </c>
      <c r="BA40" s="6">
        <v>19</v>
      </c>
    </row>
    <row r="41" spans="1:53" x14ac:dyDescent="0.3">
      <c r="A41" s="6">
        <v>361530104</v>
      </c>
      <c r="B41" s="6">
        <v>719176</v>
      </c>
      <c r="C41" s="6">
        <v>2130789</v>
      </c>
      <c r="D41" s="6">
        <v>6311</v>
      </c>
      <c r="E41" s="6" t="s">
        <v>211</v>
      </c>
      <c r="F41" s="6">
        <v>51074</v>
      </c>
      <c r="G41" s="6" t="s">
        <v>146</v>
      </c>
      <c r="H41" s="10">
        <v>45982</v>
      </c>
      <c r="I41" s="10">
        <v>45982</v>
      </c>
      <c r="J41" s="4">
        <v>45982.423611111109</v>
      </c>
      <c r="K41" s="4">
        <v>45982.61818287037</v>
      </c>
      <c r="L41" s="11">
        <v>45982.612627314818</v>
      </c>
      <c r="M41" s="10">
        <v>45982</v>
      </c>
      <c r="N41" s="6" t="s">
        <v>116</v>
      </c>
      <c r="O41" t="s">
        <v>128</v>
      </c>
      <c r="P41" s="6" t="s">
        <v>116</v>
      </c>
      <c r="Q41" t="s">
        <v>212</v>
      </c>
      <c r="R41" t="s">
        <v>123</v>
      </c>
      <c r="S41" s="6">
        <v>748114</v>
      </c>
      <c r="T41" s="6" t="s">
        <v>1</v>
      </c>
      <c r="U41">
        <v>263</v>
      </c>
      <c r="V41" s="6">
        <v>28.1</v>
      </c>
      <c r="W41" s="6">
        <v>16</v>
      </c>
      <c r="X41" s="6">
        <v>259.60000000000002</v>
      </c>
      <c r="Y41" s="6">
        <v>303.7</v>
      </c>
      <c r="Z41" s="6" t="s">
        <v>63</v>
      </c>
      <c r="AA41" t="s">
        <v>213</v>
      </c>
      <c r="AB41" s="6" t="s">
        <v>75</v>
      </c>
      <c r="AC41" t="s">
        <v>154</v>
      </c>
      <c r="AD41" t="s">
        <v>67</v>
      </c>
      <c r="AE41">
        <v>-8</v>
      </c>
      <c r="AF41">
        <v>0</v>
      </c>
      <c r="AG41">
        <v>0</v>
      </c>
      <c r="AH41" s="6">
        <v>76.3</v>
      </c>
      <c r="AI41" s="6">
        <v>0</v>
      </c>
      <c r="AJ41" s="6">
        <v>0.67600000000000005</v>
      </c>
      <c r="AK41" s="6">
        <v>0.67</v>
      </c>
      <c r="AL41" s="8">
        <v>3681.84</v>
      </c>
      <c r="AM41" s="6" t="s">
        <v>68</v>
      </c>
      <c r="AN41" s="6">
        <v>1</v>
      </c>
      <c r="AO41" s="6">
        <v>1</v>
      </c>
      <c r="AP41" s="6">
        <v>0</v>
      </c>
      <c r="AQ41" s="6">
        <v>1</v>
      </c>
      <c r="AR41" s="6">
        <v>0</v>
      </c>
      <c r="AS41" s="6">
        <v>1</v>
      </c>
      <c r="AT41" s="6">
        <v>0</v>
      </c>
      <c r="AU41" s="6">
        <v>2.2400000000000002</v>
      </c>
      <c r="AV41" s="6">
        <v>1.67</v>
      </c>
      <c r="AW41" s="6">
        <v>274.16000000000003</v>
      </c>
      <c r="AX41" s="6">
        <v>60.53</v>
      </c>
      <c r="AY41" s="6">
        <v>179.01</v>
      </c>
      <c r="AZ41" s="6">
        <v>17</v>
      </c>
      <c r="BA41" s="6">
        <v>47.9</v>
      </c>
    </row>
    <row r="42" spans="1:53" x14ac:dyDescent="0.3">
      <c r="A42" s="6">
        <v>235209737</v>
      </c>
      <c r="B42" s="6">
        <v>358607</v>
      </c>
      <c r="C42" s="6">
        <v>5727085</v>
      </c>
      <c r="D42" s="6">
        <v>6864</v>
      </c>
      <c r="E42" s="6" t="s">
        <v>84</v>
      </c>
      <c r="F42" s="6">
        <v>59908</v>
      </c>
      <c r="G42" s="6" t="s">
        <v>175</v>
      </c>
      <c r="H42" s="10">
        <v>45911</v>
      </c>
      <c r="I42" s="10">
        <v>45911</v>
      </c>
      <c r="J42" s="4">
        <v>45911.447916666664</v>
      </c>
      <c r="K42" s="4">
        <v>45911.744432870371</v>
      </c>
      <c r="L42" s="11">
        <v>45911.818738425929</v>
      </c>
      <c r="M42" s="10">
        <v>45911</v>
      </c>
      <c r="N42" s="6" t="s">
        <v>129</v>
      </c>
      <c r="O42" t="s">
        <v>157</v>
      </c>
      <c r="P42" s="6" t="s">
        <v>109</v>
      </c>
      <c r="Q42" t="s">
        <v>110</v>
      </c>
      <c r="R42" t="s">
        <v>88</v>
      </c>
      <c r="S42" s="6">
        <v>776304</v>
      </c>
      <c r="T42" s="6" t="s">
        <v>111</v>
      </c>
      <c r="U42">
        <v>321</v>
      </c>
      <c r="V42" s="6">
        <v>10.3</v>
      </c>
      <c r="W42" s="6">
        <v>28.5</v>
      </c>
      <c r="X42" s="6">
        <v>313.3</v>
      </c>
      <c r="Y42" s="6">
        <v>352.1</v>
      </c>
      <c r="Z42" s="6" t="s">
        <v>63</v>
      </c>
      <c r="AA42" t="s">
        <v>214</v>
      </c>
      <c r="AB42" s="6" t="s">
        <v>75</v>
      </c>
      <c r="AC42" t="s">
        <v>137</v>
      </c>
      <c r="AD42" t="s">
        <v>192</v>
      </c>
      <c r="AE42">
        <v>107</v>
      </c>
      <c r="AF42">
        <v>0</v>
      </c>
      <c r="AG42">
        <v>0</v>
      </c>
      <c r="AH42" s="6">
        <v>55.7</v>
      </c>
      <c r="AI42" s="6">
        <v>0</v>
      </c>
      <c r="AJ42" s="6">
        <v>0.81699999999999995</v>
      </c>
      <c r="AK42" s="6">
        <v>0.60599999999999998</v>
      </c>
      <c r="AL42" s="8">
        <v>2148.69</v>
      </c>
      <c r="AM42" s="6" t="s">
        <v>68</v>
      </c>
      <c r="AN42" s="6">
        <v>1</v>
      </c>
      <c r="AO42" s="6">
        <v>0</v>
      </c>
      <c r="AP42" s="6">
        <v>1</v>
      </c>
      <c r="AQ42" s="6">
        <v>0</v>
      </c>
      <c r="AR42" s="6">
        <v>1</v>
      </c>
      <c r="AS42" s="6">
        <v>0</v>
      </c>
      <c r="AT42" s="6">
        <v>1</v>
      </c>
      <c r="AU42" s="6">
        <v>2.2200000000000002</v>
      </c>
      <c r="AV42" s="6">
        <v>1.75</v>
      </c>
      <c r="AW42" s="6">
        <v>321.76</v>
      </c>
      <c r="AX42" s="6">
        <v>60.35</v>
      </c>
      <c r="AY42" s="6">
        <v>181.4</v>
      </c>
      <c r="AZ42" s="6">
        <v>7.3</v>
      </c>
      <c r="BA42" s="6">
        <v>46</v>
      </c>
    </row>
    <row r="43" spans="1:53" x14ac:dyDescent="0.3">
      <c r="A43" s="6">
        <v>945011302</v>
      </c>
      <c r="B43" s="6">
        <v>407757</v>
      </c>
      <c r="C43" s="6">
        <v>6573147</v>
      </c>
      <c r="D43" s="6">
        <v>2930</v>
      </c>
      <c r="E43" s="6" t="s">
        <v>101</v>
      </c>
      <c r="F43" s="6">
        <v>59475</v>
      </c>
      <c r="G43" s="6" t="s">
        <v>146</v>
      </c>
      <c r="H43" s="10">
        <v>45802</v>
      </c>
      <c r="I43" s="10">
        <v>45802</v>
      </c>
      <c r="J43" s="4">
        <v>45802.520833333336</v>
      </c>
      <c r="K43" s="4">
        <v>45802.855682870373</v>
      </c>
      <c r="L43" s="11">
        <v>45802.825821759259</v>
      </c>
      <c r="M43" s="10">
        <v>45802</v>
      </c>
      <c r="N43" s="6" t="s">
        <v>116</v>
      </c>
      <c r="O43" t="s">
        <v>212</v>
      </c>
      <c r="P43" s="6" t="s">
        <v>59</v>
      </c>
      <c r="Q43" t="s">
        <v>167</v>
      </c>
      <c r="R43" t="s">
        <v>62</v>
      </c>
      <c r="S43" s="6">
        <v>732749</v>
      </c>
      <c r="T43" s="6" t="s">
        <v>111</v>
      </c>
      <c r="U43">
        <v>512</v>
      </c>
      <c r="V43" s="6">
        <v>18.600000000000001</v>
      </c>
      <c r="W43" s="6">
        <v>7.6</v>
      </c>
      <c r="X43" s="6">
        <v>517.4</v>
      </c>
      <c r="Y43" s="6">
        <v>543.6</v>
      </c>
      <c r="Z43" s="6" t="s">
        <v>215</v>
      </c>
      <c r="AA43" t="s">
        <v>216</v>
      </c>
      <c r="AB43" s="6" t="s">
        <v>75</v>
      </c>
      <c r="AC43" t="s">
        <v>91</v>
      </c>
      <c r="AD43" t="s">
        <v>67</v>
      </c>
      <c r="AE43">
        <v>-43</v>
      </c>
      <c r="AF43">
        <v>0</v>
      </c>
      <c r="AG43">
        <v>0</v>
      </c>
      <c r="AH43" s="6">
        <v>59.7</v>
      </c>
      <c r="AI43" s="6">
        <v>0</v>
      </c>
      <c r="AJ43" s="6">
        <v>0.47199999999999998</v>
      </c>
      <c r="AK43" s="6">
        <v>0.45300000000000001</v>
      </c>
      <c r="AL43" s="8">
        <v>3182.26</v>
      </c>
      <c r="AM43" s="6" t="s">
        <v>68</v>
      </c>
      <c r="AN43" s="6">
        <v>1</v>
      </c>
      <c r="AO43" s="6">
        <v>1</v>
      </c>
      <c r="AP43" s="6">
        <v>0</v>
      </c>
      <c r="AQ43" s="6">
        <v>1</v>
      </c>
      <c r="AR43" s="6">
        <v>0</v>
      </c>
      <c r="AS43" s="6">
        <v>1</v>
      </c>
      <c r="AT43" s="6">
        <v>0</v>
      </c>
      <c r="AU43" s="6">
        <v>2.4</v>
      </c>
      <c r="AV43" s="6">
        <v>1.67</v>
      </c>
      <c r="AW43" s="6">
        <v>378.02</v>
      </c>
      <c r="AX43" s="6">
        <v>107.21</v>
      </c>
      <c r="AY43" s="6">
        <v>280.54000000000002</v>
      </c>
      <c r="AZ43" s="6">
        <v>13.8</v>
      </c>
      <c r="BA43" s="6">
        <v>49.4</v>
      </c>
    </row>
    <row r="44" spans="1:53" x14ac:dyDescent="0.3">
      <c r="A44" s="6">
        <v>706210987</v>
      </c>
      <c r="B44" s="6">
        <v>733052</v>
      </c>
      <c r="C44" s="6">
        <v>2642635</v>
      </c>
      <c r="D44" s="6">
        <v>8989</v>
      </c>
      <c r="E44" s="6" t="s">
        <v>84</v>
      </c>
      <c r="F44" s="6">
        <v>56763</v>
      </c>
      <c r="G44" s="6" t="s">
        <v>146</v>
      </c>
      <c r="H44" s="10">
        <v>45793</v>
      </c>
      <c r="I44" s="10">
        <v>45793</v>
      </c>
      <c r="J44" s="4">
        <v>45793.291666666664</v>
      </c>
      <c r="K44" s="4">
        <v>45793.554745370369</v>
      </c>
      <c r="L44" s="11">
        <v>45793.522800925923</v>
      </c>
      <c r="M44" s="10">
        <v>45793</v>
      </c>
      <c r="N44" s="6" t="s">
        <v>109</v>
      </c>
      <c r="O44" t="s">
        <v>118</v>
      </c>
      <c r="P44" s="6" t="s">
        <v>93</v>
      </c>
      <c r="Q44" t="s">
        <v>217</v>
      </c>
      <c r="R44" t="s">
        <v>73</v>
      </c>
      <c r="S44" s="6">
        <v>730539</v>
      </c>
      <c r="T44" s="6" t="s">
        <v>1</v>
      </c>
      <c r="U44">
        <v>281</v>
      </c>
      <c r="V44" s="6">
        <v>66.3</v>
      </c>
      <c r="W44" s="6">
        <v>22.7</v>
      </c>
      <c r="X44" s="6">
        <v>279</v>
      </c>
      <c r="Y44" s="6">
        <v>368</v>
      </c>
      <c r="Z44" s="6" t="s">
        <v>2</v>
      </c>
      <c r="AA44" t="s">
        <v>218</v>
      </c>
      <c r="AB44" s="6" t="s">
        <v>97</v>
      </c>
      <c r="AC44" t="s">
        <v>154</v>
      </c>
      <c r="AD44" t="s">
        <v>67</v>
      </c>
      <c r="AE44">
        <v>-46</v>
      </c>
      <c r="AF44">
        <v>44</v>
      </c>
      <c r="AG44">
        <v>0</v>
      </c>
      <c r="AH44" s="6">
        <v>60.3</v>
      </c>
      <c r="AI44" s="6">
        <v>0</v>
      </c>
      <c r="AJ44" s="6">
        <v>0.57099999999999995</v>
      </c>
      <c r="AK44" s="6">
        <v>0.67800000000000005</v>
      </c>
      <c r="AL44" s="8">
        <v>4610.82</v>
      </c>
      <c r="AM44" s="6" t="s">
        <v>68</v>
      </c>
      <c r="AN44" s="6">
        <v>1</v>
      </c>
      <c r="AO44" s="6">
        <v>1</v>
      </c>
      <c r="AP44" s="6">
        <v>0</v>
      </c>
      <c r="AQ44" s="6">
        <v>1</v>
      </c>
      <c r="AR44" s="6">
        <v>0</v>
      </c>
      <c r="AS44" s="6">
        <v>1</v>
      </c>
      <c r="AT44" s="6">
        <v>0</v>
      </c>
      <c r="AU44" s="6">
        <v>2.68</v>
      </c>
      <c r="AV44" s="6">
        <v>1.78</v>
      </c>
      <c r="AW44" s="6">
        <v>248.44</v>
      </c>
      <c r="AX44" s="6">
        <v>42.79</v>
      </c>
      <c r="AY44" s="6">
        <v>240.32</v>
      </c>
      <c r="AZ44" s="6">
        <v>11.9</v>
      </c>
      <c r="BA44" s="6">
        <v>15.7</v>
      </c>
    </row>
    <row r="45" spans="1:53" x14ac:dyDescent="0.3">
      <c r="A45" s="6">
        <v>320337809</v>
      </c>
      <c r="B45" s="6">
        <v>217301</v>
      </c>
      <c r="C45" s="6">
        <v>5453786</v>
      </c>
      <c r="D45" s="6">
        <v>5548</v>
      </c>
      <c r="E45" s="6" t="s">
        <v>142</v>
      </c>
      <c r="F45" s="6">
        <v>51986</v>
      </c>
      <c r="G45" s="6" t="s">
        <v>127</v>
      </c>
      <c r="H45" s="10">
        <v>45824</v>
      </c>
      <c r="I45" s="10">
        <v>45824</v>
      </c>
      <c r="J45" s="4">
        <v>45824.625</v>
      </c>
      <c r="K45" s="4">
        <v>45824.752002314817</v>
      </c>
      <c r="L45" s="11">
        <v>45824.745752314811</v>
      </c>
      <c r="M45" s="10">
        <v>45824</v>
      </c>
      <c r="N45" s="6" t="s">
        <v>78</v>
      </c>
      <c r="O45" t="s">
        <v>219</v>
      </c>
      <c r="P45" s="6" t="s">
        <v>70</v>
      </c>
      <c r="Q45" t="s">
        <v>72</v>
      </c>
      <c r="R45" t="s">
        <v>73</v>
      </c>
      <c r="S45" s="6">
        <v>747187</v>
      </c>
      <c r="T45" s="6" t="s">
        <v>1</v>
      </c>
      <c r="U45">
        <v>148</v>
      </c>
      <c r="V45" s="6">
        <v>33.200000000000003</v>
      </c>
      <c r="W45" s="6">
        <v>27.3</v>
      </c>
      <c r="X45" s="6">
        <v>156.19999999999999</v>
      </c>
      <c r="Y45" s="6">
        <v>216.7</v>
      </c>
      <c r="Z45" s="6" t="s">
        <v>112</v>
      </c>
      <c r="AA45" t="s">
        <v>220</v>
      </c>
      <c r="AB45" s="6" t="s">
        <v>90</v>
      </c>
      <c r="AC45" t="s">
        <v>83</v>
      </c>
      <c r="AD45" t="s">
        <v>67</v>
      </c>
      <c r="AE45">
        <v>-9</v>
      </c>
      <c r="AF45">
        <v>0</v>
      </c>
      <c r="AG45">
        <v>0</v>
      </c>
      <c r="AH45" s="6">
        <v>37</v>
      </c>
      <c r="AI45" s="6">
        <v>0</v>
      </c>
      <c r="AJ45" s="6">
        <v>0.69599999999999995</v>
      </c>
      <c r="AK45" s="6">
        <v>0.59099999999999997</v>
      </c>
      <c r="AL45" s="8">
        <v>14346.79</v>
      </c>
      <c r="AM45" s="6" t="s">
        <v>114</v>
      </c>
      <c r="AN45" s="6">
        <v>1</v>
      </c>
      <c r="AO45" s="6">
        <v>1</v>
      </c>
      <c r="AP45" s="6">
        <v>0</v>
      </c>
      <c r="AQ45" s="6">
        <v>1</v>
      </c>
      <c r="AR45" s="6">
        <v>0</v>
      </c>
      <c r="AS45" s="6">
        <v>1</v>
      </c>
      <c r="AT45" s="6">
        <v>0</v>
      </c>
      <c r="AU45" s="6">
        <v>2.06</v>
      </c>
      <c r="AV45" s="6">
        <v>1.55</v>
      </c>
      <c r="AW45" s="6">
        <v>163.52000000000001</v>
      </c>
      <c r="AX45" s="6">
        <v>32.06</v>
      </c>
      <c r="AY45" s="6">
        <v>138.41999999999999</v>
      </c>
      <c r="AZ45" s="6">
        <v>13</v>
      </c>
      <c r="BA45" s="6">
        <v>29.1</v>
      </c>
    </row>
    <row r="46" spans="1:53" x14ac:dyDescent="0.3">
      <c r="A46" s="6">
        <v>173669588</v>
      </c>
      <c r="B46" s="6">
        <v>246316</v>
      </c>
      <c r="C46" s="6">
        <v>1352896</v>
      </c>
      <c r="D46" s="6">
        <v>5426</v>
      </c>
      <c r="E46" s="6" t="s">
        <v>185</v>
      </c>
      <c r="F46" s="6">
        <v>59193</v>
      </c>
      <c r="G46" s="6" t="s">
        <v>127</v>
      </c>
      <c r="H46" s="10">
        <v>45722</v>
      </c>
      <c r="I46" s="10">
        <v>45722</v>
      </c>
      <c r="J46" s="4">
        <v>45722.288194444445</v>
      </c>
      <c r="K46" s="4">
        <v>45722.381701388891</v>
      </c>
      <c r="L46" s="11">
        <v>45722.378923611112</v>
      </c>
      <c r="M46" s="10">
        <v>45722</v>
      </c>
      <c r="N46" s="6" t="s">
        <v>170</v>
      </c>
      <c r="O46" t="s">
        <v>221</v>
      </c>
      <c r="P46" s="6" t="s">
        <v>78</v>
      </c>
      <c r="Q46" t="s">
        <v>222</v>
      </c>
      <c r="R46" t="s">
        <v>88</v>
      </c>
      <c r="S46" s="6">
        <v>733586</v>
      </c>
      <c r="T46" s="6" t="s">
        <v>1</v>
      </c>
      <c r="U46">
        <v>145</v>
      </c>
      <c r="V46" s="6">
        <v>6.8</v>
      </c>
      <c r="W46" s="6">
        <v>6.7</v>
      </c>
      <c r="X46" s="6">
        <v>152.80000000000001</v>
      </c>
      <c r="Y46" s="6">
        <v>166.3</v>
      </c>
      <c r="Z46" s="6" t="s">
        <v>63</v>
      </c>
      <c r="AA46" t="s">
        <v>223</v>
      </c>
      <c r="AB46" s="6" t="s">
        <v>97</v>
      </c>
      <c r="AC46" t="s">
        <v>137</v>
      </c>
      <c r="AD46" t="s">
        <v>67</v>
      </c>
      <c r="AE46">
        <v>-4</v>
      </c>
      <c r="AF46">
        <v>0</v>
      </c>
      <c r="AG46">
        <v>0</v>
      </c>
      <c r="AH46" s="6">
        <v>70.099999999999994</v>
      </c>
      <c r="AI46" s="6">
        <v>0</v>
      </c>
      <c r="AJ46" s="6">
        <v>0.78</v>
      </c>
      <c r="AK46" s="6">
        <v>0.60299999999999998</v>
      </c>
      <c r="AL46" s="8">
        <v>5200.28</v>
      </c>
      <c r="AM46" s="6" t="s">
        <v>68</v>
      </c>
      <c r="AN46" s="6">
        <v>1</v>
      </c>
      <c r="AO46" s="6">
        <v>1</v>
      </c>
      <c r="AP46" s="6">
        <v>0</v>
      </c>
      <c r="AQ46" s="6">
        <v>1</v>
      </c>
      <c r="AR46" s="6">
        <v>0</v>
      </c>
      <c r="AS46" s="6">
        <v>1</v>
      </c>
      <c r="AT46" s="6">
        <v>0</v>
      </c>
      <c r="AU46" s="6">
        <v>2.19</v>
      </c>
      <c r="AV46" s="6">
        <v>1.62</v>
      </c>
      <c r="AW46" s="6">
        <v>152.84</v>
      </c>
      <c r="AX46" s="6">
        <v>17.41</v>
      </c>
      <c r="AY46" s="6">
        <v>90.18</v>
      </c>
      <c r="AZ46" s="6">
        <v>28.1</v>
      </c>
      <c r="BA46" s="6">
        <v>13.6</v>
      </c>
    </row>
    <row r="47" spans="1:53" x14ac:dyDescent="0.3">
      <c r="A47" s="6">
        <v>991010113</v>
      </c>
      <c r="B47" s="6">
        <v>217301</v>
      </c>
      <c r="C47" s="6">
        <v>5453786</v>
      </c>
      <c r="D47" s="6">
        <v>5548</v>
      </c>
      <c r="E47" s="6" t="s">
        <v>142</v>
      </c>
      <c r="F47" s="6">
        <v>56327</v>
      </c>
      <c r="G47" s="6" t="s">
        <v>146</v>
      </c>
      <c r="H47" s="10">
        <v>45889</v>
      </c>
      <c r="I47" s="10">
        <v>45889</v>
      </c>
      <c r="J47" s="4">
        <v>45889.322916666664</v>
      </c>
      <c r="K47" s="4">
        <v>45889.445937500001</v>
      </c>
      <c r="L47" s="11">
        <v>45889.425798611112</v>
      </c>
      <c r="M47" s="10">
        <v>45889</v>
      </c>
      <c r="N47" s="6" t="s">
        <v>78</v>
      </c>
      <c r="O47" t="s">
        <v>219</v>
      </c>
      <c r="P47" s="6" t="s">
        <v>132</v>
      </c>
      <c r="Q47" t="s">
        <v>133</v>
      </c>
      <c r="R47" t="s">
        <v>62</v>
      </c>
      <c r="S47" s="6">
        <v>739361</v>
      </c>
      <c r="T47" s="6" t="s">
        <v>1</v>
      </c>
      <c r="U47">
        <v>132</v>
      </c>
      <c r="V47" s="6">
        <v>44.3</v>
      </c>
      <c r="W47" s="6">
        <v>6</v>
      </c>
      <c r="X47" s="6">
        <v>118.1</v>
      </c>
      <c r="Y47" s="6">
        <v>168.4</v>
      </c>
      <c r="Z47" s="6" t="s">
        <v>112</v>
      </c>
      <c r="AA47" t="s">
        <v>224</v>
      </c>
      <c r="AB47" s="6" t="s">
        <v>97</v>
      </c>
      <c r="AC47" t="s">
        <v>125</v>
      </c>
      <c r="AD47" t="s">
        <v>67</v>
      </c>
      <c r="AE47">
        <v>-29</v>
      </c>
      <c r="AF47">
        <v>0</v>
      </c>
      <c r="AG47">
        <v>0</v>
      </c>
      <c r="AH47" s="6">
        <v>28.3</v>
      </c>
      <c r="AI47" s="6">
        <v>0</v>
      </c>
      <c r="AJ47" s="6">
        <v>0.60899999999999999</v>
      </c>
      <c r="AK47" s="6">
        <v>0.94199999999999995</v>
      </c>
      <c r="AL47" s="8">
        <v>18492.18</v>
      </c>
      <c r="AM47" s="6" t="s">
        <v>114</v>
      </c>
      <c r="AN47" s="6">
        <v>1</v>
      </c>
      <c r="AO47" s="6">
        <v>1</v>
      </c>
      <c r="AP47" s="6">
        <v>0</v>
      </c>
      <c r="AQ47" s="6">
        <v>1</v>
      </c>
      <c r="AR47" s="6">
        <v>0</v>
      </c>
      <c r="AS47" s="6">
        <v>1</v>
      </c>
      <c r="AT47" s="6">
        <v>0</v>
      </c>
      <c r="AU47" s="6">
        <v>2.48</v>
      </c>
      <c r="AV47" s="6">
        <v>1.79</v>
      </c>
      <c r="AW47" s="6">
        <v>108.88</v>
      </c>
      <c r="AX47" s="6">
        <v>24.32</v>
      </c>
      <c r="AY47" s="6">
        <v>98.85</v>
      </c>
      <c r="AZ47" s="6">
        <v>13</v>
      </c>
      <c r="BA47" s="6">
        <v>42.5</v>
      </c>
    </row>
    <row r="48" spans="1:53" x14ac:dyDescent="0.3">
      <c r="A48" s="6">
        <v>921581473</v>
      </c>
      <c r="B48" s="6">
        <v>497887</v>
      </c>
      <c r="C48" s="6">
        <v>5456272</v>
      </c>
      <c r="D48" s="6">
        <v>5488</v>
      </c>
      <c r="E48" s="6" t="s">
        <v>225</v>
      </c>
      <c r="F48" s="6">
        <v>51046</v>
      </c>
      <c r="G48" s="6" t="s">
        <v>115</v>
      </c>
      <c r="H48" s="10">
        <v>45790</v>
      </c>
      <c r="I48" s="10">
        <v>45790</v>
      </c>
      <c r="J48" s="4">
        <v>45790.736111111109</v>
      </c>
      <c r="K48" s="4">
        <v>45790.798611111109</v>
      </c>
      <c r="L48" s="11">
        <v>45790.74722222222</v>
      </c>
      <c r="M48" s="10">
        <v>45790</v>
      </c>
      <c r="N48" s="6" t="s">
        <v>132</v>
      </c>
      <c r="O48" t="s">
        <v>133</v>
      </c>
      <c r="P48" s="6" t="s">
        <v>150</v>
      </c>
      <c r="Q48" t="s">
        <v>159</v>
      </c>
      <c r="R48" t="s">
        <v>73</v>
      </c>
      <c r="S48" s="6">
        <v>712046</v>
      </c>
      <c r="T48" s="6" t="s">
        <v>3</v>
      </c>
      <c r="U48">
        <v>32</v>
      </c>
      <c r="V48" s="6">
        <v>49.9</v>
      </c>
      <c r="W48" s="6">
        <v>9.6</v>
      </c>
      <c r="X48" s="6">
        <v>32.4</v>
      </c>
      <c r="Y48" s="6">
        <v>91.9</v>
      </c>
      <c r="Z48" s="6" t="s">
        <v>2</v>
      </c>
      <c r="AA48" t="s">
        <v>226</v>
      </c>
      <c r="AB48" s="6" t="s">
        <v>90</v>
      </c>
      <c r="AC48" t="s">
        <v>66</v>
      </c>
      <c r="AD48" t="s">
        <v>67</v>
      </c>
      <c r="AE48">
        <v>-74</v>
      </c>
      <c r="AF48">
        <v>0</v>
      </c>
      <c r="AG48">
        <v>0</v>
      </c>
      <c r="AH48" s="6">
        <v>25.3</v>
      </c>
      <c r="AI48" s="6">
        <v>0</v>
      </c>
      <c r="AJ48" s="6">
        <v>0.71599999999999997</v>
      </c>
      <c r="AK48" s="6">
        <v>0.79100000000000004</v>
      </c>
      <c r="AL48" s="8">
        <v>7071.45</v>
      </c>
      <c r="AM48" s="6" t="s">
        <v>68</v>
      </c>
      <c r="AN48" s="6">
        <v>1</v>
      </c>
      <c r="AO48" s="6">
        <v>1</v>
      </c>
      <c r="AP48" s="6">
        <v>0</v>
      </c>
      <c r="AQ48" s="6">
        <v>1</v>
      </c>
      <c r="AR48" s="6">
        <v>0</v>
      </c>
      <c r="AS48" s="6">
        <v>1</v>
      </c>
      <c r="AT48" s="6">
        <v>0</v>
      </c>
      <c r="AU48" s="6">
        <v>2.4</v>
      </c>
      <c r="AV48" s="6">
        <v>1.9</v>
      </c>
      <c r="AW48" s="6">
        <v>76.61</v>
      </c>
      <c r="AX48" s="6">
        <v>15.97</v>
      </c>
      <c r="AY48" s="6">
        <v>50.88</v>
      </c>
      <c r="AZ48" s="6">
        <v>34.9</v>
      </c>
      <c r="BA48" s="6">
        <v>63.2</v>
      </c>
    </row>
    <row r="49" spans="1:53" x14ac:dyDescent="0.3">
      <c r="A49" s="6">
        <v>695076080</v>
      </c>
      <c r="B49" s="6">
        <v>733052</v>
      </c>
      <c r="C49" s="6">
        <v>2642635</v>
      </c>
      <c r="D49" s="6">
        <v>8989</v>
      </c>
      <c r="E49" s="6" t="s">
        <v>84</v>
      </c>
      <c r="F49" s="6">
        <v>52176</v>
      </c>
      <c r="G49" s="6" t="s">
        <v>127</v>
      </c>
      <c r="H49" s="10">
        <v>45969</v>
      </c>
      <c r="I49" s="10">
        <v>45969</v>
      </c>
      <c r="J49" s="4">
        <v>45969.302083333336</v>
      </c>
      <c r="K49" s="4">
        <v>45969.656400462962</v>
      </c>
      <c r="L49" s="11">
        <v>45969.626539351855</v>
      </c>
      <c r="M49" s="10">
        <v>45969</v>
      </c>
      <c r="N49" s="6" t="s">
        <v>176</v>
      </c>
      <c r="O49" t="s">
        <v>227</v>
      </c>
      <c r="P49" s="6" t="s">
        <v>86</v>
      </c>
      <c r="Q49" t="s">
        <v>87</v>
      </c>
      <c r="R49" t="s">
        <v>88</v>
      </c>
      <c r="S49" s="6">
        <v>774774</v>
      </c>
      <c r="T49" s="6" t="s">
        <v>111</v>
      </c>
      <c r="U49">
        <v>462</v>
      </c>
      <c r="V49" s="6">
        <v>32.799999999999997</v>
      </c>
      <c r="W49" s="6">
        <v>41.1</v>
      </c>
      <c r="X49" s="6">
        <v>468.5</v>
      </c>
      <c r="Y49" s="6">
        <v>542.4</v>
      </c>
      <c r="Z49" s="6" t="s">
        <v>2</v>
      </c>
      <c r="AA49" t="s">
        <v>228</v>
      </c>
      <c r="AB49" s="6" t="s">
        <v>97</v>
      </c>
      <c r="AC49" t="s">
        <v>76</v>
      </c>
      <c r="AD49" t="s">
        <v>67</v>
      </c>
      <c r="AE49">
        <v>-43</v>
      </c>
      <c r="AF49">
        <v>0</v>
      </c>
      <c r="AG49">
        <v>0</v>
      </c>
      <c r="AH49" s="6">
        <v>39.4</v>
      </c>
      <c r="AI49" s="6">
        <v>0</v>
      </c>
      <c r="AJ49" s="6">
        <v>0.66200000000000003</v>
      </c>
      <c r="AK49" s="6">
        <v>0.96299999999999997</v>
      </c>
      <c r="AL49" s="8">
        <v>5520.27</v>
      </c>
      <c r="AM49" s="6" t="s">
        <v>68</v>
      </c>
      <c r="AN49" s="6">
        <v>1</v>
      </c>
      <c r="AO49" s="6">
        <v>1</v>
      </c>
      <c r="AP49" s="6">
        <v>0</v>
      </c>
      <c r="AQ49" s="6">
        <v>1</v>
      </c>
      <c r="AR49" s="6">
        <v>0</v>
      </c>
      <c r="AS49" s="6">
        <v>1</v>
      </c>
      <c r="AT49" s="6">
        <v>0</v>
      </c>
      <c r="AU49" s="6">
        <v>2.34</v>
      </c>
      <c r="AV49" s="6">
        <v>1.66</v>
      </c>
      <c r="AW49" s="6">
        <v>474.74</v>
      </c>
      <c r="AX49" s="6">
        <v>91.27</v>
      </c>
      <c r="AY49" s="6">
        <v>283.92</v>
      </c>
      <c r="AZ49" s="6">
        <v>11.9</v>
      </c>
      <c r="BA49" s="6">
        <v>17.100000000000001</v>
      </c>
    </row>
    <row r="50" spans="1:53" x14ac:dyDescent="0.3">
      <c r="A50" s="6">
        <v>322433532</v>
      </c>
      <c r="B50" s="6">
        <v>331148</v>
      </c>
      <c r="C50" s="6">
        <v>8231838</v>
      </c>
      <c r="D50" s="6">
        <v>8734</v>
      </c>
      <c r="E50" s="6" t="s">
        <v>84</v>
      </c>
      <c r="F50" s="6">
        <v>52338</v>
      </c>
      <c r="G50" s="6" t="s">
        <v>207</v>
      </c>
      <c r="H50" s="10">
        <v>45934</v>
      </c>
      <c r="I50" s="10">
        <v>45934</v>
      </c>
      <c r="J50" s="4">
        <v>45934.284722222219</v>
      </c>
      <c r="K50" s="4">
        <v>45934.476921296293</v>
      </c>
      <c r="L50" s="11">
        <v>45934.479699074072</v>
      </c>
      <c r="M50" s="10">
        <v>45934</v>
      </c>
      <c r="N50" s="6" t="s">
        <v>150</v>
      </c>
      <c r="O50" t="s">
        <v>151</v>
      </c>
      <c r="P50" s="6" t="s">
        <v>132</v>
      </c>
      <c r="Q50" t="s">
        <v>229</v>
      </c>
      <c r="R50" t="s">
        <v>62</v>
      </c>
      <c r="S50" s="6">
        <v>752402</v>
      </c>
      <c r="T50" s="6" t="s">
        <v>1</v>
      </c>
      <c r="U50">
        <v>205</v>
      </c>
      <c r="V50" s="6">
        <v>7.9</v>
      </c>
      <c r="W50" s="6">
        <v>2.1</v>
      </c>
      <c r="X50" s="6">
        <v>194.5</v>
      </c>
      <c r="Y50" s="6">
        <v>204.5</v>
      </c>
      <c r="Z50" s="6" t="s">
        <v>63</v>
      </c>
      <c r="AA50" t="s">
        <v>230</v>
      </c>
      <c r="AB50" s="6" t="s">
        <v>97</v>
      </c>
      <c r="AC50" t="s">
        <v>76</v>
      </c>
      <c r="AD50" t="s">
        <v>67</v>
      </c>
      <c r="AE50">
        <v>4</v>
      </c>
      <c r="AF50">
        <v>0</v>
      </c>
      <c r="AG50">
        <v>0</v>
      </c>
      <c r="AH50" s="6">
        <v>30.4</v>
      </c>
      <c r="AI50" s="6">
        <v>0</v>
      </c>
      <c r="AJ50" s="6">
        <v>0.60099999999999998</v>
      </c>
      <c r="AK50" s="6">
        <v>0.72599999999999998</v>
      </c>
      <c r="AL50" s="8">
        <v>82348.899999999994</v>
      </c>
      <c r="AM50" s="6" t="s">
        <v>155</v>
      </c>
      <c r="AN50" s="6">
        <v>1</v>
      </c>
      <c r="AO50" s="6">
        <v>1</v>
      </c>
      <c r="AP50" s="6">
        <v>0</v>
      </c>
      <c r="AQ50" s="6">
        <v>1</v>
      </c>
      <c r="AR50" s="6">
        <v>0</v>
      </c>
      <c r="AS50" s="6">
        <v>1</v>
      </c>
      <c r="AT50" s="6">
        <v>0</v>
      </c>
      <c r="AU50" s="6">
        <v>2.35</v>
      </c>
      <c r="AV50" s="6">
        <v>1.49</v>
      </c>
      <c r="AW50" s="6">
        <v>187.92</v>
      </c>
      <c r="AX50" s="6">
        <v>21.93</v>
      </c>
      <c r="AY50" s="6">
        <v>114.17</v>
      </c>
      <c r="AZ50" s="6">
        <v>5.8</v>
      </c>
      <c r="BA50" s="6">
        <v>11.6</v>
      </c>
    </row>
    <row r="51" spans="1:53" x14ac:dyDescent="0.3">
      <c r="A51" s="6">
        <v>729624046</v>
      </c>
      <c r="B51" s="6">
        <v>736059</v>
      </c>
      <c r="C51" s="6">
        <v>7851696</v>
      </c>
      <c r="D51" s="6">
        <v>5493</v>
      </c>
      <c r="E51" s="6" t="s">
        <v>211</v>
      </c>
      <c r="F51" s="6">
        <v>50500</v>
      </c>
      <c r="G51" s="6" t="s">
        <v>127</v>
      </c>
      <c r="H51" s="10">
        <v>45880</v>
      </c>
      <c r="I51" s="10">
        <v>45880</v>
      </c>
      <c r="J51" s="4">
        <v>45880.5</v>
      </c>
      <c r="K51" s="4">
        <v>45880.739282407405</v>
      </c>
      <c r="L51" s="11">
        <v>45880.715671296297</v>
      </c>
      <c r="M51" s="10">
        <v>45880</v>
      </c>
      <c r="N51" s="6" t="s">
        <v>93</v>
      </c>
      <c r="O51" t="s">
        <v>94</v>
      </c>
      <c r="P51" s="6" t="s">
        <v>200</v>
      </c>
      <c r="Q51" t="s">
        <v>161</v>
      </c>
      <c r="R51" t="s">
        <v>62</v>
      </c>
      <c r="S51" s="6">
        <v>774588</v>
      </c>
      <c r="T51" s="6" t="s">
        <v>1</v>
      </c>
      <c r="U51">
        <v>273</v>
      </c>
      <c r="V51" s="6">
        <v>40.6</v>
      </c>
      <c r="W51" s="6">
        <v>19.899999999999999</v>
      </c>
      <c r="X51" s="6">
        <v>275.2</v>
      </c>
      <c r="Y51" s="6">
        <v>335.7</v>
      </c>
      <c r="Z51" s="6" t="s">
        <v>2</v>
      </c>
      <c r="AA51" t="s">
        <v>231</v>
      </c>
      <c r="AB51" s="6" t="s">
        <v>75</v>
      </c>
      <c r="AC51" t="s">
        <v>83</v>
      </c>
      <c r="AD51" t="s">
        <v>67</v>
      </c>
      <c r="AE51">
        <v>-34</v>
      </c>
      <c r="AF51">
        <v>0</v>
      </c>
      <c r="AG51">
        <v>0</v>
      </c>
      <c r="AH51" s="6">
        <v>58.9</v>
      </c>
      <c r="AI51" s="6">
        <v>0</v>
      </c>
      <c r="AJ51" s="6">
        <v>0.69499999999999995</v>
      </c>
      <c r="AK51" s="6">
        <v>0.75900000000000001</v>
      </c>
      <c r="AL51" s="8">
        <v>5363.16</v>
      </c>
      <c r="AM51" s="6" t="s">
        <v>68</v>
      </c>
      <c r="AN51" s="6">
        <v>1</v>
      </c>
      <c r="AO51" s="6">
        <v>1</v>
      </c>
      <c r="AP51" s="6">
        <v>0</v>
      </c>
      <c r="AQ51" s="6">
        <v>1</v>
      </c>
      <c r="AR51" s="6">
        <v>0</v>
      </c>
      <c r="AS51" s="6">
        <v>1</v>
      </c>
      <c r="AT51" s="6">
        <v>0</v>
      </c>
      <c r="AU51" s="6">
        <v>2.46</v>
      </c>
      <c r="AV51" s="6">
        <v>1.44</v>
      </c>
      <c r="AW51" s="6">
        <v>270.55</v>
      </c>
      <c r="AX51" s="6">
        <v>36.07</v>
      </c>
      <c r="AY51" s="6">
        <v>182.3</v>
      </c>
      <c r="AZ51" s="6">
        <v>11.5</v>
      </c>
      <c r="BA51" s="6">
        <v>20</v>
      </c>
    </row>
    <row r="52" spans="1:53" x14ac:dyDescent="0.3">
      <c r="A52" s="6">
        <v>331875999</v>
      </c>
      <c r="B52" s="6">
        <v>542417</v>
      </c>
      <c r="C52" s="6">
        <v>1527021</v>
      </c>
      <c r="D52" s="6">
        <v>6051</v>
      </c>
      <c r="E52" s="6" t="s">
        <v>57</v>
      </c>
      <c r="F52" s="6">
        <v>52233</v>
      </c>
      <c r="G52" s="6" t="s">
        <v>203</v>
      </c>
      <c r="H52" s="10">
        <v>45790</v>
      </c>
      <c r="I52" s="10">
        <v>45790</v>
      </c>
      <c r="J52" s="4">
        <v>45790.548611111109</v>
      </c>
      <c r="K52" s="4">
        <v>45790.818692129629</v>
      </c>
      <c r="L52" s="11">
        <v>45790.800636574073</v>
      </c>
      <c r="M52" s="10">
        <v>45790</v>
      </c>
      <c r="N52" s="6" t="s">
        <v>116</v>
      </c>
      <c r="O52" t="s">
        <v>128</v>
      </c>
      <c r="P52" s="6" t="s">
        <v>103</v>
      </c>
      <c r="Q52" t="s">
        <v>232</v>
      </c>
      <c r="R52" t="s">
        <v>73</v>
      </c>
      <c r="S52" s="6">
        <v>728499</v>
      </c>
      <c r="T52" s="6" t="s">
        <v>1</v>
      </c>
      <c r="U52">
        <v>265</v>
      </c>
      <c r="V52" s="6">
        <v>11.6</v>
      </c>
      <c r="W52" s="6">
        <v>40</v>
      </c>
      <c r="X52" s="6">
        <v>268.89999999999998</v>
      </c>
      <c r="Y52" s="6">
        <v>320.5</v>
      </c>
      <c r="Z52" s="6" t="s">
        <v>112</v>
      </c>
      <c r="AA52" t="s">
        <v>233</v>
      </c>
      <c r="AB52" s="6" t="s">
        <v>75</v>
      </c>
      <c r="AC52" t="s">
        <v>66</v>
      </c>
      <c r="AD52" t="s">
        <v>67</v>
      </c>
      <c r="AE52">
        <v>-26</v>
      </c>
      <c r="AF52">
        <v>0</v>
      </c>
      <c r="AG52">
        <v>0</v>
      </c>
      <c r="AH52" s="6">
        <v>94.1</v>
      </c>
      <c r="AI52" s="6">
        <v>0</v>
      </c>
      <c r="AJ52" s="6">
        <v>0.76800000000000002</v>
      </c>
      <c r="AK52" s="6">
        <v>0.52800000000000002</v>
      </c>
      <c r="AL52" s="8">
        <v>4529.54</v>
      </c>
      <c r="AM52" s="6" t="s">
        <v>68</v>
      </c>
      <c r="AN52" s="6">
        <v>1</v>
      </c>
      <c r="AO52" s="6">
        <v>1</v>
      </c>
      <c r="AP52" s="6">
        <v>0</v>
      </c>
      <c r="AQ52" s="6">
        <v>1</v>
      </c>
      <c r="AR52" s="6">
        <v>0</v>
      </c>
      <c r="AS52" s="6">
        <v>1</v>
      </c>
      <c r="AT52" s="6">
        <v>0</v>
      </c>
      <c r="AU52" s="6">
        <v>2.19</v>
      </c>
      <c r="AV52" s="6">
        <v>1.49</v>
      </c>
      <c r="AW52" s="6">
        <v>235.26</v>
      </c>
      <c r="AX52" s="6">
        <v>43.78</v>
      </c>
      <c r="AY52" s="6">
        <v>160.18</v>
      </c>
      <c r="AZ52" s="6">
        <v>27.6</v>
      </c>
      <c r="BA52" s="6">
        <v>38.299999999999997</v>
      </c>
    </row>
    <row r="53" spans="1:53" x14ac:dyDescent="0.3">
      <c r="A53" s="6">
        <v>973008988</v>
      </c>
      <c r="B53" s="6">
        <v>476417</v>
      </c>
      <c r="C53" s="6">
        <v>5191056</v>
      </c>
      <c r="D53" s="6">
        <v>4073</v>
      </c>
      <c r="E53" s="6" t="s">
        <v>211</v>
      </c>
      <c r="F53" s="6">
        <v>54608</v>
      </c>
      <c r="G53" s="6" t="s">
        <v>146</v>
      </c>
      <c r="H53" s="10">
        <v>45734</v>
      </c>
      <c r="I53" s="10">
        <v>45734</v>
      </c>
      <c r="J53" s="4">
        <v>45734.680555555555</v>
      </c>
      <c r="K53" s="4">
        <v>45735.474583333336</v>
      </c>
      <c r="L53" s="11">
        <v>45735.470416666663</v>
      </c>
      <c r="M53" s="10">
        <v>45735</v>
      </c>
      <c r="N53" s="6" t="s">
        <v>170</v>
      </c>
      <c r="O53" t="s">
        <v>183</v>
      </c>
      <c r="P53" s="6" t="s">
        <v>170</v>
      </c>
      <c r="Q53" t="s">
        <v>189</v>
      </c>
      <c r="R53" t="s">
        <v>62</v>
      </c>
      <c r="S53" s="6">
        <v>774798</v>
      </c>
      <c r="T53" s="6" t="s">
        <v>140</v>
      </c>
      <c r="U53">
        <v>824</v>
      </c>
      <c r="V53" s="6">
        <v>58.2</v>
      </c>
      <c r="W53" s="6">
        <v>19.7</v>
      </c>
      <c r="X53" s="6">
        <v>823.7</v>
      </c>
      <c r="Y53" s="6">
        <v>901.6</v>
      </c>
      <c r="Z53" s="6" t="s">
        <v>215</v>
      </c>
      <c r="AA53" t="s">
        <v>234</v>
      </c>
      <c r="AB53" s="6" t="s">
        <v>90</v>
      </c>
      <c r="AC53" t="s">
        <v>66</v>
      </c>
      <c r="AD53" t="s">
        <v>67</v>
      </c>
      <c r="AE53">
        <v>-6</v>
      </c>
      <c r="AF53">
        <v>0</v>
      </c>
      <c r="AG53">
        <v>0</v>
      </c>
      <c r="AH53" s="6">
        <v>68.3</v>
      </c>
      <c r="AI53" s="6">
        <v>0</v>
      </c>
      <c r="AJ53" s="6">
        <v>0.51800000000000002</v>
      </c>
      <c r="AK53" s="6">
        <v>0.8</v>
      </c>
      <c r="AL53" s="8">
        <v>1865.46</v>
      </c>
      <c r="AM53" s="6" t="s">
        <v>68</v>
      </c>
      <c r="AN53" s="6">
        <v>1</v>
      </c>
      <c r="AO53" s="6">
        <v>1</v>
      </c>
      <c r="AP53" s="6">
        <v>0</v>
      </c>
      <c r="AQ53" s="6">
        <v>1</v>
      </c>
      <c r="AR53" s="6">
        <v>0</v>
      </c>
      <c r="AS53" s="6">
        <v>1</v>
      </c>
      <c r="AT53" s="6">
        <v>0</v>
      </c>
      <c r="AU53" s="6">
        <v>2.91</v>
      </c>
      <c r="AV53" s="6">
        <v>2.11</v>
      </c>
      <c r="AW53" s="6">
        <v>604.03</v>
      </c>
      <c r="AX53" s="6">
        <v>173.62</v>
      </c>
      <c r="AY53" s="6">
        <v>541.92999999999995</v>
      </c>
      <c r="AZ53" s="6">
        <v>11.7</v>
      </c>
      <c r="BA53" s="6">
        <v>16.2</v>
      </c>
    </row>
    <row r="54" spans="1:53" x14ac:dyDescent="0.3">
      <c r="A54" s="6">
        <v>350180427</v>
      </c>
      <c r="B54" s="6">
        <v>996865</v>
      </c>
      <c r="C54" s="6">
        <v>2022698</v>
      </c>
      <c r="D54" s="6">
        <v>6463</v>
      </c>
      <c r="E54" s="6" t="s">
        <v>126</v>
      </c>
      <c r="F54" s="6">
        <v>57234</v>
      </c>
      <c r="G54" s="6" t="s">
        <v>235</v>
      </c>
      <c r="H54" s="10">
        <v>45941</v>
      </c>
      <c r="I54" s="10">
        <v>45941</v>
      </c>
      <c r="J54" s="4">
        <v>45941.59375</v>
      </c>
      <c r="K54" s="4">
        <v>45941.807337962964</v>
      </c>
      <c r="L54" s="11">
        <v>45941.789976851855</v>
      </c>
      <c r="M54" s="10">
        <v>45941</v>
      </c>
      <c r="N54" s="6" t="s">
        <v>103</v>
      </c>
      <c r="O54" t="s">
        <v>99</v>
      </c>
      <c r="P54" s="6" t="s">
        <v>121</v>
      </c>
      <c r="Q54" t="s">
        <v>143</v>
      </c>
      <c r="R54" t="s">
        <v>123</v>
      </c>
      <c r="S54" s="6">
        <v>796241</v>
      </c>
      <c r="T54" s="6" t="s">
        <v>1</v>
      </c>
      <c r="U54">
        <v>252</v>
      </c>
      <c r="V54" s="6">
        <v>17.7</v>
      </c>
      <c r="W54" s="6">
        <v>22.2</v>
      </c>
      <c r="X54" s="6">
        <v>251.7</v>
      </c>
      <c r="Y54" s="6">
        <v>291.60000000000002</v>
      </c>
      <c r="Z54" s="6" t="s">
        <v>63</v>
      </c>
      <c r="AA54" t="s">
        <v>236</v>
      </c>
      <c r="AB54" s="6" t="s">
        <v>90</v>
      </c>
      <c r="AC54" t="s">
        <v>76</v>
      </c>
      <c r="AD54" t="s">
        <v>67</v>
      </c>
      <c r="AE54">
        <v>-25</v>
      </c>
      <c r="AF54">
        <v>0</v>
      </c>
      <c r="AG54">
        <v>0</v>
      </c>
      <c r="AH54" s="6">
        <v>45.3</v>
      </c>
      <c r="AI54" s="6">
        <v>0</v>
      </c>
      <c r="AJ54" s="6">
        <v>0.69299999999999995</v>
      </c>
      <c r="AK54" s="6">
        <v>0.67700000000000005</v>
      </c>
      <c r="AL54" s="8">
        <v>3270.96</v>
      </c>
      <c r="AM54" s="6" t="s">
        <v>68</v>
      </c>
      <c r="AN54" s="6">
        <v>1</v>
      </c>
      <c r="AO54" s="6">
        <v>1</v>
      </c>
      <c r="AP54" s="6">
        <v>0</v>
      </c>
      <c r="AQ54" s="6">
        <v>1</v>
      </c>
      <c r="AR54" s="6">
        <v>0</v>
      </c>
      <c r="AS54" s="6">
        <v>1</v>
      </c>
      <c r="AT54" s="6">
        <v>0</v>
      </c>
      <c r="AU54" s="6">
        <v>2.14</v>
      </c>
      <c r="AV54" s="6">
        <v>1.32</v>
      </c>
      <c r="AW54" s="6">
        <v>266.68</v>
      </c>
      <c r="AX54" s="6">
        <v>29.88</v>
      </c>
      <c r="AY54" s="6">
        <v>171.52</v>
      </c>
      <c r="AZ54" s="6">
        <v>8.8000000000000007</v>
      </c>
      <c r="BA54" s="6">
        <v>19.399999999999999</v>
      </c>
    </row>
    <row r="55" spans="1:53" x14ac:dyDescent="0.3">
      <c r="A55" s="6">
        <v>452788129</v>
      </c>
      <c r="B55" s="6">
        <v>518801</v>
      </c>
      <c r="C55" s="6">
        <v>2548511</v>
      </c>
      <c r="D55" s="6">
        <v>8994</v>
      </c>
      <c r="E55" s="6" t="s">
        <v>142</v>
      </c>
      <c r="F55" s="6">
        <v>57972</v>
      </c>
      <c r="G55" s="6" t="s">
        <v>77</v>
      </c>
      <c r="H55" s="10">
        <v>45835</v>
      </c>
      <c r="I55" s="10">
        <v>45835</v>
      </c>
      <c r="J55" s="4">
        <v>45835.597222222219</v>
      </c>
      <c r="K55" s="4">
        <v>45835.659722222219</v>
      </c>
      <c r="L55" s="11">
        <v>45835.668749999997</v>
      </c>
      <c r="M55" s="10">
        <v>45835</v>
      </c>
      <c r="N55" s="6" t="s">
        <v>93</v>
      </c>
      <c r="O55" t="s">
        <v>217</v>
      </c>
      <c r="P55" s="6" t="s">
        <v>121</v>
      </c>
      <c r="Q55" t="s">
        <v>237</v>
      </c>
      <c r="R55" t="s">
        <v>123</v>
      </c>
      <c r="S55" s="6">
        <v>710118</v>
      </c>
      <c r="T55" s="6" t="s">
        <v>3</v>
      </c>
      <c r="U55">
        <v>21</v>
      </c>
      <c r="V55" s="6">
        <v>17</v>
      </c>
      <c r="W55" s="6">
        <v>3.2</v>
      </c>
      <c r="X55" s="6">
        <v>28.2</v>
      </c>
      <c r="Y55" s="6">
        <v>48.4</v>
      </c>
      <c r="Z55" s="6" t="s">
        <v>63</v>
      </c>
      <c r="AA55" t="s">
        <v>238</v>
      </c>
      <c r="AB55" s="6" t="s">
        <v>90</v>
      </c>
      <c r="AC55" t="s">
        <v>154</v>
      </c>
      <c r="AD55" t="s">
        <v>67</v>
      </c>
      <c r="AE55">
        <v>13</v>
      </c>
      <c r="AF55">
        <v>0</v>
      </c>
      <c r="AG55">
        <v>0</v>
      </c>
      <c r="AH55" s="6">
        <v>42</v>
      </c>
      <c r="AI55" s="6">
        <v>0</v>
      </c>
      <c r="AJ55" s="6">
        <v>0.66600000000000004</v>
      </c>
      <c r="AK55" s="6">
        <v>0.441</v>
      </c>
      <c r="AL55" s="8">
        <v>17426.77</v>
      </c>
      <c r="AM55" s="6" t="s">
        <v>114</v>
      </c>
      <c r="AN55" s="6">
        <v>1</v>
      </c>
      <c r="AO55" s="6">
        <v>1</v>
      </c>
      <c r="AP55" s="6">
        <v>0</v>
      </c>
      <c r="AQ55" s="6">
        <v>1</v>
      </c>
      <c r="AR55" s="6">
        <v>0</v>
      </c>
      <c r="AS55" s="6">
        <v>1</v>
      </c>
      <c r="AT55" s="6">
        <v>0</v>
      </c>
      <c r="AU55" s="6">
        <v>2.56</v>
      </c>
      <c r="AV55" s="6">
        <v>1.5</v>
      </c>
      <c r="AW55" s="6">
        <v>43.43</v>
      </c>
      <c r="AX55" s="6">
        <v>8.42</v>
      </c>
      <c r="AY55" s="6">
        <v>31.53</v>
      </c>
      <c r="AZ55" s="6">
        <v>7.3</v>
      </c>
      <c r="BA55" s="6">
        <v>74.7</v>
      </c>
    </row>
    <row r="56" spans="1:53" x14ac:dyDescent="0.3">
      <c r="A56" s="6">
        <v>931471931</v>
      </c>
      <c r="B56" s="6">
        <v>787277</v>
      </c>
      <c r="C56" s="6">
        <v>6022741</v>
      </c>
      <c r="D56" s="6">
        <v>3693</v>
      </c>
      <c r="E56" s="6" t="s">
        <v>106</v>
      </c>
      <c r="F56" s="6">
        <v>56610</v>
      </c>
      <c r="G56" s="6" t="s">
        <v>127</v>
      </c>
      <c r="H56" s="10">
        <v>45740</v>
      </c>
      <c r="I56" s="10">
        <v>45740</v>
      </c>
      <c r="J56" s="4">
        <v>45740.746527777781</v>
      </c>
      <c r="K56" s="4">
        <v>45740.809027777781</v>
      </c>
      <c r="L56" s="11">
        <v>45740.863194444442</v>
      </c>
      <c r="M56" s="10">
        <v>45740</v>
      </c>
      <c r="N56" s="6" t="s">
        <v>59</v>
      </c>
      <c r="O56" t="s">
        <v>60</v>
      </c>
      <c r="P56" s="6" t="s">
        <v>129</v>
      </c>
      <c r="Q56" t="s">
        <v>157</v>
      </c>
      <c r="R56" t="s">
        <v>123</v>
      </c>
      <c r="S56" s="6">
        <v>794841</v>
      </c>
      <c r="T56" s="6" t="s">
        <v>3</v>
      </c>
      <c r="U56">
        <v>48</v>
      </c>
      <c r="V56" s="6">
        <v>31.4</v>
      </c>
      <c r="W56" s="6">
        <v>19.7</v>
      </c>
      <c r="X56" s="6">
        <v>39</v>
      </c>
      <c r="Y56" s="6">
        <v>90.1</v>
      </c>
      <c r="Z56" s="6" t="s">
        <v>63</v>
      </c>
      <c r="AA56" t="s">
        <v>239</v>
      </c>
      <c r="AB56" s="6" t="s">
        <v>90</v>
      </c>
      <c r="AC56" t="s">
        <v>83</v>
      </c>
      <c r="AD56" t="s">
        <v>192</v>
      </c>
      <c r="AE56">
        <v>78</v>
      </c>
      <c r="AF56">
        <v>0</v>
      </c>
      <c r="AG56">
        <v>0</v>
      </c>
      <c r="AH56" s="6">
        <v>92.3</v>
      </c>
      <c r="AI56" s="6">
        <v>0</v>
      </c>
      <c r="AJ56" s="6">
        <v>0.63800000000000001</v>
      </c>
      <c r="AK56" s="6">
        <v>0.91600000000000004</v>
      </c>
      <c r="AL56" s="8">
        <v>18446.060000000001</v>
      </c>
      <c r="AM56" s="6" t="s">
        <v>114</v>
      </c>
      <c r="AN56" s="6">
        <v>1</v>
      </c>
      <c r="AO56" s="6">
        <v>0</v>
      </c>
      <c r="AP56" s="6">
        <v>1</v>
      </c>
      <c r="AQ56" s="6">
        <v>0</v>
      </c>
      <c r="AR56" s="6">
        <v>1</v>
      </c>
      <c r="AS56" s="6">
        <v>0</v>
      </c>
      <c r="AT56" s="6">
        <v>1</v>
      </c>
      <c r="AU56" s="6">
        <v>2.38</v>
      </c>
      <c r="AV56" s="6">
        <v>1.86</v>
      </c>
      <c r="AW56" s="6">
        <v>77.61</v>
      </c>
      <c r="AX56" s="6">
        <v>11</v>
      </c>
      <c r="AY56" s="6">
        <v>56.66</v>
      </c>
      <c r="AZ56" s="6">
        <v>3.4</v>
      </c>
      <c r="BA56" s="6">
        <v>14.8</v>
      </c>
    </row>
    <row r="57" spans="1:53" x14ac:dyDescent="0.3">
      <c r="A57" s="6">
        <v>258435089</v>
      </c>
      <c r="B57" s="6">
        <v>308496</v>
      </c>
      <c r="C57" s="6">
        <v>5076817</v>
      </c>
      <c r="D57" s="6">
        <v>3747</v>
      </c>
      <c r="E57" s="6" t="s">
        <v>126</v>
      </c>
      <c r="F57" s="6">
        <v>50600</v>
      </c>
      <c r="G57" s="6" t="s">
        <v>146</v>
      </c>
      <c r="H57" s="10">
        <v>45729</v>
      </c>
      <c r="I57" s="10">
        <v>45729</v>
      </c>
      <c r="J57" s="4">
        <v>45729.28125</v>
      </c>
      <c r="K57" s="4">
        <v>45729.526331018518</v>
      </c>
      <c r="L57" s="11">
        <v>45729.500636574077</v>
      </c>
      <c r="M57" s="10">
        <v>45729</v>
      </c>
      <c r="N57" s="6" t="s">
        <v>170</v>
      </c>
      <c r="O57" t="s">
        <v>189</v>
      </c>
      <c r="P57" s="6" t="s">
        <v>170</v>
      </c>
      <c r="Q57" t="s">
        <v>221</v>
      </c>
      <c r="R57" t="s">
        <v>62</v>
      </c>
      <c r="S57" s="6">
        <v>774798</v>
      </c>
      <c r="T57" s="6" t="s">
        <v>1</v>
      </c>
      <c r="U57">
        <v>242</v>
      </c>
      <c r="V57" s="6">
        <v>47.4</v>
      </c>
      <c r="W57" s="6">
        <v>1.1000000000000001</v>
      </c>
      <c r="X57" s="6">
        <v>247</v>
      </c>
      <c r="Y57" s="6">
        <v>295.5</v>
      </c>
      <c r="Z57" s="6" t="s">
        <v>80</v>
      </c>
      <c r="AA57" t="s">
        <v>240</v>
      </c>
      <c r="AB57" s="6" t="s">
        <v>97</v>
      </c>
      <c r="AC57" t="s">
        <v>137</v>
      </c>
      <c r="AD57" t="s">
        <v>67</v>
      </c>
      <c r="AE57">
        <v>-37</v>
      </c>
      <c r="AF57">
        <v>0</v>
      </c>
      <c r="AG57">
        <v>0</v>
      </c>
      <c r="AH57" s="6">
        <v>26.7</v>
      </c>
      <c r="AI57" s="6">
        <v>0</v>
      </c>
      <c r="AJ57" s="6">
        <v>0.63300000000000001</v>
      </c>
      <c r="AK57" s="6">
        <v>0.56599999999999995</v>
      </c>
      <c r="AL57" s="8">
        <v>9967.2000000000007</v>
      </c>
      <c r="AM57" s="6" t="s">
        <v>114</v>
      </c>
      <c r="AN57" s="6">
        <v>1</v>
      </c>
      <c r="AO57" s="6">
        <v>1</v>
      </c>
      <c r="AP57" s="6">
        <v>0</v>
      </c>
      <c r="AQ57" s="6">
        <v>1</v>
      </c>
      <c r="AR57" s="6">
        <v>0</v>
      </c>
      <c r="AS57" s="6">
        <v>1</v>
      </c>
      <c r="AT57" s="6">
        <v>0</v>
      </c>
      <c r="AU57" s="6">
        <v>1.98</v>
      </c>
      <c r="AV57" s="6">
        <v>1.28</v>
      </c>
      <c r="AW57" s="6">
        <v>266.88</v>
      </c>
      <c r="AX57" s="6">
        <v>63.04</v>
      </c>
      <c r="AY57" s="6">
        <v>166.19</v>
      </c>
      <c r="AZ57" s="6">
        <v>15.5</v>
      </c>
      <c r="BA57" s="6">
        <v>57.4</v>
      </c>
    </row>
    <row r="58" spans="1:53" x14ac:dyDescent="0.3">
      <c r="A58" s="6">
        <v>946799779</v>
      </c>
      <c r="B58" s="6">
        <v>705397</v>
      </c>
      <c r="C58" s="6">
        <v>5449368</v>
      </c>
      <c r="D58" s="6">
        <v>5859</v>
      </c>
      <c r="E58" s="6" t="s">
        <v>84</v>
      </c>
      <c r="F58" s="6">
        <v>54284</v>
      </c>
      <c r="G58" s="6" t="s">
        <v>98</v>
      </c>
      <c r="H58" s="10">
        <v>45718</v>
      </c>
      <c r="I58" s="10">
        <v>45718</v>
      </c>
      <c r="J58" s="4">
        <v>45718.322916666664</v>
      </c>
      <c r="K58" s="4">
        <v>45718.452314814815</v>
      </c>
      <c r="L58" s="11">
        <v>45718.457870370374</v>
      </c>
      <c r="M58" s="10">
        <v>45718</v>
      </c>
      <c r="N58" s="6" t="s">
        <v>129</v>
      </c>
      <c r="O58" t="s">
        <v>241</v>
      </c>
      <c r="P58" s="6" t="s">
        <v>109</v>
      </c>
      <c r="Q58" t="s">
        <v>193</v>
      </c>
      <c r="R58" t="s">
        <v>88</v>
      </c>
      <c r="S58" s="6">
        <v>776304</v>
      </c>
      <c r="T58" s="6" t="s">
        <v>1</v>
      </c>
      <c r="U58">
        <v>107</v>
      </c>
      <c r="V58" s="6">
        <v>64.599999999999994</v>
      </c>
      <c r="W58" s="6">
        <v>22.5</v>
      </c>
      <c r="X58" s="6">
        <v>109.8</v>
      </c>
      <c r="Y58" s="6">
        <v>196.9</v>
      </c>
      <c r="Z58" s="6" t="s">
        <v>2</v>
      </c>
      <c r="AA58" t="s">
        <v>242</v>
      </c>
      <c r="AB58" s="6" t="s">
        <v>97</v>
      </c>
      <c r="AC58" t="s">
        <v>91</v>
      </c>
      <c r="AD58" t="s">
        <v>67</v>
      </c>
      <c r="AE58">
        <v>8</v>
      </c>
      <c r="AF58">
        <v>0</v>
      </c>
      <c r="AG58">
        <v>0</v>
      </c>
      <c r="AH58" s="6">
        <v>30.3</v>
      </c>
      <c r="AI58" s="6">
        <v>0</v>
      </c>
      <c r="AJ58" s="6">
        <v>0.65600000000000003</v>
      </c>
      <c r="AK58" s="6">
        <v>0.70299999999999996</v>
      </c>
      <c r="AL58" s="8">
        <v>2000.59</v>
      </c>
      <c r="AM58" s="6" t="s">
        <v>68</v>
      </c>
      <c r="AN58" s="6">
        <v>1</v>
      </c>
      <c r="AO58" s="6">
        <v>1</v>
      </c>
      <c r="AP58" s="6">
        <v>0</v>
      </c>
      <c r="AQ58" s="6">
        <v>1</v>
      </c>
      <c r="AR58" s="6">
        <v>0</v>
      </c>
      <c r="AS58" s="6">
        <v>1</v>
      </c>
      <c r="AT58" s="6">
        <v>0</v>
      </c>
      <c r="AU58" s="6">
        <v>2.17</v>
      </c>
      <c r="AV58" s="6">
        <v>1.48</v>
      </c>
      <c r="AW58" s="6">
        <v>125.67</v>
      </c>
      <c r="AX58" s="6">
        <v>29.86</v>
      </c>
      <c r="AY58" s="6">
        <v>117.97</v>
      </c>
      <c r="AZ58" s="6">
        <v>11.4</v>
      </c>
      <c r="BA58" s="6">
        <v>31.5</v>
      </c>
    </row>
    <row r="59" spans="1:53" x14ac:dyDescent="0.3">
      <c r="A59" s="6">
        <v>739930411</v>
      </c>
      <c r="B59" s="6">
        <v>946335</v>
      </c>
      <c r="C59" s="6">
        <v>1247595</v>
      </c>
      <c r="D59" s="6">
        <v>6675</v>
      </c>
      <c r="E59" s="6" t="s">
        <v>84</v>
      </c>
      <c r="F59" s="6">
        <v>59180</v>
      </c>
      <c r="G59" s="6" t="s">
        <v>58</v>
      </c>
      <c r="H59" s="10">
        <v>45941</v>
      </c>
      <c r="I59" s="10">
        <v>45941</v>
      </c>
      <c r="J59" s="4">
        <v>45941.427083333336</v>
      </c>
      <c r="K59" s="4">
        <v>45941.595312500001</v>
      </c>
      <c r="L59" s="11">
        <v>45941.583506944444</v>
      </c>
      <c r="M59" s="10">
        <v>45941</v>
      </c>
      <c r="N59" s="6" t="s">
        <v>86</v>
      </c>
      <c r="O59" t="s">
        <v>243</v>
      </c>
      <c r="P59" s="6" t="s">
        <v>86</v>
      </c>
      <c r="Q59" t="s">
        <v>243</v>
      </c>
      <c r="R59" t="s">
        <v>88</v>
      </c>
      <c r="S59" s="6">
        <v>742558</v>
      </c>
      <c r="T59" s="6" t="s">
        <v>1</v>
      </c>
      <c r="U59">
        <v>112</v>
      </c>
      <c r="V59" s="6">
        <v>22.5</v>
      </c>
      <c r="W59" s="6">
        <v>22.7</v>
      </c>
      <c r="X59" s="6">
        <v>119.8</v>
      </c>
      <c r="Y59" s="6">
        <v>165</v>
      </c>
      <c r="Z59" s="6" t="s">
        <v>63</v>
      </c>
      <c r="AA59" t="s">
        <v>244</v>
      </c>
      <c r="AB59" s="6" t="s">
        <v>75</v>
      </c>
      <c r="AC59" t="s">
        <v>76</v>
      </c>
      <c r="AD59" t="s">
        <v>67</v>
      </c>
      <c r="AE59">
        <v>-17</v>
      </c>
      <c r="AF59">
        <v>0</v>
      </c>
      <c r="AG59">
        <v>0</v>
      </c>
      <c r="AH59" s="6">
        <v>54.6</v>
      </c>
      <c r="AI59" s="6">
        <v>0</v>
      </c>
      <c r="AJ59" s="6">
        <v>0.37</v>
      </c>
      <c r="AK59" s="6">
        <v>0.52500000000000002</v>
      </c>
      <c r="AL59" s="8">
        <v>2300.38</v>
      </c>
      <c r="AM59" s="6" t="s">
        <v>68</v>
      </c>
      <c r="AN59" s="6">
        <v>1</v>
      </c>
      <c r="AO59" s="6">
        <v>1</v>
      </c>
      <c r="AP59" s="6">
        <v>0</v>
      </c>
      <c r="AQ59" s="6">
        <v>1</v>
      </c>
      <c r="AR59" s="6">
        <v>0</v>
      </c>
      <c r="AS59" s="6">
        <v>1</v>
      </c>
      <c r="AT59" s="6">
        <v>0</v>
      </c>
      <c r="AU59" s="6">
        <v>2.1800000000000002</v>
      </c>
      <c r="AV59" s="6">
        <v>1.31</v>
      </c>
      <c r="AW59" s="6">
        <v>133.56</v>
      </c>
      <c r="AX59" s="6">
        <v>17.45</v>
      </c>
      <c r="AY59" s="6">
        <v>100.43</v>
      </c>
      <c r="AZ59" s="6">
        <v>32.6</v>
      </c>
      <c r="BA59" s="6">
        <v>14.8</v>
      </c>
    </row>
    <row r="60" spans="1:53" x14ac:dyDescent="0.3">
      <c r="A60" s="6">
        <v>103044648</v>
      </c>
      <c r="B60" s="6">
        <v>733052</v>
      </c>
      <c r="C60" s="6">
        <v>2642635</v>
      </c>
      <c r="D60" s="6">
        <v>8989</v>
      </c>
      <c r="E60" s="6" t="s">
        <v>84</v>
      </c>
      <c r="F60" s="6">
        <v>54483</v>
      </c>
      <c r="G60" s="6" t="s">
        <v>164</v>
      </c>
      <c r="H60" s="10">
        <v>45741</v>
      </c>
      <c r="I60" s="10">
        <v>45741</v>
      </c>
      <c r="J60" s="4">
        <v>45741.347222222219</v>
      </c>
      <c r="K60" s="4">
        <v>45741.562800925924</v>
      </c>
      <c r="L60" s="11">
        <v>45741.533634259256</v>
      </c>
      <c r="M60" s="10">
        <v>45741</v>
      </c>
      <c r="N60" s="6" t="s">
        <v>70</v>
      </c>
      <c r="O60" t="s">
        <v>71</v>
      </c>
      <c r="P60" s="6" t="s">
        <v>70</v>
      </c>
      <c r="Q60" t="s">
        <v>72</v>
      </c>
      <c r="R60" t="s">
        <v>73</v>
      </c>
      <c r="S60" s="6">
        <v>733303</v>
      </c>
      <c r="T60" s="6" t="s">
        <v>1</v>
      </c>
      <c r="U60">
        <v>288</v>
      </c>
      <c r="V60" s="6">
        <v>14.6</v>
      </c>
      <c r="W60" s="6">
        <v>19.5</v>
      </c>
      <c r="X60" s="6">
        <v>282.3</v>
      </c>
      <c r="Y60" s="6">
        <v>316.39999999999998</v>
      </c>
      <c r="Z60" s="6" t="s">
        <v>2</v>
      </c>
      <c r="AA60" t="s">
        <v>245</v>
      </c>
      <c r="AB60" s="6" t="s">
        <v>97</v>
      </c>
      <c r="AC60" t="s">
        <v>66</v>
      </c>
      <c r="AD60" t="s">
        <v>67</v>
      </c>
      <c r="AE60">
        <v>-42</v>
      </c>
      <c r="AF60">
        <v>0</v>
      </c>
      <c r="AG60">
        <v>0</v>
      </c>
      <c r="AH60" s="6">
        <v>38.200000000000003</v>
      </c>
      <c r="AI60" s="6">
        <v>0</v>
      </c>
      <c r="AJ60" s="6">
        <v>0.54700000000000004</v>
      </c>
      <c r="AK60" s="6">
        <v>0.84199999999999997</v>
      </c>
      <c r="AL60" s="8">
        <v>5790.99</v>
      </c>
      <c r="AM60" s="6" t="s">
        <v>68</v>
      </c>
      <c r="AN60" s="6">
        <v>1</v>
      </c>
      <c r="AO60" s="6">
        <v>1</v>
      </c>
      <c r="AP60" s="6">
        <v>0</v>
      </c>
      <c r="AQ60" s="6">
        <v>1</v>
      </c>
      <c r="AR60" s="6">
        <v>0</v>
      </c>
      <c r="AS60" s="6">
        <v>1</v>
      </c>
      <c r="AT60" s="6">
        <v>0</v>
      </c>
      <c r="AU60" s="6">
        <v>2.2400000000000002</v>
      </c>
      <c r="AV60" s="6">
        <v>1.49</v>
      </c>
      <c r="AW60" s="6">
        <v>222.25</v>
      </c>
      <c r="AX60" s="6">
        <v>58.74</v>
      </c>
      <c r="AY60" s="6">
        <v>221.55</v>
      </c>
      <c r="AZ60" s="6">
        <v>11.9</v>
      </c>
      <c r="BA60" s="6">
        <v>31</v>
      </c>
    </row>
    <row r="61" spans="1:53" x14ac:dyDescent="0.3">
      <c r="A61" s="6">
        <v>397721596</v>
      </c>
      <c r="B61" s="6">
        <v>816751</v>
      </c>
      <c r="C61" s="6">
        <v>3011363</v>
      </c>
      <c r="D61" s="6">
        <v>9996</v>
      </c>
      <c r="E61" s="6" t="s">
        <v>185</v>
      </c>
      <c r="F61" s="6">
        <v>55901</v>
      </c>
      <c r="G61" s="6" t="s">
        <v>69</v>
      </c>
      <c r="H61" s="10">
        <v>45850</v>
      </c>
      <c r="I61" s="10">
        <v>45850</v>
      </c>
      <c r="J61" s="4">
        <v>45850.930555555555</v>
      </c>
      <c r="K61" s="4">
        <v>45851.10533564815</v>
      </c>
      <c r="L61" s="11">
        <v>45851.099780092591</v>
      </c>
      <c r="M61" s="10">
        <v>45851</v>
      </c>
      <c r="N61" s="6" t="s">
        <v>70</v>
      </c>
      <c r="O61" t="s">
        <v>72</v>
      </c>
      <c r="P61" s="6" t="s">
        <v>200</v>
      </c>
      <c r="Q61" t="s">
        <v>201</v>
      </c>
      <c r="R61" t="s">
        <v>62</v>
      </c>
      <c r="S61" s="6">
        <v>763246</v>
      </c>
      <c r="T61" s="6" t="s">
        <v>3</v>
      </c>
      <c r="U61">
        <v>81</v>
      </c>
      <c r="V61" s="6">
        <v>7.2</v>
      </c>
      <c r="W61" s="6">
        <v>7.6</v>
      </c>
      <c r="X61" s="6">
        <v>89.9</v>
      </c>
      <c r="Y61" s="6">
        <v>104.7</v>
      </c>
      <c r="Z61" s="6" t="s">
        <v>63</v>
      </c>
      <c r="AA61" t="s">
        <v>246</v>
      </c>
      <c r="AB61" s="6" t="s">
        <v>65</v>
      </c>
      <c r="AC61" t="s">
        <v>76</v>
      </c>
      <c r="AD61" t="s">
        <v>67</v>
      </c>
      <c r="AE61">
        <v>-8</v>
      </c>
      <c r="AF61">
        <v>0</v>
      </c>
      <c r="AG61">
        <v>0</v>
      </c>
      <c r="AH61" s="6">
        <v>50.1</v>
      </c>
      <c r="AI61" s="6">
        <v>0</v>
      </c>
      <c r="AJ61" s="6">
        <v>0.48099999999999998</v>
      </c>
      <c r="AK61" s="6">
        <v>0.86799999999999999</v>
      </c>
      <c r="AL61" s="8">
        <v>8065.93</v>
      </c>
      <c r="AM61" s="6" t="s">
        <v>114</v>
      </c>
      <c r="AN61" s="6">
        <v>1</v>
      </c>
      <c r="AO61" s="6">
        <v>1</v>
      </c>
      <c r="AP61" s="6">
        <v>0</v>
      </c>
      <c r="AQ61" s="6">
        <v>1</v>
      </c>
      <c r="AR61" s="6">
        <v>0</v>
      </c>
      <c r="AS61" s="6">
        <v>1</v>
      </c>
      <c r="AT61" s="6">
        <v>0</v>
      </c>
      <c r="AU61" s="6">
        <v>2.17</v>
      </c>
      <c r="AV61" s="6">
        <v>1.46</v>
      </c>
      <c r="AW61" s="6">
        <v>88.96</v>
      </c>
      <c r="AX61" s="6">
        <v>16.559999999999999</v>
      </c>
      <c r="AY61" s="6">
        <v>74.92</v>
      </c>
      <c r="AZ61" s="6">
        <v>13.3</v>
      </c>
      <c r="BA61" s="6">
        <v>36.700000000000003</v>
      </c>
    </row>
    <row r="62" spans="1:53" x14ac:dyDescent="0.3">
      <c r="A62" s="6">
        <v>255357534</v>
      </c>
      <c r="B62" s="6">
        <v>680099</v>
      </c>
      <c r="C62" s="6">
        <v>7003042</v>
      </c>
      <c r="D62" s="6">
        <v>6535</v>
      </c>
      <c r="E62" s="6" t="s">
        <v>101</v>
      </c>
      <c r="F62" s="6">
        <v>56129</v>
      </c>
      <c r="G62" s="6" t="s">
        <v>107</v>
      </c>
      <c r="H62" s="10">
        <v>45822</v>
      </c>
      <c r="I62" s="10">
        <v>45822</v>
      </c>
      <c r="J62" s="4">
        <v>45822.59375</v>
      </c>
      <c r="K62" s="4">
        <v>45822.782858796294</v>
      </c>
      <c r="L62" s="11">
        <v>45822.766192129631</v>
      </c>
      <c r="M62" s="10">
        <v>45822</v>
      </c>
      <c r="N62" s="6" t="s">
        <v>78</v>
      </c>
      <c r="O62" t="s">
        <v>222</v>
      </c>
      <c r="P62" s="6" t="s">
        <v>93</v>
      </c>
      <c r="Q62" t="s">
        <v>94</v>
      </c>
      <c r="R62" t="s">
        <v>73</v>
      </c>
      <c r="S62" s="6">
        <v>722662</v>
      </c>
      <c r="T62" s="6" t="s">
        <v>1</v>
      </c>
      <c r="U62">
        <v>162</v>
      </c>
      <c r="V62" s="6">
        <v>4.7</v>
      </c>
      <c r="W62" s="6">
        <v>4.5</v>
      </c>
      <c r="X62" s="6">
        <v>153.69999999999999</v>
      </c>
      <c r="Y62" s="6">
        <v>162.9</v>
      </c>
      <c r="Z62" s="6" t="s">
        <v>2</v>
      </c>
      <c r="AA62" t="s">
        <v>247</v>
      </c>
      <c r="AB62" s="6" t="s">
        <v>90</v>
      </c>
      <c r="AC62" t="s">
        <v>76</v>
      </c>
      <c r="AD62" t="s">
        <v>67</v>
      </c>
      <c r="AE62">
        <v>-24</v>
      </c>
      <c r="AF62">
        <v>0</v>
      </c>
      <c r="AG62">
        <v>0</v>
      </c>
      <c r="AH62" s="6">
        <v>42.1</v>
      </c>
      <c r="AI62" s="6">
        <v>0</v>
      </c>
      <c r="AJ62" s="6">
        <v>0.88300000000000001</v>
      </c>
      <c r="AK62" s="6">
        <v>0.85699999999999998</v>
      </c>
      <c r="AL62" s="8">
        <v>7873.73</v>
      </c>
      <c r="AM62" s="6" t="s">
        <v>68</v>
      </c>
      <c r="AN62" s="6">
        <v>1</v>
      </c>
      <c r="AO62" s="6">
        <v>1</v>
      </c>
      <c r="AP62" s="6">
        <v>0</v>
      </c>
      <c r="AQ62" s="6">
        <v>1</v>
      </c>
      <c r="AR62" s="6">
        <v>0</v>
      </c>
      <c r="AS62" s="6">
        <v>1</v>
      </c>
      <c r="AT62" s="6">
        <v>0</v>
      </c>
      <c r="AU62" s="6">
        <v>2.4900000000000002</v>
      </c>
      <c r="AV62" s="6">
        <v>1.94</v>
      </c>
      <c r="AW62" s="6">
        <v>105.68</v>
      </c>
      <c r="AX62" s="6">
        <v>33.520000000000003</v>
      </c>
      <c r="AY62" s="6">
        <v>110.08</v>
      </c>
      <c r="AZ62" s="6">
        <v>28.3</v>
      </c>
      <c r="BA62" s="6">
        <v>26.3</v>
      </c>
    </row>
    <row r="63" spans="1:53" x14ac:dyDescent="0.3">
      <c r="A63" s="6">
        <v>239577989</v>
      </c>
      <c r="B63" s="6">
        <v>733052</v>
      </c>
      <c r="C63" s="6">
        <v>2642635</v>
      </c>
      <c r="D63" s="6">
        <v>8989</v>
      </c>
      <c r="E63" s="6" t="s">
        <v>84</v>
      </c>
      <c r="F63" s="6">
        <v>51754</v>
      </c>
      <c r="G63" s="6" t="s">
        <v>115</v>
      </c>
      <c r="H63" s="10">
        <v>45869</v>
      </c>
      <c r="I63" s="10">
        <v>45869</v>
      </c>
      <c r="J63" s="4">
        <v>45869.381944444445</v>
      </c>
      <c r="K63" s="4">
        <v>45869.658865740741</v>
      </c>
      <c r="L63" s="11">
        <v>45869.629004629627</v>
      </c>
      <c r="M63" s="10">
        <v>45869</v>
      </c>
      <c r="N63" s="6" t="s">
        <v>170</v>
      </c>
      <c r="O63" t="s">
        <v>171</v>
      </c>
      <c r="P63" s="6" t="s">
        <v>134</v>
      </c>
      <c r="Q63" t="s">
        <v>248</v>
      </c>
      <c r="R63" t="s">
        <v>73</v>
      </c>
      <c r="S63" s="6">
        <v>790402</v>
      </c>
      <c r="T63" s="6" t="s">
        <v>1</v>
      </c>
      <c r="U63">
        <v>252</v>
      </c>
      <c r="V63" s="6">
        <v>3.9</v>
      </c>
      <c r="W63" s="6">
        <v>12</v>
      </c>
      <c r="X63" s="6">
        <v>250</v>
      </c>
      <c r="Y63" s="6">
        <v>265.89999999999998</v>
      </c>
      <c r="Z63" s="6" t="s">
        <v>2</v>
      </c>
      <c r="AA63" t="s">
        <v>249</v>
      </c>
      <c r="AB63" s="6" t="s">
        <v>97</v>
      </c>
      <c r="AC63" t="s">
        <v>137</v>
      </c>
      <c r="AD63" t="s">
        <v>67</v>
      </c>
      <c r="AE63">
        <v>-43</v>
      </c>
      <c r="AF63">
        <v>0</v>
      </c>
      <c r="AG63">
        <v>0</v>
      </c>
      <c r="AH63" s="6">
        <v>47.5</v>
      </c>
      <c r="AI63" s="6">
        <v>0</v>
      </c>
      <c r="AJ63" s="6">
        <v>0.45400000000000001</v>
      </c>
      <c r="AK63" s="6">
        <v>0.64</v>
      </c>
      <c r="AL63" s="8">
        <v>6754.03</v>
      </c>
      <c r="AM63" s="6" t="s">
        <v>68</v>
      </c>
      <c r="AN63" s="6">
        <v>1</v>
      </c>
      <c r="AO63" s="6">
        <v>1</v>
      </c>
      <c r="AP63" s="6">
        <v>0</v>
      </c>
      <c r="AQ63" s="6">
        <v>1</v>
      </c>
      <c r="AR63" s="6">
        <v>0</v>
      </c>
      <c r="AS63" s="6">
        <v>1</v>
      </c>
      <c r="AT63" s="6">
        <v>0</v>
      </c>
      <c r="AU63" s="6">
        <v>2.5099999999999998</v>
      </c>
      <c r="AV63" s="6">
        <v>1.93</v>
      </c>
      <c r="AW63" s="6">
        <v>185.5</v>
      </c>
      <c r="AX63" s="6">
        <v>47.39</v>
      </c>
      <c r="AY63" s="6">
        <v>163.5</v>
      </c>
      <c r="AZ63" s="6">
        <v>11.9</v>
      </c>
      <c r="BA63" s="6">
        <v>9.5</v>
      </c>
    </row>
    <row r="64" spans="1:53" x14ac:dyDescent="0.3">
      <c r="A64" s="6">
        <v>680051935</v>
      </c>
      <c r="B64" s="6">
        <v>766563</v>
      </c>
      <c r="C64" s="6">
        <v>9910817</v>
      </c>
      <c r="D64" s="6">
        <v>1391</v>
      </c>
      <c r="E64" s="6" t="s">
        <v>185</v>
      </c>
      <c r="F64" s="6">
        <v>52464</v>
      </c>
      <c r="G64" s="6" t="s">
        <v>203</v>
      </c>
      <c r="H64" s="10">
        <v>45978</v>
      </c>
      <c r="I64" s="10">
        <v>45978</v>
      </c>
      <c r="J64" s="4">
        <v>45978.135416666664</v>
      </c>
      <c r="K64" s="4">
        <v>45978.257280092592</v>
      </c>
      <c r="L64" s="11">
        <v>45978.246168981481</v>
      </c>
      <c r="M64" s="10">
        <v>45978</v>
      </c>
      <c r="N64" s="6" t="s">
        <v>103</v>
      </c>
      <c r="O64" t="s">
        <v>204</v>
      </c>
      <c r="P64" s="6" t="s">
        <v>134</v>
      </c>
      <c r="Q64" t="s">
        <v>135</v>
      </c>
      <c r="R64" t="s">
        <v>73</v>
      </c>
      <c r="S64" s="6">
        <v>763999</v>
      </c>
      <c r="T64" s="6" t="s">
        <v>3</v>
      </c>
      <c r="U64">
        <v>91</v>
      </c>
      <c r="V64" s="6">
        <v>26.2</v>
      </c>
      <c r="W64" s="6">
        <v>4.8</v>
      </c>
      <c r="X64" s="6">
        <v>84</v>
      </c>
      <c r="Y64" s="6">
        <v>115</v>
      </c>
      <c r="Z64" s="6" t="s">
        <v>80</v>
      </c>
      <c r="AA64" t="s">
        <v>250</v>
      </c>
      <c r="AB64" s="6" t="s">
        <v>82</v>
      </c>
      <c r="AC64" t="s">
        <v>83</v>
      </c>
      <c r="AD64" t="s">
        <v>67</v>
      </c>
      <c r="AE64">
        <v>-16</v>
      </c>
      <c r="AF64">
        <v>0</v>
      </c>
      <c r="AG64">
        <v>0</v>
      </c>
      <c r="AH64" s="6">
        <v>63.7</v>
      </c>
      <c r="AI64" s="6">
        <v>0</v>
      </c>
      <c r="AJ64" s="6">
        <v>0.39900000000000002</v>
      </c>
      <c r="AK64" s="6">
        <v>0.55900000000000005</v>
      </c>
      <c r="AL64" s="8">
        <v>4873.91</v>
      </c>
      <c r="AM64" s="6" t="s">
        <v>68</v>
      </c>
      <c r="AN64" s="6">
        <v>1</v>
      </c>
      <c r="AO64" s="6">
        <v>1</v>
      </c>
      <c r="AP64" s="6">
        <v>0</v>
      </c>
      <c r="AQ64" s="6">
        <v>1</v>
      </c>
      <c r="AR64" s="6">
        <v>0</v>
      </c>
      <c r="AS64" s="6">
        <v>1</v>
      </c>
      <c r="AT64" s="6">
        <v>0</v>
      </c>
      <c r="AU64" s="6">
        <v>2.2999999999999998</v>
      </c>
      <c r="AV64" s="6">
        <v>1.43</v>
      </c>
      <c r="AW64" s="6">
        <v>100.63</v>
      </c>
      <c r="AX64" s="6">
        <v>21.06</v>
      </c>
      <c r="AY64" s="6">
        <v>80.819999999999993</v>
      </c>
      <c r="AZ64" s="6">
        <v>10</v>
      </c>
      <c r="BA64" s="6">
        <v>28.3</v>
      </c>
    </row>
    <row r="65" spans="1:53" x14ac:dyDescent="0.3">
      <c r="A65" s="6">
        <v>369137895</v>
      </c>
      <c r="B65" s="6">
        <v>319684</v>
      </c>
      <c r="C65" s="6">
        <v>2149597</v>
      </c>
      <c r="D65" s="6">
        <v>9392</v>
      </c>
      <c r="E65" s="6" t="s">
        <v>185</v>
      </c>
      <c r="F65" s="6">
        <v>54482</v>
      </c>
      <c r="G65" s="6" t="s">
        <v>164</v>
      </c>
      <c r="H65" s="10">
        <v>45974</v>
      </c>
      <c r="I65" s="10">
        <v>45974</v>
      </c>
      <c r="J65" s="4">
        <v>45974.027777777781</v>
      </c>
      <c r="K65" s="4">
        <v>45974.090277777781</v>
      </c>
      <c r="L65" s="11">
        <v>45974.075694444444</v>
      </c>
      <c r="M65" s="10">
        <v>45974</v>
      </c>
      <c r="N65" s="6" t="s">
        <v>116</v>
      </c>
      <c r="O65" t="s">
        <v>251</v>
      </c>
      <c r="P65" s="6" t="s">
        <v>93</v>
      </c>
      <c r="Q65" t="s">
        <v>95</v>
      </c>
      <c r="R65" t="s">
        <v>73</v>
      </c>
      <c r="S65" s="6">
        <v>790386</v>
      </c>
      <c r="T65" s="6" t="s">
        <v>3</v>
      </c>
      <c r="U65">
        <v>47</v>
      </c>
      <c r="V65" s="6">
        <v>41</v>
      </c>
      <c r="W65" s="6">
        <v>25.4</v>
      </c>
      <c r="X65" s="6">
        <v>51.3</v>
      </c>
      <c r="Y65" s="6">
        <v>117.7</v>
      </c>
      <c r="Z65" s="6" t="s">
        <v>215</v>
      </c>
      <c r="AA65" t="s">
        <v>252</v>
      </c>
      <c r="AB65" s="6" t="s">
        <v>82</v>
      </c>
      <c r="AC65" t="s">
        <v>137</v>
      </c>
      <c r="AD65" t="s">
        <v>67</v>
      </c>
      <c r="AE65">
        <v>-21</v>
      </c>
      <c r="AF65">
        <v>0</v>
      </c>
      <c r="AG65">
        <v>2.5</v>
      </c>
      <c r="AH65" s="6">
        <v>59.2</v>
      </c>
      <c r="AI65" s="6">
        <v>0</v>
      </c>
      <c r="AJ65" s="6">
        <v>0.64600000000000002</v>
      </c>
      <c r="AK65" s="6">
        <v>0.58199999999999996</v>
      </c>
      <c r="AL65" s="8">
        <v>4754.2</v>
      </c>
      <c r="AM65" s="6" t="s">
        <v>68</v>
      </c>
      <c r="AN65" s="6">
        <v>1</v>
      </c>
      <c r="AO65" s="6">
        <v>1</v>
      </c>
      <c r="AP65" s="6">
        <v>0</v>
      </c>
      <c r="AQ65" s="6">
        <v>1</v>
      </c>
      <c r="AR65" s="6">
        <v>0</v>
      </c>
      <c r="AS65" s="6">
        <v>1</v>
      </c>
      <c r="AT65" s="6">
        <v>0</v>
      </c>
      <c r="AU65" s="6">
        <v>2.37</v>
      </c>
      <c r="AV65" s="6">
        <v>1.66</v>
      </c>
      <c r="AW65" s="6">
        <v>99.44</v>
      </c>
      <c r="AX65" s="6">
        <v>22.61</v>
      </c>
      <c r="AY65" s="6">
        <v>61.53</v>
      </c>
      <c r="AZ65" s="6">
        <v>39.1</v>
      </c>
      <c r="BA65" s="6">
        <v>12.7</v>
      </c>
    </row>
    <row r="66" spans="1:53" x14ac:dyDescent="0.3">
      <c r="A66" s="6">
        <v>957397689</v>
      </c>
      <c r="B66" s="6">
        <v>847581</v>
      </c>
      <c r="C66" s="6">
        <v>3919694</v>
      </c>
      <c r="D66" s="6">
        <v>9050</v>
      </c>
      <c r="E66" s="6" t="s">
        <v>185</v>
      </c>
      <c r="F66" s="6">
        <v>59686</v>
      </c>
      <c r="G66" s="6" t="s">
        <v>127</v>
      </c>
      <c r="H66" s="10">
        <v>45822</v>
      </c>
      <c r="I66" s="10">
        <v>45822</v>
      </c>
      <c r="J66" s="4">
        <v>45822.253472222219</v>
      </c>
      <c r="K66" s="4">
        <v>45822.31659722222</v>
      </c>
      <c r="L66" s="11">
        <v>45822.278402777774</v>
      </c>
      <c r="M66" s="10">
        <v>45822</v>
      </c>
      <c r="N66" s="6" t="s">
        <v>170</v>
      </c>
      <c r="O66" t="s">
        <v>221</v>
      </c>
      <c r="P66" s="6" t="s">
        <v>86</v>
      </c>
      <c r="Q66" t="s">
        <v>253</v>
      </c>
      <c r="R66" t="s">
        <v>88</v>
      </c>
      <c r="S66" s="6">
        <v>792123</v>
      </c>
      <c r="T66" s="6" t="s">
        <v>3</v>
      </c>
      <c r="U66">
        <v>23</v>
      </c>
      <c r="V66" s="6">
        <v>5.7</v>
      </c>
      <c r="W66" s="6">
        <v>20.3</v>
      </c>
      <c r="X66" s="6">
        <v>18.399999999999999</v>
      </c>
      <c r="Y66" s="6">
        <v>44.4</v>
      </c>
      <c r="Z66" s="6" t="s">
        <v>63</v>
      </c>
      <c r="AA66" t="s">
        <v>254</v>
      </c>
      <c r="AB66" s="6" t="s">
        <v>97</v>
      </c>
      <c r="AC66" t="s">
        <v>76</v>
      </c>
      <c r="AD66" t="s">
        <v>67</v>
      </c>
      <c r="AE66">
        <v>-55</v>
      </c>
      <c r="AF66">
        <v>0</v>
      </c>
      <c r="AG66">
        <v>0</v>
      </c>
      <c r="AH66" s="6">
        <v>64.5</v>
      </c>
      <c r="AI66" s="6">
        <v>0</v>
      </c>
      <c r="AJ66" s="6">
        <v>0.93400000000000005</v>
      </c>
      <c r="AK66" s="6">
        <v>0.86699999999999999</v>
      </c>
      <c r="AL66" s="8">
        <v>5757.09</v>
      </c>
      <c r="AM66" s="6" t="s">
        <v>68</v>
      </c>
      <c r="AN66" s="6">
        <v>1</v>
      </c>
      <c r="AO66" s="6">
        <v>1</v>
      </c>
      <c r="AP66" s="6">
        <v>0</v>
      </c>
      <c r="AQ66" s="6">
        <v>1</v>
      </c>
      <c r="AR66" s="6">
        <v>0</v>
      </c>
      <c r="AS66" s="6">
        <v>1</v>
      </c>
      <c r="AT66" s="6">
        <v>0</v>
      </c>
      <c r="AU66" s="6">
        <v>2.19</v>
      </c>
      <c r="AV66" s="6">
        <v>1.62</v>
      </c>
      <c r="AW66" s="6">
        <v>40.74</v>
      </c>
      <c r="AX66" s="6">
        <v>6.68</v>
      </c>
      <c r="AY66" s="6">
        <v>28.73</v>
      </c>
      <c r="AZ66" s="6">
        <v>12.5</v>
      </c>
      <c r="BA66" s="6">
        <v>26.5</v>
      </c>
    </row>
    <row r="67" spans="1:53" x14ac:dyDescent="0.3">
      <c r="A67" s="6">
        <v>287364857</v>
      </c>
      <c r="B67" s="6">
        <v>543692</v>
      </c>
      <c r="C67" s="6">
        <v>6472441</v>
      </c>
      <c r="D67" s="6">
        <v>5911</v>
      </c>
      <c r="E67" s="6" t="s">
        <v>101</v>
      </c>
      <c r="F67" s="6">
        <v>59044</v>
      </c>
      <c r="G67" s="6" t="s">
        <v>69</v>
      </c>
      <c r="H67" s="10">
        <v>45663</v>
      </c>
      <c r="I67" s="10">
        <v>45663</v>
      </c>
      <c r="J67" s="4">
        <v>45663.361111111109</v>
      </c>
      <c r="K67" s="4">
        <v>45663.453263888892</v>
      </c>
      <c r="L67" s="11">
        <v>45663.424791666665</v>
      </c>
      <c r="M67" s="10">
        <v>45663</v>
      </c>
      <c r="N67" s="6" t="s">
        <v>200</v>
      </c>
      <c r="O67" t="s">
        <v>201</v>
      </c>
      <c r="P67" s="6" t="s">
        <v>86</v>
      </c>
      <c r="Q67" t="s">
        <v>243</v>
      </c>
      <c r="R67" t="s">
        <v>88</v>
      </c>
      <c r="S67" s="6">
        <v>775527</v>
      </c>
      <c r="T67" s="6" t="s">
        <v>3</v>
      </c>
      <c r="U67">
        <v>103</v>
      </c>
      <c r="V67" s="6">
        <v>36.200000000000003</v>
      </c>
      <c r="W67" s="6">
        <v>47.8</v>
      </c>
      <c r="X67" s="6">
        <v>109.8</v>
      </c>
      <c r="Y67" s="6">
        <v>193.8</v>
      </c>
      <c r="Z67" s="6" t="s">
        <v>63</v>
      </c>
      <c r="AA67" t="s">
        <v>255</v>
      </c>
      <c r="AB67" s="6" t="s">
        <v>97</v>
      </c>
      <c r="AC67" t="s">
        <v>83</v>
      </c>
      <c r="AD67" t="s">
        <v>67</v>
      </c>
      <c r="AE67">
        <v>-41</v>
      </c>
      <c r="AF67">
        <v>0</v>
      </c>
      <c r="AG67">
        <v>0</v>
      </c>
      <c r="AH67" s="6">
        <v>59.5</v>
      </c>
      <c r="AI67" s="6">
        <v>0</v>
      </c>
      <c r="AJ67" s="6">
        <v>0.47499999999999998</v>
      </c>
      <c r="AK67" s="6">
        <v>0.77500000000000002</v>
      </c>
      <c r="AL67" s="8">
        <v>50472.46</v>
      </c>
      <c r="AM67" s="6" t="s">
        <v>155</v>
      </c>
      <c r="AN67" s="6">
        <v>1</v>
      </c>
      <c r="AO67" s="6">
        <v>1</v>
      </c>
      <c r="AP67" s="6">
        <v>0</v>
      </c>
      <c r="AQ67" s="6">
        <v>1</v>
      </c>
      <c r="AR67" s="6">
        <v>0</v>
      </c>
      <c r="AS67" s="6">
        <v>1</v>
      </c>
      <c r="AT67" s="6">
        <v>0</v>
      </c>
      <c r="AU67" s="6">
        <v>1.9</v>
      </c>
      <c r="AV67" s="6">
        <v>1.22</v>
      </c>
      <c r="AW67" s="6">
        <v>157.6</v>
      </c>
      <c r="AX67" s="6">
        <v>37.81</v>
      </c>
      <c r="AY67" s="6">
        <v>114.44</v>
      </c>
      <c r="AZ67" s="6">
        <v>20.5</v>
      </c>
      <c r="BA67" s="6">
        <v>57.1</v>
      </c>
    </row>
    <row r="68" spans="1:53" x14ac:dyDescent="0.3">
      <c r="A68" s="6">
        <v>218032515</v>
      </c>
      <c r="B68" s="6">
        <v>260263</v>
      </c>
      <c r="C68" s="6">
        <v>5674183</v>
      </c>
      <c r="D68" s="6">
        <v>5736</v>
      </c>
      <c r="E68" s="6" t="s">
        <v>185</v>
      </c>
      <c r="F68" s="6">
        <v>57400</v>
      </c>
      <c r="G68" s="6" t="s">
        <v>115</v>
      </c>
      <c r="H68" s="10">
        <v>45813</v>
      </c>
      <c r="I68" s="10">
        <v>45813</v>
      </c>
      <c r="J68" s="4">
        <v>45813.423611111109</v>
      </c>
      <c r="K68" s="4">
        <v>45813.575706018521</v>
      </c>
      <c r="L68" s="11">
        <v>45813.591678240744</v>
      </c>
      <c r="M68" s="10">
        <v>45813</v>
      </c>
      <c r="N68" s="6" t="s">
        <v>116</v>
      </c>
      <c r="O68" t="s">
        <v>139</v>
      </c>
      <c r="P68" s="6" t="s">
        <v>170</v>
      </c>
      <c r="Q68" t="s">
        <v>171</v>
      </c>
      <c r="R68" t="s">
        <v>62</v>
      </c>
      <c r="S68" s="6">
        <v>712499</v>
      </c>
      <c r="T68" s="6" t="s">
        <v>1</v>
      </c>
      <c r="U68">
        <v>179</v>
      </c>
      <c r="V68" s="6">
        <v>6.5</v>
      </c>
      <c r="W68" s="6">
        <v>10</v>
      </c>
      <c r="X68" s="6">
        <v>168.9</v>
      </c>
      <c r="Y68" s="6">
        <v>185.4</v>
      </c>
      <c r="Z68" s="6" t="s">
        <v>2</v>
      </c>
      <c r="AA68" t="s">
        <v>256</v>
      </c>
      <c r="AB68" s="6" t="s">
        <v>75</v>
      </c>
      <c r="AC68" t="s">
        <v>137</v>
      </c>
      <c r="AD68" t="s">
        <v>67</v>
      </c>
      <c r="AE68">
        <v>23</v>
      </c>
      <c r="AF68">
        <v>0</v>
      </c>
      <c r="AG68">
        <v>0</v>
      </c>
      <c r="AH68" s="6">
        <v>60.8</v>
      </c>
      <c r="AI68" s="6">
        <v>0</v>
      </c>
      <c r="AJ68" s="6">
        <v>0.70499999999999996</v>
      </c>
      <c r="AK68" s="6">
        <v>0.84399999999999997</v>
      </c>
      <c r="AL68" s="8">
        <v>2807.25</v>
      </c>
      <c r="AM68" s="6" t="s">
        <v>68</v>
      </c>
      <c r="AN68" s="6">
        <v>1</v>
      </c>
      <c r="AO68" s="6">
        <v>0</v>
      </c>
      <c r="AP68" s="6">
        <v>1</v>
      </c>
      <c r="AQ68" s="6">
        <v>0</v>
      </c>
      <c r="AR68" s="6">
        <v>1</v>
      </c>
      <c r="AS68" s="6">
        <v>0</v>
      </c>
      <c r="AT68" s="6">
        <v>1</v>
      </c>
      <c r="AU68" s="6">
        <v>2.35</v>
      </c>
      <c r="AV68" s="6">
        <v>1.57</v>
      </c>
      <c r="AW68" s="6">
        <v>131.81</v>
      </c>
      <c r="AX68" s="6">
        <v>19.670000000000002</v>
      </c>
      <c r="AY68" s="6">
        <v>95.43</v>
      </c>
      <c r="AZ68" s="6">
        <v>30.8</v>
      </c>
      <c r="BA68" s="6">
        <v>27.3</v>
      </c>
    </row>
    <row r="69" spans="1:53" x14ac:dyDescent="0.3">
      <c r="A69" s="6">
        <v>809805235</v>
      </c>
      <c r="B69" s="6">
        <v>946335</v>
      </c>
      <c r="C69" s="6">
        <v>1247595</v>
      </c>
      <c r="D69" s="6">
        <v>6675</v>
      </c>
      <c r="E69" s="6" t="s">
        <v>84</v>
      </c>
      <c r="F69" s="6">
        <v>56806</v>
      </c>
      <c r="G69" s="6" t="s">
        <v>102</v>
      </c>
      <c r="H69" s="10">
        <v>45879</v>
      </c>
      <c r="I69" s="10">
        <v>45879</v>
      </c>
      <c r="J69" s="4">
        <v>45879.604166666664</v>
      </c>
      <c r="K69" s="4">
        <v>45879.750983796293</v>
      </c>
      <c r="L69" s="11">
        <v>45879.739872685182</v>
      </c>
      <c r="M69" s="10">
        <v>45879</v>
      </c>
      <c r="N69" s="6" t="s">
        <v>132</v>
      </c>
      <c r="O69" t="s">
        <v>186</v>
      </c>
      <c r="P69" s="6" t="s">
        <v>59</v>
      </c>
      <c r="Q69" t="s">
        <v>85</v>
      </c>
      <c r="R69" t="s">
        <v>62</v>
      </c>
      <c r="S69" s="6">
        <v>778018</v>
      </c>
      <c r="T69" s="6" t="s">
        <v>1</v>
      </c>
      <c r="U69">
        <v>127</v>
      </c>
      <c r="V69" s="6">
        <v>8.6999999999999993</v>
      </c>
      <c r="W69" s="6">
        <v>16</v>
      </c>
      <c r="X69" s="6">
        <v>124.3</v>
      </c>
      <c r="Y69" s="6">
        <v>149</v>
      </c>
      <c r="Z69" s="6" t="s">
        <v>63</v>
      </c>
      <c r="AA69" t="s">
        <v>257</v>
      </c>
      <c r="AB69" s="6" t="s">
        <v>90</v>
      </c>
      <c r="AC69" t="s">
        <v>91</v>
      </c>
      <c r="AD69" t="s">
        <v>67</v>
      </c>
      <c r="AE69">
        <v>-16</v>
      </c>
      <c r="AF69">
        <v>0</v>
      </c>
      <c r="AG69">
        <v>0</v>
      </c>
      <c r="AH69" s="6">
        <v>48</v>
      </c>
      <c r="AI69" s="6">
        <v>0</v>
      </c>
      <c r="AJ69" s="6">
        <v>0.78700000000000003</v>
      </c>
      <c r="AK69" s="6">
        <v>0.76100000000000001</v>
      </c>
      <c r="AL69" s="8">
        <v>102663.84</v>
      </c>
      <c r="AM69" s="6" t="s">
        <v>155</v>
      </c>
      <c r="AN69" s="6">
        <v>1</v>
      </c>
      <c r="AO69" s="6">
        <v>1</v>
      </c>
      <c r="AP69" s="6">
        <v>0</v>
      </c>
      <c r="AQ69" s="6">
        <v>1</v>
      </c>
      <c r="AR69" s="6">
        <v>0</v>
      </c>
      <c r="AS69" s="6">
        <v>1</v>
      </c>
      <c r="AT69" s="6">
        <v>0</v>
      </c>
      <c r="AU69" s="6">
        <v>1.87</v>
      </c>
      <c r="AV69" s="6">
        <v>1.49</v>
      </c>
      <c r="AW69" s="6">
        <v>116.87</v>
      </c>
      <c r="AX69" s="6">
        <v>28.59</v>
      </c>
      <c r="AY69" s="6">
        <v>74.209999999999994</v>
      </c>
      <c r="AZ69" s="6">
        <v>32.6</v>
      </c>
      <c r="BA69" s="6">
        <v>9.9</v>
      </c>
    </row>
    <row r="70" spans="1:53" x14ac:dyDescent="0.3">
      <c r="A70" s="6">
        <v>127681228</v>
      </c>
      <c r="B70" s="6">
        <v>719176</v>
      </c>
      <c r="C70" s="6">
        <v>2130789</v>
      </c>
      <c r="D70" s="6">
        <v>6311</v>
      </c>
      <c r="E70" s="6" t="s">
        <v>211</v>
      </c>
      <c r="F70" s="6">
        <v>58643</v>
      </c>
      <c r="G70" s="6" t="s">
        <v>149</v>
      </c>
      <c r="H70" s="10">
        <v>45861</v>
      </c>
      <c r="I70" s="10">
        <v>45861</v>
      </c>
      <c r="J70" s="4">
        <v>45861.645833333336</v>
      </c>
      <c r="K70" s="4">
        <v>45861.827800925923</v>
      </c>
      <c r="L70" s="11">
        <v>45861.836134259262</v>
      </c>
      <c r="M70" s="10">
        <v>45861</v>
      </c>
      <c r="N70" s="6" t="s">
        <v>70</v>
      </c>
      <c r="O70" t="s">
        <v>71</v>
      </c>
      <c r="P70" s="6" t="s">
        <v>132</v>
      </c>
      <c r="Q70" t="s">
        <v>133</v>
      </c>
      <c r="R70" t="s">
        <v>62</v>
      </c>
      <c r="S70" s="6">
        <v>784181</v>
      </c>
      <c r="T70" s="6" t="s">
        <v>1</v>
      </c>
      <c r="U70">
        <v>210</v>
      </c>
      <c r="V70" s="6">
        <v>2.7</v>
      </c>
      <c r="W70" s="6">
        <v>17.399999999999999</v>
      </c>
      <c r="X70" s="6">
        <v>220.7</v>
      </c>
      <c r="Y70" s="6">
        <v>240.8</v>
      </c>
      <c r="Z70" s="6" t="s">
        <v>63</v>
      </c>
      <c r="AA70" t="s">
        <v>258</v>
      </c>
      <c r="AB70" s="6" t="s">
        <v>90</v>
      </c>
      <c r="AC70" t="s">
        <v>125</v>
      </c>
      <c r="AD70" t="s">
        <v>67</v>
      </c>
      <c r="AE70">
        <v>12</v>
      </c>
      <c r="AF70">
        <v>0</v>
      </c>
      <c r="AG70">
        <v>0</v>
      </c>
      <c r="AH70" s="6">
        <v>21.8</v>
      </c>
      <c r="AI70" s="6">
        <v>0</v>
      </c>
      <c r="AJ70" s="6">
        <v>0.86799999999999999</v>
      </c>
      <c r="AK70" s="6">
        <v>0.622</v>
      </c>
      <c r="AL70" s="8">
        <v>8734.8799999999992</v>
      </c>
      <c r="AM70" s="6" t="s">
        <v>114</v>
      </c>
      <c r="AN70" s="6">
        <v>1</v>
      </c>
      <c r="AO70" s="6">
        <v>1</v>
      </c>
      <c r="AP70" s="6">
        <v>0</v>
      </c>
      <c r="AQ70" s="6">
        <v>1</v>
      </c>
      <c r="AR70" s="6">
        <v>0</v>
      </c>
      <c r="AS70" s="6">
        <v>1</v>
      </c>
      <c r="AT70" s="6">
        <v>0</v>
      </c>
      <c r="AU70" s="6">
        <v>2.5299999999999998</v>
      </c>
      <c r="AV70" s="6">
        <v>1.89</v>
      </c>
      <c r="AW70" s="6">
        <v>217.49</v>
      </c>
      <c r="AX70" s="6">
        <v>42.47</v>
      </c>
      <c r="AY70" s="6">
        <v>143.37</v>
      </c>
      <c r="AZ70" s="6">
        <v>17</v>
      </c>
      <c r="BA70" s="6">
        <v>43.7</v>
      </c>
    </row>
    <row r="71" spans="1:53" x14ac:dyDescent="0.3">
      <c r="A71" s="6">
        <v>241522640</v>
      </c>
      <c r="B71" s="6">
        <v>301629</v>
      </c>
      <c r="C71" s="6">
        <v>8633773</v>
      </c>
      <c r="D71" s="6">
        <v>7331</v>
      </c>
      <c r="E71" s="6" t="s">
        <v>84</v>
      </c>
      <c r="F71" s="6">
        <v>57396</v>
      </c>
      <c r="G71" s="6" t="s">
        <v>115</v>
      </c>
      <c r="H71" s="10">
        <v>45895</v>
      </c>
      <c r="I71" s="10">
        <v>45895</v>
      </c>
      <c r="J71" s="4">
        <v>45895.336805555555</v>
      </c>
      <c r="K71" s="4">
        <v>45895.472453703704</v>
      </c>
      <c r="L71" s="11">
        <v>45895.464814814812</v>
      </c>
      <c r="M71" s="10">
        <v>45895</v>
      </c>
      <c r="N71" s="6" t="s">
        <v>129</v>
      </c>
      <c r="O71" t="s">
        <v>130</v>
      </c>
      <c r="P71" s="6" t="s">
        <v>176</v>
      </c>
      <c r="Q71" t="s">
        <v>177</v>
      </c>
      <c r="R71" t="s">
        <v>88</v>
      </c>
      <c r="S71" s="6">
        <v>739373</v>
      </c>
      <c r="T71" s="6" t="s">
        <v>3</v>
      </c>
      <c r="U71">
        <v>89</v>
      </c>
      <c r="V71" s="6">
        <v>46</v>
      </c>
      <c r="W71" s="6">
        <v>0.9</v>
      </c>
      <c r="X71" s="6">
        <v>84.4</v>
      </c>
      <c r="Y71" s="6">
        <v>131.30000000000001</v>
      </c>
      <c r="Z71" s="6" t="s">
        <v>112</v>
      </c>
      <c r="AA71" t="s">
        <v>259</v>
      </c>
      <c r="AB71" s="6" t="s">
        <v>97</v>
      </c>
      <c r="AC71" t="s">
        <v>66</v>
      </c>
      <c r="AD71" t="s">
        <v>67</v>
      </c>
      <c r="AE71">
        <v>-11</v>
      </c>
      <c r="AF71">
        <v>41</v>
      </c>
      <c r="AG71">
        <v>0</v>
      </c>
      <c r="AH71" s="6">
        <v>46.1</v>
      </c>
      <c r="AI71" s="6">
        <v>0</v>
      </c>
      <c r="AJ71" s="6">
        <v>0.58799999999999997</v>
      </c>
      <c r="AK71" s="6">
        <v>0.70399999999999996</v>
      </c>
      <c r="AL71" s="8">
        <v>6726.56</v>
      </c>
      <c r="AM71" s="6" t="s">
        <v>114</v>
      </c>
      <c r="AN71" s="6">
        <v>1</v>
      </c>
      <c r="AO71" s="6">
        <v>1</v>
      </c>
      <c r="AP71" s="6">
        <v>0</v>
      </c>
      <c r="AQ71" s="6">
        <v>1</v>
      </c>
      <c r="AR71" s="6">
        <v>0</v>
      </c>
      <c r="AS71" s="6">
        <v>1</v>
      </c>
      <c r="AT71" s="6">
        <v>0</v>
      </c>
      <c r="AU71" s="6">
        <v>2.5099999999999998</v>
      </c>
      <c r="AV71" s="6">
        <v>1.7</v>
      </c>
      <c r="AW71" s="6">
        <v>107.08</v>
      </c>
      <c r="AX71" s="6">
        <v>22.06</v>
      </c>
      <c r="AY71" s="6">
        <v>70.55</v>
      </c>
      <c r="AZ71" s="6">
        <v>63.5</v>
      </c>
      <c r="BA71" s="6">
        <v>6.1</v>
      </c>
    </row>
    <row r="72" spans="1:53" x14ac:dyDescent="0.3">
      <c r="A72" s="6">
        <v>115956152</v>
      </c>
      <c r="B72" s="6">
        <v>230889</v>
      </c>
      <c r="C72" s="6">
        <v>9147706</v>
      </c>
      <c r="D72" s="6">
        <v>2016</v>
      </c>
      <c r="E72" s="6" t="s">
        <v>84</v>
      </c>
      <c r="F72" s="6">
        <v>57338</v>
      </c>
      <c r="G72" s="6" t="s">
        <v>175</v>
      </c>
      <c r="H72" s="10">
        <v>45714</v>
      </c>
      <c r="I72" s="10">
        <v>45714</v>
      </c>
      <c r="J72" s="4">
        <v>45714.479166666664</v>
      </c>
      <c r="K72" s="4">
        <v>45715.002500000002</v>
      </c>
      <c r="L72" s="11">
        <v>45715.008750000001</v>
      </c>
      <c r="M72" s="10">
        <v>45715</v>
      </c>
      <c r="N72" s="6" t="s">
        <v>116</v>
      </c>
      <c r="O72" t="s">
        <v>117</v>
      </c>
      <c r="P72" s="6" t="s">
        <v>116</v>
      </c>
      <c r="Q72" t="s">
        <v>128</v>
      </c>
      <c r="R72" t="s">
        <v>123</v>
      </c>
      <c r="S72" s="6">
        <v>748114</v>
      </c>
      <c r="T72" s="6" t="s">
        <v>140</v>
      </c>
      <c r="U72">
        <v>606</v>
      </c>
      <c r="V72" s="6">
        <v>59</v>
      </c>
      <c r="W72" s="6">
        <v>12.8</v>
      </c>
      <c r="X72" s="6">
        <v>612.4</v>
      </c>
      <c r="Y72" s="6">
        <v>684.2</v>
      </c>
      <c r="Z72" s="6" t="s">
        <v>2</v>
      </c>
      <c r="AA72" t="s">
        <v>260</v>
      </c>
      <c r="AB72" s="6" t="s">
        <v>75</v>
      </c>
      <c r="AC72" t="s">
        <v>125</v>
      </c>
      <c r="AD72" t="s">
        <v>67</v>
      </c>
      <c r="AE72">
        <v>9</v>
      </c>
      <c r="AF72">
        <v>0</v>
      </c>
      <c r="AG72">
        <v>0</v>
      </c>
      <c r="AH72" s="6">
        <v>65.7</v>
      </c>
      <c r="AI72" s="6">
        <v>0</v>
      </c>
      <c r="AJ72" s="6">
        <v>0.53600000000000003</v>
      </c>
      <c r="AK72" s="6">
        <v>0.38500000000000001</v>
      </c>
      <c r="AL72" s="8">
        <v>2334.9899999999998</v>
      </c>
      <c r="AM72" s="6" t="s">
        <v>68</v>
      </c>
      <c r="AN72" s="6">
        <v>1</v>
      </c>
      <c r="AO72" s="6">
        <v>1</v>
      </c>
      <c r="AP72" s="6">
        <v>0</v>
      </c>
      <c r="AQ72" s="6">
        <v>1</v>
      </c>
      <c r="AR72" s="6">
        <v>0</v>
      </c>
      <c r="AS72" s="6">
        <v>1</v>
      </c>
      <c r="AT72" s="6">
        <v>0</v>
      </c>
      <c r="AU72" s="6">
        <v>2.27</v>
      </c>
      <c r="AV72" s="6">
        <v>1.58</v>
      </c>
      <c r="AW72" s="6">
        <v>605.14</v>
      </c>
      <c r="AX72" s="6">
        <v>94.54</v>
      </c>
      <c r="AY72" s="6">
        <v>369.55</v>
      </c>
      <c r="AZ72" s="6">
        <v>28.3</v>
      </c>
      <c r="BA72" s="6">
        <v>0</v>
      </c>
    </row>
    <row r="73" spans="1:53" x14ac:dyDescent="0.3">
      <c r="A73" s="6">
        <v>484659715</v>
      </c>
      <c r="B73" s="6">
        <v>944151</v>
      </c>
      <c r="C73" s="6">
        <v>6855396</v>
      </c>
      <c r="D73" s="6">
        <v>8574</v>
      </c>
      <c r="E73" s="6" t="s">
        <v>225</v>
      </c>
      <c r="F73" s="6">
        <v>59950</v>
      </c>
      <c r="G73" s="6" t="s">
        <v>127</v>
      </c>
      <c r="H73" s="10">
        <v>45893</v>
      </c>
      <c r="I73" s="10">
        <v>45893</v>
      </c>
      <c r="J73" s="4">
        <v>45893.472222222219</v>
      </c>
      <c r="K73" s="4">
        <v>45893.863171296296</v>
      </c>
      <c r="L73" s="11">
        <v>45893.85900462963</v>
      </c>
      <c r="M73" s="10">
        <v>45893</v>
      </c>
      <c r="N73" s="6" t="s">
        <v>86</v>
      </c>
      <c r="O73" t="s">
        <v>243</v>
      </c>
      <c r="P73" s="6" t="s">
        <v>93</v>
      </c>
      <c r="Q73" t="s">
        <v>94</v>
      </c>
      <c r="R73" t="s">
        <v>73</v>
      </c>
      <c r="S73" s="6">
        <v>704898</v>
      </c>
      <c r="T73" s="6" t="s">
        <v>111</v>
      </c>
      <c r="U73">
        <v>351</v>
      </c>
      <c r="V73" s="6">
        <v>8.9</v>
      </c>
      <c r="W73" s="6">
        <v>21.2</v>
      </c>
      <c r="X73" s="6">
        <v>355.2</v>
      </c>
      <c r="Y73" s="6">
        <v>385.3</v>
      </c>
      <c r="Z73" s="6" t="s">
        <v>112</v>
      </c>
      <c r="AA73" t="s">
        <v>261</v>
      </c>
      <c r="AB73" s="6" t="s">
        <v>75</v>
      </c>
      <c r="AC73" t="s">
        <v>91</v>
      </c>
      <c r="AD73" t="s">
        <v>67</v>
      </c>
      <c r="AE73">
        <v>-6</v>
      </c>
      <c r="AF73">
        <v>0</v>
      </c>
      <c r="AG73">
        <v>0</v>
      </c>
      <c r="AH73" s="6">
        <v>49.3</v>
      </c>
      <c r="AI73" s="6">
        <v>0</v>
      </c>
      <c r="AJ73" s="6">
        <v>0.48099999999999998</v>
      </c>
      <c r="AK73" s="6">
        <v>0.79200000000000004</v>
      </c>
      <c r="AL73" s="8">
        <v>3077.11</v>
      </c>
      <c r="AM73" s="6" t="s">
        <v>68</v>
      </c>
      <c r="AN73" s="6">
        <v>1</v>
      </c>
      <c r="AO73" s="6">
        <v>1</v>
      </c>
      <c r="AP73" s="6">
        <v>0</v>
      </c>
      <c r="AQ73" s="6">
        <v>1</v>
      </c>
      <c r="AR73" s="6">
        <v>0</v>
      </c>
      <c r="AS73" s="6">
        <v>1</v>
      </c>
      <c r="AT73" s="6">
        <v>0</v>
      </c>
      <c r="AU73" s="6">
        <v>2.17</v>
      </c>
      <c r="AV73" s="6">
        <v>1.56</v>
      </c>
      <c r="AW73" s="6">
        <v>241.53</v>
      </c>
      <c r="AX73" s="6">
        <v>43.81</v>
      </c>
      <c r="AY73" s="6">
        <v>214.56</v>
      </c>
      <c r="AZ73" s="6">
        <v>12.8</v>
      </c>
      <c r="BA73" s="6">
        <v>31.8</v>
      </c>
    </row>
    <row r="74" spans="1:53" x14ac:dyDescent="0.3">
      <c r="A74" s="6">
        <v>948239575</v>
      </c>
      <c r="B74" s="6">
        <v>287330</v>
      </c>
      <c r="C74" s="6">
        <v>4348276</v>
      </c>
      <c r="D74" s="6">
        <v>9338</v>
      </c>
      <c r="E74" s="6" t="s">
        <v>101</v>
      </c>
      <c r="F74" s="6">
        <v>55241</v>
      </c>
      <c r="G74" s="6" t="s">
        <v>146</v>
      </c>
      <c r="H74" s="10">
        <v>45724</v>
      </c>
      <c r="I74" s="10">
        <v>45724</v>
      </c>
      <c r="J74" s="4">
        <v>45724.652777777781</v>
      </c>
      <c r="K74" s="4">
        <v>45724.766712962963</v>
      </c>
      <c r="L74" s="11">
        <v>45724.831990740742</v>
      </c>
      <c r="M74" s="10">
        <v>45724</v>
      </c>
      <c r="N74" s="6" t="s">
        <v>116</v>
      </c>
      <c r="O74" t="s">
        <v>128</v>
      </c>
      <c r="P74" s="6" t="s">
        <v>121</v>
      </c>
      <c r="Q74" t="s">
        <v>237</v>
      </c>
      <c r="R74" t="s">
        <v>123</v>
      </c>
      <c r="S74" s="6">
        <v>795786</v>
      </c>
      <c r="T74" s="6" t="s">
        <v>1</v>
      </c>
      <c r="U74">
        <v>157</v>
      </c>
      <c r="V74" s="6">
        <v>7.4</v>
      </c>
      <c r="W74" s="6">
        <v>47.7</v>
      </c>
      <c r="X74" s="6">
        <v>149.19999999999999</v>
      </c>
      <c r="Y74" s="6">
        <v>204.3</v>
      </c>
      <c r="Z74" s="6" t="s">
        <v>2</v>
      </c>
      <c r="AA74" t="s">
        <v>262</v>
      </c>
      <c r="AB74" s="6" t="s">
        <v>90</v>
      </c>
      <c r="AC74" t="s">
        <v>76</v>
      </c>
      <c r="AD74" t="s">
        <v>206</v>
      </c>
      <c r="AE74">
        <v>94</v>
      </c>
      <c r="AF74">
        <v>117</v>
      </c>
      <c r="AG74">
        <v>0</v>
      </c>
      <c r="AH74" s="6">
        <v>67.599999999999994</v>
      </c>
      <c r="AI74" s="6">
        <v>0</v>
      </c>
      <c r="AJ74" s="6">
        <v>0.39</v>
      </c>
      <c r="AK74" s="6">
        <v>0.68700000000000006</v>
      </c>
      <c r="AL74" s="8">
        <v>14525.67</v>
      </c>
      <c r="AM74" s="6" t="s">
        <v>114</v>
      </c>
      <c r="AN74" s="6">
        <v>1</v>
      </c>
      <c r="AO74" s="6">
        <v>0</v>
      </c>
      <c r="AP74" s="6">
        <v>1</v>
      </c>
      <c r="AQ74" s="6">
        <v>0</v>
      </c>
      <c r="AR74" s="6">
        <v>1</v>
      </c>
      <c r="AS74" s="6">
        <v>0</v>
      </c>
      <c r="AT74" s="6">
        <v>1</v>
      </c>
      <c r="AU74" s="6">
        <v>2.6</v>
      </c>
      <c r="AV74" s="6">
        <v>1.79</v>
      </c>
      <c r="AW74" s="6">
        <v>149.32</v>
      </c>
      <c r="AX74" s="6">
        <v>36.299999999999997</v>
      </c>
      <c r="AY74" s="6">
        <v>133.29</v>
      </c>
      <c r="AZ74" s="6">
        <v>17.5</v>
      </c>
      <c r="BA74" s="6">
        <v>70.7</v>
      </c>
    </row>
    <row r="75" spans="1:53" x14ac:dyDescent="0.3">
      <c r="A75" s="6">
        <v>946571918</v>
      </c>
      <c r="B75" s="6">
        <v>972064</v>
      </c>
      <c r="C75" s="6">
        <v>2818692</v>
      </c>
      <c r="D75" s="6">
        <v>8158</v>
      </c>
      <c r="E75" s="6" t="s">
        <v>84</v>
      </c>
      <c r="F75" s="6">
        <v>57394</v>
      </c>
      <c r="G75" s="6" t="s">
        <v>127</v>
      </c>
      <c r="H75" s="10">
        <v>45931</v>
      </c>
      <c r="I75" s="10">
        <v>45931</v>
      </c>
      <c r="J75" s="4">
        <v>45931.680555555555</v>
      </c>
      <c r="K75" s="4">
        <v>45931.873333333337</v>
      </c>
      <c r="L75" s="11">
        <v>45932.013611111113</v>
      </c>
      <c r="M75" s="10">
        <v>45932</v>
      </c>
      <c r="N75" s="6" t="s">
        <v>86</v>
      </c>
      <c r="O75" t="s">
        <v>108</v>
      </c>
      <c r="P75" s="6" t="s">
        <v>116</v>
      </c>
      <c r="Q75" t="s">
        <v>117</v>
      </c>
      <c r="R75" t="s">
        <v>123</v>
      </c>
      <c r="S75" s="6">
        <v>775534</v>
      </c>
      <c r="T75" s="6" t="s">
        <v>1</v>
      </c>
      <c r="U75">
        <v>318</v>
      </c>
      <c r="V75" s="6">
        <v>33.200000000000003</v>
      </c>
      <c r="W75" s="6">
        <v>29</v>
      </c>
      <c r="X75" s="6">
        <v>319.3</v>
      </c>
      <c r="Y75" s="6">
        <v>381.5</v>
      </c>
      <c r="Z75" s="6" t="s">
        <v>2</v>
      </c>
      <c r="AA75" t="s">
        <v>263</v>
      </c>
      <c r="AB75" s="6" t="s">
        <v>90</v>
      </c>
      <c r="AC75" t="s">
        <v>125</v>
      </c>
      <c r="AD75" t="s">
        <v>206</v>
      </c>
      <c r="AE75">
        <v>202</v>
      </c>
      <c r="AF75">
        <v>129</v>
      </c>
      <c r="AG75">
        <v>0</v>
      </c>
      <c r="AH75" s="6">
        <v>97.1</v>
      </c>
      <c r="AI75" s="6">
        <v>0</v>
      </c>
      <c r="AJ75" s="6">
        <v>0.63100000000000001</v>
      </c>
      <c r="AK75" s="6">
        <v>0.873</v>
      </c>
      <c r="AL75" s="8">
        <v>1449.3</v>
      </c>
      <c r="AM75" s="6" t="s">
        <v>68</v>
      </c>
      <c r="AN75" s="6">
        <v>1</v>
      </c>
      <c r="AO75" s="6">
        <v>0</v>
      </c>
      <c r="AP75" s="6">
        <v>1</v>
      </c>
      <c r="AQ75" s="6">
        <v>0</v>
      </c>
      <c r="AR75" s="6">
        <v>1</v>
      </c>
      <c r="AS75" s="6">
        <v>0</v>
      </c>
      <c r="AT75" s="6">
        <v>1</v>
      </c>
      <c r="AU75" s="6">
        <v>2.5099999999999998</v>
      </c>
      <c r="AV75" s="6">
        <v>1.68</v>
      </c>
      <c r="AW75" s="6">
        <v>343.58</v>
      </c>
      <c r="AX75" s="6">
        <v>59.74</v>
      </c>
      <c r="AY75" s="6">
        <v>198.14</v>
      </c>
      <c r="AZ75" s="6">
        <v>10</v>
      </c>
      <c r="BA75" s="6">
        <v>21.8</v>
      </c>
    </row>
    <row r="76" spans="1:53" x14ac:dyDescent="0.3">
      <c r="A76" s="6">
        <v>355477113</v>
      </c>
      <c r="B76" s="6">
        <v>217301</v>
      </c>
      <c r="C76" s="6">
        <v>5453786</v>
      </c>
      <c r="D76" s="6">
        <v>5548</v>
      </c>
      <c r="E76" s="6" t="s">
        <v>142</v>
      </c>
      <c r="F76" s="6">
        <v>56437</v>
      </c>
      <c r="G76" s="6" t="s">
        <v>149</v>
      </c>
      <c r="H76" s="10">
        <v>45781</v>
      </c>
      <c r="I76" s="10">
        <v>45781</v>
      </c>
      <c r="J76" s="4">
        <v>45781.8125</v>
      </c>
      <c r="K76" s="4">
        <v>45781.997835648152</v>
      </c>
      <c r="L76" s="11">
        <v>45781.970752314817</v>
      </c>
      <c r="M76" s="10">
        <v>45781</v>
      </c>
      <c r="N76" s="6" t="s">
        <v>121</v>
      </c>
      <c r="O76" t="s">
        <v>237</v>
      </c>
      <c r="P76" s="6" t="s">
        <v>176</v>
      </c>
      <c r="Q76" t="s">
        <v>177</v>
      </c>
      <c r="R76" t="s">
        <v>88</v>
      </c>
      <c r="S76" s="6">
        <v>750010</v>
      </c>
      <c r="T76" s="6" t="s">
        <v>1</v>
      </c>
      <c r="U76">
        <v>147</v>
      </c>
      <c r="V76" s="6">
        <v>53.1</v>
      </c>
      <c r="W76" s="6">
        <v>45.4</v>
      </c>
      <c r="X76" s="6">
        <v>156.19999999999999</v>
      </c>
      <c r="Y76" s="6">
        <v>254.7</v>
      </c>
      <c r="Z76" s="6" t="s">
        <v>112</v>
      </c>
      <c r="AA76" t="s">
        <v>264</v>
      </c>
      <c r="AB76" s="6" t="s">
        <v>65</v>
      </c>
      <c r="AC76" t="s">
        <v>91</v>
      </c>
      <c r="AD76" t="s">
        <v>67</v>
      </c>
      <c r="AE76">
        <v>-39</v>
      </c>
      <c r="AF76">
        <v>0</v>
      </c>
      <c r="AG76">
        <v>0</v>
      </c>
      <c r="AH76" s="6">
        <v>39</v>
      </c>
      <c r="AI76" s="6">
        <v>0</v>
      </c>
      <c r="AJ76" s="6">
        <v>0.25</v>
      </c>
      <c r="AK76" s="6">
        <v>0.81</v>
      </c>
      <c r="AL76" s="8">
        <v>65452.65</v>
      </c>
      <c r="AM76" s="6" t="s">
        <v>155</v>
      </c>
      <c r="AN76" s="6">
        <v>1</v>
      </c>
      <c r="AO76" s="6">
        <v>1</v>
      </c>
      <c r="AP76" s="6">
        <v>0</v>
      </c>
      <c r="AQ76" s="6">
        <v>1</v>
      </c>
      <c r="AR76" s="6">
        <v>0</v>
      </c>
      <c r="AS76" s="6">
        <v>1</v>
      </c>
      <c r="AT76" s="6">
        <v>0</v>
      </c>
      <c r="AU76" s="6">
        <v>2.2799999999999998</v>
      </c>
      <c r="AV76" s="6">
        <v>1.5</v>
      </c>
      <c r="AW76" s="6">
        <v>160.91999999999999</v>
      </c>
      <c r="AX76" s="6">
        <v>32.130000000000003</v>
      </c>
      <c r="AY76" s="6">
        <v>166.12</v>
      </c>
      <c r="AZ76" s="6">
        <v>13</v>
      </c>
      <c r="BA76" s="6">
        <v>45.5</v>
      </c>
    </row>
    <row r="77" spans="1:53" x14ac:dyDescent="0.3">
      <c r="A77" s="6">
        <v>732276010</v>
      </c>
      <c r="B77" s="6">
        <v>391476</v>
      </c>
      <c r="C77" s="6">
        <v>8999183</v>
      </c>
      <c r="D77" s="6">
        <v>6618</v>
      </c>
      <c r="E77" s="6" t="s">
        <v>92</v>
      </c>
      <c r="F77" s="6">
        <v>54695</v>
      </c>
      <c r="G77" s="6" t="s">
        <v>175</v>
      </c>
      <c r="H77" s="10">
        <v>45917</v>
      </c>
      <c r="I77" s="10">
        <v>45917</v>
      </c>
      <c r="J77" s="4">
        <v>45917.513888888891</v>
      </c>
      <c r="K77" s="4">
        <v>45917.766736111109</v>
      </c>
      <c r="L77" s="11">
        <v>45917.768125000002</v>
      </c>
      <c r="M77" s="10">
        <v>45917</v>
      </c>
      <c r="N77" s="6" t="s">
        <v>150</v>
      </c>
      <c r="O77" t="s">
        <v>151</v>
      </c>
      <c r="P77" s="6" t="s">
        <v>150</v>
      </c>
      <c r="Q77" t="s">
        <v>265</v>
      </c>
      <c r="R77" t="s">
        <v>73</v>
      </c>
      <c r="S77" s="6">
        <v>710286</v>
      </c>
      <c r="T77" s="6" t="s">
        <v>1</v>
      </c>
      <c r="U77">
        <v>228</v>
      </c>
      <c r="V77" s="6">
        <v>51.1</v>
      </c>
      <c r="W77" s="6">
        <v>27.6</v>
      </c>
      <c r="X77" s="6">
        <v>225.5</v>
      </c>
      <c r="Y77" s="6">
        <v>304.2</v>
      </c>
      <c r="Z77" s="6" t="s">
        <v>2</v>
      </c>
      <c r="AA77" t="s">
        <v>266</v>
      </c>
      <c r="AB77" s="6" t="s">
        <v>75</v>
      </c>
      <c r="AC77" t="s">
        <v>125</v>
      </c>
      <c r="AD77" t="s">
        <v>67</v>
      </c>
      <c r="AE77">
        <v>2</v>
      </c>
      <c r="AF77">
        <v>0</v>
      </c>
      <c r="AG77">
        <v>0</v>
      </c>
      <c r="AH77" s="6">
        <v>40.700000000000003</v>
      </c>
      <c r="AI77" s="6">
        <v>0</v>
      </c>
      <c r="AJ77" s="6">
        <v>0.33</v>
      </c>
      <c r="AK77" s="6">
        <v>0.66200000000000003</v>
      </c>
      <c r="AL77" s="8">
        <v>4716.9399999999996</v>
      </c>
      <c r="AM77" s="6" t="s">
        <v>68</v>
      </c>
      <c r="AN77" s="6">
        <v>1</v>
      </c>
      <c r="AO77" s="6">
        <v>1</v>
      </c>
      <c r="AP77" s="6">
        <v>0</v>
      </c>
      <c r="AQ77" s="6">
        <v>1</v>
      </c>
      <c r="AR77" s="6">
        <v>0</v>
      </c>
      <c r="AS77" s="6">
        <v>1</v>
      </c>
      <c r="AT77" s="6">
        <v>0</v>
      </c>
      <c r="AU77" s="6">
        <v>2.4</v>
      </c>
      <c r="AV77" s="6">
        <v>1.48</v>
      </c>
      <c r="AW77" s="6">
        <v>235.98</v>
      </c>
      <c r="AX77" s="6">
        <v>32</v>
      </c>
      <c r="AY77" s="6">
        <v>203.16</v>
      </c>
      <c r="AZ77" s="6">
        <v>51.7</v>
      </c>
      <c r="BA77" s="6">
        <v>54.7</v>
      </c>
    </row>
    <row r="78" spans="1:53" x14ac:dyDescent="0.3">
      <c r="A78" s="6">
        <v>447646966</v>
      </c>
      <c r="B78" s="6">
        <v>724834</v>
      </c>
      <c r="C78" s="6">
        <v>1701771</v>
      </c>
      <c r="D78" s="6">
        <v>6249</v>
      </c>
      <c r="E78" s="6" t="s">
        <v>142</v>
      </c>
      <c r="F78" s="6">
        <v>52588</v>
      </c>
      <c r="G78" s="6" t="s">
        <v>102</v>
      </c>
      <c r="H78" s="10">
        <v>45675</v>
      </c>
      <c r="I78" s="10">
        <v>45675</v>
      </c>
      <c r="J78" s="4">
        <v>45675.736111111109</v>
      </c>
      <c r="K78" s="4">
        <v>45675.85365740741</v>
      </c>
      <c r="L78" s="11">
        <v>45675.844629629632</v>
      </c>
      <c r="M78" s="10">
        <v>45675</v>
      </c>
      <c r="N78" s="6" t="s">
        <v>93</v>
      </c>
      <c r="O78" t="s">
        <v>144</v>
      </c>
      <c r="P78" s="6" t="s">
        <v>70</v>
      </c>
      <c r="Q78" t="s">
        <v>71</v>
      </c>
      <c r="R78" t="s">
        <v>73</v>
      </c>
      <c r="S78" s="6">
        <v>707329</v>
      </c>
      <c r="T78" s="6" t="s">
        <v>3</v>
      </c>
      <c r="U78">
        <v>103</v>
      </c>
      <c r="V78" s="6">
        <v>15.1</v>
      </c>
      <c r="W78" s="6">
        <v>12.9</v>
      </c>
      <c r="X78" s="6">
        <v>98.9</v>
      </c>
      <c r="Y78" s="6">
        <v>126.9</v>
      </c>
      <c r="Z78" s="6" t="s">
        <v>2</v>
      </c>
      <c r="AA78" t="s">
        <v>267</v>
      </c>
      <c r="AB78" s="6" t="s">
        <v>90</v>
      </c>
      <c r="AC78" t="s">
        <v>76</v>
      </c>
      <c r="AD78" t="s">
        <v>67</v>
      </c>
      <c r="AE78">
        <v>-13</v>
      </c>
      <c r="AF78">
        <v>0</v>
      </c>
      <c r="AG78">
        <v>0</v>
      </c>
      <c r="AH78" s="6">
        <v>69.8</v>
      </c>
      <c r="AI78" s="6">
        <v>0</v>
      </c>
      <c r="AJ78" s="6">
        <v>0.39200000000000002</v>
      </c>
      <c r="AK78" s="6">
        <v>0.7</v>
      </c>
      <c r="AL78" s="8">
        <v>21463.06</v>
      </c>
      <c r="AM78" s="6" t="s">
        <v>114</v>
      </c>
      <c r="AN78" s="6">
        <v>1</v>
      </c>
      <c r="AO78" s="6">
        <v>1</v>
      </c>
      <c r="AP78" s="6">
        <v>0</v>
      </c>
      <c r="AQ78" s="6">
        <v>1</v>
      </c>
      <c r="AR78" s="6">
        <v>0</v>
      </c>
      <c r="AS78" s="6">
        <v>1</v>
      </c>
      <c r="AT78" s="6">
        <v>0</v>
      </c>
      <c r="AU78" s="6">
        <v>2.5</v>
      </c>
      <c r="AV78" s="6">
        <v>1.99</v>
      </c>
      <c r="AW78" s="6">
        <v>91.87</v>
      </c>
      <c r="AX78" s="6">
        <v>20.89</v>
      </c>
      <c r="AY78" s="6">
        <v>79.02</v>
      </c>
      <c r="AZ78" s="6">
        <v>4.4000000000000004</v>
      </c>
      <c r="BA78" s="6">
        <v>0.6</v>
      </c>
    </row>
    <row r="79" spans="1:53" x14ac:dyDescent="0.3">
      <c r="A79" s="6">
        <v>116944811</v>
      </c>
      <c r="B79" s="6">
        <v>301629</v>
      </c>
      <c r="C79" s="6">
        <v>8633773</v>
      </c>
      <c r="D79" s="6">
        <v>7331</v>
      </c>
      <c r="E79" s="6" t="s">
        <v>84</v>
      </c>
      <c r="F79" s="6">
        <v>51782</v>
      </c>
      <c r="G79" s="6" t="s">
        <v>98</v>
      </c>
      <c r="H79" s="10">
        <v>45806</v>
      </c>
      <c r="I79" s="10">
        <v>45806</v>
      </c>
      <c r="J79" s="4">
        <v>45806.388888888891</v>
      </c>
      <c r="K79" s="4">
        <v>45806.673993055556</v>
      </c>
      <c r="L79" s="11">
        <v>45806.661493055559</v>
      </c>
      <c r="M79" s="10">
        <v>45806</v>
      </c>
      <c r="N79" s="6" t="s">
        <v>86</v>
      </c>
      <c r="O79" t="s">
        <v>268</v>
      </c>
      <c r="P79" s="6" t="s">
        <v>170</v>
      </c>
      <c r="Q79" t="s">
        <v>269</v>
      </c>
      <c r="R79" t="s">
        <v>62</v>
      </c>
      <c r="S79" s="6">
        <v>743829</v>
      </c>
      <c r="T79" s="6" t="s">
        <v>111</v>
      </c>
      <c r="U79">
        <v>323</v>
      </c>
      <c r="V79" s="6">
        <v>18.7</v>
      </c>
      <c r="W79" s="6">
        <v>23.4</v>
      </c>
      <c r="X79" s="6">
        <v>325</v>
      </c>
      <c r="Y79" s="6">
        <v>367.1</v>
      </c>
      <c r="Z79" s="6" t="s">
        <v>112</v>
      </c>
      <c r="AA79" t="s">
        <v>270</v>
      </c>
      <c r="AB79" s="6" t="s">
        <v>97</v>
      </c>
      <c r="AC79" t="s">
        <v>137</v>
      </c>
      <c r="AD79" t="s">
        <v>67</v>
      </c>
      <c r="AE79">
        <v>-18</v>
      </c>
      <c r="AF79">
        <v>0</v>
      </c>
      <c r="AG79">
        <v>0</v>
      </c>
      <c r="AH79" s="6">
        <v>50.2</v>
      </c>
      <c r="AI79" s="6">
        <v>0</v>
      </c>
      <c r="AJ79" s="6">
        <v>0.58099999999999996</v>
      </c>
      <c r="AK79" s="6">
        <v>0.69499999999999995</v>
      </c>
      <c r="AL79" s="8">
        <v>9637.11</v>
      </c>
      <c r="AM79" s="6" t="s">
        <v>114</v>
      </c>
      <c r="AN79" s="6">
        <v>1</v>
      </c>
      <c r="AO79" s="6">
        <v>1</v>
      </c>
      <c r="AP79" s="6">
        <v>0</v>
      </c>
      <c r="AQ79" s="6">
        <v>1</v>
      </c>
      <c r="AR79" s="6">
        <v>0</v>
      </c>
      <c r="AS79" s="6">
        <v>1</v>
      </c>
      <c r="AT79" s="6">
        <v>0</v>
      </c>
      <c r="AU79" s="6">
        <v>2.64</v>
      </c>
      <c r="AV79" s="6">
        <v>1.58</v>
      </c>
      <c r="AW79" s="6">
        <v>298.77</v>
      </c>
      <c r="AX79" s="6">
        <v>42.27</v>
      </c>
      <c r="AY79" s="6">
        <v>198.02</v>
      </c>
      <c r="AZ79" s="6">
        <v>63.5</v>
      </c>
      <c r="BA79" s="6">
        <v>18.399999999999999</v>
      </c>
    </row>
    <row r="80" spans="1:53" x14ac:dyDescent="0.3">
      <c r="A80" s="6">
        <v>287095435</v>
      </c>
      <c r="B80" s="6">
        <v>671858</v>
      </c>
      <c r="C80" s="6">
        <v>1987737</v>
      </c>
      <c r="D80" s="6">
        <v>7949</v>
      </c>
      <c r="E80" s="6" t="s">
        <v>211</v>
      </c>
      <c r="F80" s="6">
        <v>55947</v>
      </c>
      <c r="G80" s="6" t="s">
        <v>102</v>
      </c>
      <c r="H80" s="10">
        <v>45915</v>
      </c>
      <c r="I80" s="10">
        <v>45915</v>
      </c>
      <c r="J80" s="4">
        <v>45915.416666666664</v>
      </c>
      <c r="K80" s="4">
        <v>45915.747511574074</v>
      </c>
      <c r="L80" s="11">
        <v>45915.728067129632</v>
      </c>
      <c r="M80" s="10">
        <v>45915</v>
      </c>
      <c r="N80" s="6" t="s">
        <v>200</v>
      </c>
      <c r="O80" t="s">
        <v>201</v>
      </c>
      <c r="P80" s="6" t="s">
        <v>78</v>
      </c>
      <c r="Q80" t="s">
        <v>222</v>
      </c>
      <c r="R80" t="s">
        <v>88</v>
      </c>
      <c r="S80" s="6">
        <v>745603</v>
      </c>
      <c r="T80" s="6" t="s">
        <v>1</v>
      </c>
      <c r="U80">
        <v>313</v>
      </c>
      <c r="V80" s="6">
        <v>0.2</v>
      </c>
      <c r="W80" s="6">
        <v>31.7</v>
      </c>
      <c r="X80" s="6">
        <v>311.7</v>
      </c>
      <c r="Y80" s="6">
        <v>343.6</v>
      </c>
      <c r="Z80" s="6" t="s">
        <v>2</v>
      </c>
      <c r="AA80" t="s">
        <v>271</v>
      </c>
      <c r="AB80" s="6" t="s">
        <v>75</v>
      </c>
      <c r="AC80" t="s">
        <v>83</v>
      </c>
      <c r="AD80" t="s">
        <v>67</v>
      </c>
      <c r="AE80">
        <v>-28</v>
      </c>
      <c r="AF80">
        <v>0</v>
      </c>
      <c r="AG80">
        <v>0</v>
      </c>
      <c r="AH80" s="6">
        <v>56.2</v>
      </c>
      <c r="AI80" s="6">
        <v>0</v>
      </c>
      <c r="AJ80" s="6">
        <v>0.85099999999999998</v>
      </c>
      <c r="AK80" s="6">
        <v>0.79300000000000004</v>
      </c>
      <c r="AL80" s="8">
        <v>3555.28</v>
      </c>
      <c r="AM80" s="6" t="s">
        <v>68</v>
      </c>
      <c r="AN80" s="6">
        <v>1</v>
      </c>
      <c r="AO80" s="6">
        <v>1</v>
      </c>
      <c r="AP80" s="6">
        <v>0</v>
      </c>
      <c r="AQ80" s="6">
        <v>1</v>
      </c>
      <c r="AR80" s="6">
        <v>0</v>
      </c>
      <c r="AS80" s="6">
        <v>1</v>
      </c>
      <c r="AT80" s="6">
        <v>0</v>
      </c>
      <c r="AU80" s="6">
        <v>2.15</v>
      </c>
      <c r="AV80" s="6">
        <v>1.53</v>
      </c>
      <c r="AW80" s="6">
        <v>229.75</v>
      </c>
      <c r="AX80" s="6">
        <v>72.680000000000007</v>
      </c>
      <c r="AY80" s="6">
        <v>169.18</v>
      </c>
      <c r="AZ80" s="6">
        <v>14.1</v>
      </c>
      <c r="BA80" s="6">
        <v>58.6</v>
      </c>
    </row>
    <row r="81" spans="1:53" x14ac:dyDescent="0.3">
      <c r="A81" s="6">
        <v>384936197</v>
      </c>
      <c r="B81" s="6">
        <v>680099</v>
      </c>
      <c r="C81" s="6">
        <v>7003042</v>
      </c>
      <c r="D81" s="6">
        <v>6535</v>
      </c>
      <c r="E81" s="6" t="s">
        <v>101</v>
      </c>
      <c r="F81" s="6">
        <v>56594</v>
      </c>
      <c r="G81" s="6" t="s">
        <v>235</v>
      </c>
      <c r="H81" s="10">
        <v>45740</v>
      </c>
      <c r="I81" s="10">
        <v>45740</v>
      </c>
      <c r="J81" s="4">
        <v>45740.333333333336</v>
      </c>
      <c r="K81" s="4">
        <v>45741.217673611114</v>
      </c>
      <c r="L81" s="11">
        <v>45741.217673611114</v>
      </c>
      <c r="M81" s="10">
        <v>45741</v>
      </c>
      <c r="N81" s="6" t="s">
        <v>132</v>
      </c>
      <c r="O81" t="s">
        <v>181</v>
      </c>
      <c r="P81" s="6" t="s">
        <v>70</v>
      </c>
      <c r="Q81" t="s">
        <v>72</v>
      </c>
      <c r="R81" t="s">
        <v>73</v>
      </c>
      <c r="S81" s="6">
        <v>756925</v>
      </c>
      <c r="T81" s="6" t="s">
        <v>140</v>
      </c>
      <c r="U81">
        <v>1020</v>
      </c>
      <c r="V81" s="6">
        <v>24.7</v>
      </c>
      <c r="W81" s="6">
        <v>7.4</v>
      </c>
      <c r="X81" s="6">
        <v>1011</v>
      </c>
      <c r="Y81" s="6">
        <v>1043.0999999999999</v>
      </c>
      <c r="Z81" s="6" t="s">
        <v>2</v>
      </c>
      <c r="AA81" t="s">
        <v>272</v>
      </c>
      <c r="AB81" s="6" t="s">
        <v>97</v>
      </c>
      <c r="AC81" t="s">
        <v>83</v>
      </c>
      <c r="AD81" t="s">
        <v>67</v>
      </c>
      <c r="AE81">
        <v>0</v>
      </c>
      <c r="AF81">
        <v>0</v>
      </c>
      <c r="AG81">
        <v>0</v>
      </c>
      <c r="AH81" s="6">
        <v>37.299999999999997</v>
      </c>
      <c r="AI81" s="6">
        <v>0</v>
      </c>
      <c r="AJ81" s="6">
        <v>0.78800000000000003</v>
      </c>
      <c r="AK81" s="6">
        <v>0.65800000000000003</v>
      </c>
      <c r="AL81" s="8">
        <v>62139.49</v>
      </c>
      <c r="AM81" s="6" t="s">
        <v>155</v>
      </c>
      <c r="AN81" s="6">
        <v>1</v>
      </c>
      <c r="AO81" s="6">
        <v>1</v>
      </c>
      <c r="AP81" s="6">
        <v>0</v>
      </c>
      <c r="AQ81" s="6">
        <v>1</v>
      </c>
      <c r="AR81" s="6">
        <v>0</v>
      </c>
      <c r="AS81" s="6">
        <v>1</v>
      </c>
      <c r="AT81" s="6">
        <v>0</v>
      </c>
      <c r="AU81" s="6">
        <v>2.39</v>
      </c>
      <c r="AV81" s="6">
        <v>1.89</v>
      </c>
      <c r="AW81" s="6">
        <v>851.16</v>
      </c>
      <c r="AX81" s="6">
        <v>123.16</v>
      </c>
      <c r="AY81" s="6">
        <v>602.80999999999995</v>
      </c>
      <c r="AZ81" s="6">
        <v>28.3</v>
      </c>
      <c r="BA81" s="6">
        <v>30</v>
      </c>
    </row>
    <row r="82" spans="1:53" x14ac:dyDescent="0.3">
      <c r="A82" s="6">
        <v>156263020</v>
      </c>
      <c r="B82" s="6">
        <v>770487</v>
      </c>
      <c r="C82" s="6">
        <v>9683481</v>
      </c>
      <c r="D82" s="6">
        <v>8270</v>
      </c>
      <c r="E82" s="6" t="s">
        <v>211</v>
      </c>
      <c r="F82" s="6">
        <v>53520</v>
      </c>
      <c r="G82" s="6" t="s">
        <v>207</v>
      </c>
      <c r="H82" s="10">
        <v>45948</v>
      </c>
      <c r="I82" s="10">
        <v>45948</v>
      </c>
      <c r="J82" s="4">
        <v>45948.506944444445</v>
      </c>
      <c r="K82" s="4">
        <v>45948.631319444445</v>
      </c>
      <c r="L82" s="11">
        <v>45948.616736111115</v>
      </c>
      <c r="M82" s="10">
        <v>45948</v>
      </c>
      <c r="N82" s="6" t="s">
        <v>78</v>
      </c>
      <c r="O82" t="s">
        <v>79</v>
      </c>
      <c r="P82" s="6" t="s">
        <v>78</v>
      </c>
      <c r="Q82" t="s">
        <v>166</v>
      </c>
      <c r="R82" t="s">
        <v>88</v>
      </c>
      <c r="S82" s="6">
        <v>739562</v>
      </c>
      <c r="T82" s="6" t="s">
        <v>3</v>
      </c>
      <c r="U82">
        <v>99</v>
      </c>
      <c r="V82" s="6">
        <v>23.7</v>
      </c>
      <c r="W82" s="6">
        <v>32.1</v>
      </c>
      <c r="X82" s="6">
        <v>97.7</v>
      </c>
      <c r="Y82" s="6">
        <v>153.5</v>
      </c>
      <c r="Z82" s="6" t="s">
        <v>215</v>
      </c>
      <c r="AA82" t="s">
        <v>273</v>
      </c>
      <c r="AB82" s="6" t="s">
        <v>75</v>
      </c>
      <c r="AC82" t="s">
        <v>76</v>
      </c>
      <c r="AD82" t="s">
        <v>67</v>
      </c>
      <c r="AE82">
        <v>-21</v>
      </c>
      <c r="AF82">
        <v>0</v>
      </c>
      <c r="AG82">
        <v>0</v>
      </c>
      <c r="AH82" s="6">
        <v>34.799999999999997</v>
      </c>
      <c r="AI82" s="6">
        <v>0</v>
      </c>
      <c r="AJ82" s="6">
        <v>0.754</v>
      </c>
      <c r="AK82" s="6">
        <v>0.78500000000000003</v>
      </c>
      <c r="AL82" s="8">
        <v>5915</v>
      </c>
      <c r="AM82" s="6" t="s">
        <v>68</v>
      </c>
      <c r="AN82" s="6">
        <v>1</v>
      </c>
      <c r="AO82" s="6">
        <v>1</v>
      </c>
      <c r="AP82" s="6">
        <v>0</v>
      </c>
      <c r="AQ82" s="6">
        <v>1</v>
      </c>
      <c r="AR82" s="6">
        <v>0</v>
      </c>
      <c r="AS82" s="6">
        <v>1</v>
      </c>
      <c r="AT82" s="6">
        <v>0</v>
      </c>
      <c r="AU82" s="6">
        <v>2.23</v>
      </c>
      <c r="AV82" s="6">
        <v>1.48</v>
      </c>
      <c r="AW82" s="6">
        <v>140.84</v>
      </c>
      <c r="AX82" s="6">
        <v>15.94</v>
      </c>
      <c r="AY82" s="6">
        <v>104.9</v>
      </c>
      <c r="AZ82" s="6">
        <v>20</v>
      </c>
      <c r="BA82" s="6">
        <v>0</v>
      </c>
    </row>
    <row r="83" spans="1:53" x14ac:dyDescent="0.3">
      <c r="A83" s="6">
        <v>236105947</v>
      </c>
      <c r="B83" s="6">
        <v>816751</v>
      </c>
      <c r="C83" s="6">
        <v>3011363</v>
      </c>
      <c r="D83" s="6">
        <v>9996</v>
      </c>
      <c r="E83" s="6" t="s">
        <v>185</v>
      </c>
      <c r="F83" s="6">
        <v>59971</v>
      </c>
      <c r="G83" s="6" t="s">
        <v>149</v>
      </c>
      <c r="H83" s="10">
        <v>45888</v>
      </c>
      <c r="I83" s="10">
        <v>45888</v>
      </c>
      <c r="J83" s="4">
        <v>45888.628472222219</v>
      </c>
      <c r="K83" s="4">
        <v>45888.960925925923</v>
      </c>
      <c r="L83" s="11">
        <v>45888.919259259259</v>
      </c>
      <c r="M83" s="10">
        <v>45888</v>
      </c>
      <c r="N83" s="6" t="s">
        <v>116</v>
      </c>
      <c r="O83" t="s">
        <v>128</v>
      </c>
      <c r="P83" s="6" t="s">
        <v>170</v>
      </c>
      <c r="Q83" t="s">
        <v>171</v>
      </c>
      <c r="R83" t="s">
        <v>62</v>
      </c>
      <c r="S83" s="6">
        <v>712499</v>
      </c>
      <c r="T83" s="6" t="s">
        <v>111</v>
      </c>
      <c r="U83">
        <v>339</v>
      </c>
      <c r="V83" s="6">
        <v>2.2999999999999998</v>
      </c>
      <c r="W83" s="6">
        <v>13.6</v>
      </c>
      <c r="X83" s="6">
        <v>336.1</v>
      </c>
      <c r="Y83" s="6">
        <v>352</v>
      </c>
      <c r="Z83" s="6" t="s">
        <v>63</v>
      </c>
      <c r="AA83" t="s">
        <v>274</v>
      </c>
      <c r="AB83" s="6" t="s">
        <v>90</v>
      </c>
      <c r="AC83" t="s">
        <v>66</v>
      </c>
      <c r="AD83" t="s">
        <v>67</v>
      </c>
      <c r="AE83">
        <v>-60</v>
      </c>
      <c r="AF83">
        <v>0</v>
      </c>
      <c r="AG83">
        <v>0</v>
      </c>
      <c r="AH83" s="6">
        <v>26.3</v>
      </c>
      <c r="AI83" s="6">
        <v>0</v>
      </c>
      <c r="AJ83" s="6">
        <v>0.55500000000000005</v>
      </c>
      <c r="AK83" s="6">
        <v>0.73</v>
      </c>
      <c r="AL83" s="8">
        <v>11379.6</v>
      </c>
      <c r="AM83" s="6" t="s">
        <v>114</v>
      </c>
      <c r="AN83" s="6">
        <v>1</v>
      </c>
      <c r="AO83" s="6">
        <v>1</v>
      </c>
      <c r="AP83" s="6">
        <v>0</v>
      </c>
      <c r="AQ83" s="6">
        <v>1</v>
      </c>
      <c r="AR83" s="6">
        <v>0</v>
      </c>
      <c r="AS83" s="6">
        <v>1</v>
      </c>
      <c r="AT83" s="6">
        <v>0</v>
      </c>
      <c r="AU83" s="6">
        <v>2.14</v>
      </c>
      <c r="AV83" s="6">
        <v>1.36</v>
      </c>
      <c r="AW83" s="6">
        <v>246.87</v>
      </c>
      <c r="AX83" s="6">
        <v>46.27</v>
      </c>
      <c r="AY83" s="6">
        <v>177.57</v>
      </c>
      <c r="AZ83" s="6">
        <v>13.3</v>
      </c>
      <c r="BA83" s="6">
        <v>16.600000000000001</v>
      </c>
    </row>
    <row r="84" spans="1:53" x14ac:dyDescent="0.3">
      <c r="A84" s="6">
        <v>896413702</v>
      </c>
      <c r="B84" s="6">
        <v>301629</v>
      </c>
      <c r="C84" s="6">
        <v>8633773</v>
      </c>
      <c r="D84" s="6">
        <v>7331</v>
      </c>
      <c r="E84" s="6" t="s">
        <v>84</v>
      </c>
      <c r="F84" s="6">
        <v>53218</v>
      </c>
      <c r="G84" s="6" t="s">
        <v>146</v>
      </c>
      <c r="H84" s="10">
        <v>45872</v>
      </c>
      <c r="I84" s="10">
        <v>45872</v>
      </c>
      <c r="J84" s="4">
        <v>45872.291666666664</v>
      </c>
      <c r="K84" s="4">
        <v>45872.650081018517</v>
      </c>
      <c r="L84" s="11">
        <v>45872.611192129632</v>
      </c>
      <c r="M84" s="10">
        <v>45872</v>
      </c>
      <c r="N84" s="6" t="s">
        <v>200</v>
      </c>
      <c r="O84" t="s">
        <v>275</v>
      </c>
      <c r="P84" s="6" t="s">
        <v>93</v>
      </c>
      <c r="Q84" t="s">
        <v>144</v>
      </c>
      <c r="R84" t="s">
        <v>73</v>
      </c>
      <c r="S84" s="6">
        <v>754594</v>
      </c>
      <c r="T84" s="6" t="s">
        <v>111</v>
      </c>
      <c r="U84">
        <v>435</v>
      </c>
      <c r="V84" s="6">
        <v>12.2</v>
      </c>
      <c r="W84" s="6">
        <v>35.700000000000003</v>
      </c>
      <c r="X84" s="6">
        <v>434.2</v>
      </c>
      <c r="Y84" s="6">
        <v>482.1</v>
      </c>
      <c r="Z84" s="6" t="s">
        <v>112</v>
      </c>
      <c r="AA84" t="s">
        <v>276</v>
      </c>
      <c r="AB84" s="6" t="s">
        <v>97</v>
      </c>
      <c r="AC84" t="s">
        <v>91</v>
      </c>
      <c r="AD84" t="s">
        <v>67</v>
      </c>
      <c r="AE84">
        <v>-56</v>
      </c>
      <c r="AF84">
        <v>0</v>
      </c>
      <c r="AG84">
        <v>0</v>
      </c>
      <c r="AH84" s="6">
        <v>51.1</v>
      </c>
      <c r="AI84" s="6">
        <v>0</v>
      </c>
      <c r="AJ84" s="6">
        <v>0.752</v>
      </c>
      <c r="AK84" s="6">
        <v>0.45900000000000002</v>
      </c>
      <c r="AL84" s="8">
        <v>6701.89</v>
      </c>
      <c r="AM84" s="6" t="s">
        <v>114</v>
      </c>
      <c r="AN84" s="6">
        <v>1</v>
      </c>
      <c r="AO84" s="6">
        <v>1</v>
      </c>
      <c r="AP84" s="6">
        <v>0</v>
      </c>
      <c r="AQ84" s="6">
        <v>1</v>
      </c>
      <c r="AR84" s="6">
        <v>0</v>
      </c>
      <c r="AS84" s="6">
        <v>1</v>
      </c>
      <c r="AT84" s="6">
        <v>0</v>
      </c>
      <c r="AU84" s="6">
        <v>2.58</v>
      </c>
      <c r="AV84" s="6">
        <v>2.04</v>
      </c>
      <c r="AW84" s="6">
        <v>365.64</v>
      </c>
      <c r="AX84" s="6">
        <v>58.33</v>
      </c>
      <c r="AY84" s="6">
        <v>317.58999999999997</v>
      </c>
      <c r="AZ84" s="6">
        <v>63.5</v>
      </c>
      <c r="BA84" s="6">
        <v>8</v>
      </c>
    </row>
    <row r="85" spans="1:53" x14ac:dyDescent="0.3">
      <c r="A85" s="6">
        <v>552002959</v>
      </c>
      <c r="B85" s="6">
        <v>590785</v>
      </c>
      <c r="C85" s="6">
        <v>6171716</v>
      </c>
      <c r="D85" s="6">
        <v>6172</v>
      </c>
      <c r="E85" s="6" t="s">
        <v>142</v>
      </c>
      <c r="F85" s="6">
        <v>53757</v>
      </c>
      <c r="G85" s="6" t="s">
        <v>127</v>
      </c>
      <c r="H85" s="10">
        <v>45787</v>
      </c>
      <c r="I85" s="10">
        <v>45787</v>
      </c>
      <c r="J85" s="4">
        <v>45787.222222222219</v>
      </c>
      <c r="K85" s="4">
        <v>45787.304872685185</v>
      </c>
      <c r="L85" s="11">
        <v>45787.272928240738</v>
      </c>
      <c r="M85" s="10">
        <v>45787</v>
      </c>
      <c r="N85" s="6" t="s">
        <v>176</v>
      </c>
      <c r="O85" t="s">
        <v>177</v>
      </c>
      <c r="P85" s="6" t="s">
        <v>70</v>
      </c>
      <c r="Q85" t="s">
        <v>72</v>
      </c>
      <c r="R85" t="s">
        <v>73</v>
      </c>
      <c r="S85" s="6">
        <v>715799</v>
      </c>
      <c r="T85" s="6" t="s">
        <v>3</v>
      </c>
      <c r="U85">
        <v>88</v>
      </c>
      <c r="V85" s="6">
        <v>26</v>
      </c>
      <c r="W85" s="6">
        <v>20.2</v>
      </c>
      <c r="X85" s="6">
        <v>73.599999999999994</v>
      </c>
      <c r="Y85" s="6">
        <v>119.8</v>
      </c>
      <c r="Z85" s="6" t="s">
        <v>2</v>
      </c>
      <c r="AA85" t="s">
        <v>89</v>
      </c>
      <c r="AB85" s="6" t="s">
        <v>82</v>
      </c>
      <c r="AC85" t="s">
        <v>76</v>
      </c>
      <c r="AD85" t="s">
        <v>67</v>
      </c>
      <c r="AE85">
        <v>-46</v>
      </c>
      <c r="AF85">
        <v>0</v>
      </c>
      <c r="AG85">
        <v>0</v>
      </c>
      <c r="AH85" s="6">
        <v>30.4</v>
      </c>
      <c r="AI85" s="6">
        <v>0</v>
      </c>
      <c r="AJ85" s="6">
        <v>0.76200000000000001</v>
      </c>
      <c r="AK85" s="6">
        <v>0.33100000000000002</v>
      </c>
      <c r="AL85" s="8">
        <v>4661.8599999999997</v>
      </c>
      <c r="AM85" s="6" t="s">
        <v>68</v>
      </c>
      <c r="AN85" s="6">
        <v>1</v>
      </c>
      <c r="AO85" s="6">
        <v>1</v>
      </c>
      <c r="AP85" s="6">
        <v>0</v>
      </c>
      <c r="AQ85" s="6">
        <v>1</v>
      </c>
      <c r="AR85" s="6">
        <v>0</v>
      </c>
      <c r="AS85" s="6">
        <v>1</v>
      </c>
      <c r="AT85" s="6">
        <v>0</v>
      </c>
      <c r="AU85" s="6">
        <v>2.44</v>
      </c>
      <c r="AV85" s="6">
        <v>1.85</v>
      </c>
      <c r="AW85" s="6">
        <v>75.34</v>
      </c>
      <c r="AX85" s="6">
        <v>23.35</v>
      </c>
      <c r="AY85" s="6">
        <v>70.959999999999994</v>
      </c>
      <c r="AZ85" s="6">
        <v>24.4</v>
      </c>
      <c r="BA85" s="6">
        <v>52.8</v>
      </c>
    </row>
    <row r="86" spans="1:53" x14ac:dyDescent="0.3">
      <c r="A86" s="6">
        <v>664880035</v>
      </c>
      <c r="B86" s="6">
        <v>624902</v>
      </c>
      <c r="C86" s="6">
        <v>8896868</v>
      </c>
      <c r="D86" s="6">
        <v>7546</v>
      </c>
      <c r="E86" s="6" t="s">
        <v>101</v>
      </c>
      <c r="F86" s="6">
        <v>54016</v>
      </c>
      <c r="G86" s="6" t="s">
        <v>146</v>
      </c>
      <c r="H86" s="10">
        <v>45834</v>
      </c>
      <c r="I86" s="10">
        <v>45834</v>
      </c>
      <c r="J86" s="4">
        <v>45834.222222222219</v>
      </c>
      <c r="K86" s="4">
        <v>45834.561979166669</v>
      </c>
      <c r="L86" s="11">
        <v>45834.561284722222</v>
      </c>
      <c r="M86" s="10">
        <v>45834</v>
      </c>
      <c r="N86" s="6" t="s">
        <v>116</v>
      </c>
      <c r="O86" t="s">
        <v>117</v>
      </c>
      <c r="P86" s="6" t="s">
        <v>70</v>
      </c>
      <c r="Q86" t="s">
        <v>152</v>
      </c>
      <c r="R86" t="s">
        <v>73</v>
      </c>
      <c r="S86" s="6">
        <v>729716</v>
      </c>
      <c r="T86" s="6" t="s">
        <v>1</v>
      </c>
      <c r="U86">
        <v>316</v>
      </c>
      <c r="V86" s="6">
        <v>5.4</v>
      </c>
      <c r="W86" s="6">
        <v>19.399999999999999</v>
      </c>
      <c r="X86" s="6">
        <v>318.2</v>
      </c>
      <c r="Y86" s="6">
        <v>343</v>
      </c>
      <c r="Z86" s="6" t="s">
        <v>2</v>
      </c>
      <c r="AA86" t="s">
        <v>277</v>
      </c>
      <c r="AB86" s="6" t="s">
        <v>82</v>
      </c>
      <c r="AC86" t="s">
        <v>137</v>
      </c>
      <c r="AD86" t="s">
        <v>67</v>
      </c>
      <c r="AE86">
        <v>-1</v>
      </c>
      <c r="AF86">
        <v>0</v>
      </c>
      <c r="AG86">
        <v>0</v>
      </c>
      <c r="AH86" s="6">
        <v>28.2</v>
      </c>
      <c r="AI86" s="6">
        <v>0</v>
      </c>
      <c r="AJ86" s="6">
        <v>0.73299999999999998</v>
      </c>
      <c r="AK86" s="6">
        <v>0.83499999999999996</v>
      </c>
      <c r="AL86" s="8">
        <v>4264.12</v>
      </c>
      <c r="AM86" s="6" t="s">
        <v>68</v>
      </c>
      <c r="AN86" s="6">
        <v>1</v>
      </c>
      <c r="AO86" s="6">
        <v>1</v>
      </c>
      <c r="AP86" s="6">
        <v>0</v>
      </c>
      <c r="AQ86" s="6">
        <v>1</v>
      </c>
      <c r="AR86" s="6">
        <v>0</v>
      </c>
      <c r="AS86" s="6">
        <v>1</v>
      </c>
      <c r="AT86" s="6">
        <v>0</v>
      </c>
      <c r="AU86" s="6">
        <v>2.4900000000000002</v>
      </c>
      <c r="AV86" s="6">
        <v>1.8</v>
      </c>
      <c r="AW86" s="6">
        <v>257.32</v>
      </c>
      <c r="AX86" s="6">
        <v>46.21</v>
      </c>
      <c r="AY86" s="6">
        <v>238.63</v>
      </c>
      <c r="AZ86" s="6">
        <v>21.6</v>
      </c>
      <c r="BA86" s="6">
        <v>13.3</v>
      </c>
    </row>
    <row r="87" spans="1:53" x14ac:dyDescent="0.3">
      <c r="A87" s="6">
        <v>222030010</v>
      </c>
      <c r="B87" s="6">
        <v>705397</v>
      </c>
      <c r="C87" s="6">
        <v>5449368</v>
      </c>
      <c r="D87" s="6">
        <v>5859</v>
      </c>
      <c r="E87" s="6" t="s">
        <v>84</v>
      </c>
      <c r="F87" s="6">
        <v>52837</v>
      </c>
      <c r="G87" s="6" t="s">
        <v>127</v>
      </c>
      <c r="H87" s="10">
        <v>45876</v>
      </c>
      <c r="I87" s="10">
        <v>45876</v>
      </c>
      <c r="J87" s="4">
        <v>45876.006944444445</v>
      </c>
      <c r="K87" s="4">
        <v>45876.116354166668</v>
      </c>
      <c r="L87" s="11">
        <v>45876.117048611108</v>
      </c>
      <c r="M87" s="10">
        <v>45876</v>
      </c>
      <c r="N87" s="6" t="s">
        <v>134</v>
      </c>
      <c r="O87" t="s">
        <v>248</v>
      </c>
      <c r="P87" s="6" t="s">
        <v>109</v>
      </c>
      <c r="Q87" t="s">
        <v>198</v>
      </c>
      <c r="R87" t="s">
        <v>88</v>
      </c>
      <c r="S87" s="6">
        <v>760341</v>
      </c>
      <c r="T87" s="6" t="s">
        <v>3</v>
      </c>
      <c r="U87">
        <v>36</v>
      </c>
      <c r="V87" s="6">
        <v>30.4</v>
      </c>
      <c r="W87" s="6">
        <v>31.1</v>
      </c>
      <c r="X87" s="6">
        <v>26.2</v>
      </c>
      <c r="Y87" s="6">
        <v>87.7</v>
      </c>
      <c r="Z87" s="6" t="s">
        <v>2</v>
      </c>
      <c r="AA87" t="s">
        <v>273</v>
      </c>
      <c r="AB87" s="6" t="s">
        <v>82</v>
      </c>
      <c r="AC87" t="s">
        <v>137</v>
      </c>
      <c r="AD87" t="s">
        <v>67</v>
      </c>
      <c r="AE87">
        <v>1</v>
      </c>
      <c r="AF87">
        <v>0</v>
      </c>
      <c r="AG87">
        <v>0</v>
      </c>
      <c r="AH87" s="6">
        <v>59.9</v>
      </c>
      <c r="AI87" s="6">
        <v>0</v>
      </c>
      <c r="AJ87" s="6">
        <v>0.72499999999999998</v>
      </c>
      <c r="AK87" s="6">
        <v>0.41599999999999998</v>
      </c>
      <c r="AL87" s="8">
        <v>4152.2700000000004</v>
      </c>
      <c r="AM87" s="6" t="s">
        <v>68</v>
      </c>
      <c r="AN87" s="6">
        <v>1</v>
      </c>
      <c r="AO87" s="6">
        <v>1</v>
      </c>
      <c r="AP87" s="6">
        <v>0</v>
      </c>
      <c r="AQ87" s="6">
        <v>1</v>
      </c>
      <c r="AR87" s="6">
        <v>0</v>
      </c>
      <c r="AS87" s="6">
        <v>1</v>
      </c>
      <c r="AT87" s="6">
        <v>0</v>
      </c>
      <c r="AU87" s="6">
        <v>2.38</v>
      </c>
      <c r="AV87" s="6">
        <v>1.7</v>
      </c>
      <c r="AW87" s="6">
        <v>65.06</v>
      </c>
      <c r="AX87" s="6">
        <v>11.35</v>
      </c>
      <c r="AY87" s="6">
        <v>49.59</v>
      </c>
      <c r="AZ87" s="6">
        <v>11.4</v>
      </c>
      <c r="BA87" s="6">
        <v>24.2</v>
      </c>
    </row>
    <row r="88" spans="1:53" x14ac:dyDescent="0.3">
      <c r="A88" s="6">
        <v>900651998</v>
      </c>
      <c r="B88" s="6">
        <v>260263</v>
      </c>
      <c r="C88" s="6">
        <v>5674183</v>
      </c>
      <c r="D88" s="6">
        <v>5736</v>
      </c>
      <c r="E88" s="6" t="s">
        <v>185</v>
      </c>
      <c r="F88" s="6">
        <v>56000</v>
      </c>
      <c r="G88" s="6" t="s">
        <v>203</v>
      </c>
      <c r="H88" s="10">
        <v>45830</v>
      </c>
      <c r="I88" s="10">
        <v>45830</v>
      </c>
      <c r="J88" s="4">
        <v>45830.208333333336</v>
      </c>
      <c r="K88" s="4">
        <v>45830.384571759256</v>
      </c>
      <c r="L88" s="11">
        <v>45830.376932870371</v>
      </c>
      <c r="M88" s="10">
        <v>45830</v>
      </c>
      <c r="N88" s="6" t="s">
        <v>134</v>
      </c>
      <c r="O88" t="s">
        <v>278</v>
      </c>
      <c r="P88" s="6" t="s">
        <v>150</v>
      </c>
      <c r="Q88" t="s">
        <v>265</v>
      </c>
      <c r="R88" t="s">
        <v>73</v>
      </c>
      <c r="S88" s="6">
        <v>797999</v>
      </c>
      <c r="T88" s="6" t="s">
        <v>1</v>
      </c>
      <c r="U88">
        <v>269</v>
      </c>
      <c r="V88" s="6">
        <v>40.4</v>
      </c>
      <c r="W88" s="6">
        <v>13.9</v>
      </c>
      <c r="X88" s="6">
        <v>273.5</v>
      </c>
      <c r="Y88" s="6">
        <v>327.8</v>
      </c>
      <c r="Z88" s="6" t="s">
        <v>2</v>
      </c>
      <c r="AA88" t="s">
        <v>279</v>
      </c>
      <c r="AB88" s="6" t="s">
        <v>82</v>
      </c>
      <c r="AC88" t="s">
        <v>91</v>
      </c>
      <c r="AD88" t="s">
        <v>67</v>
      </c>
      <c r="AE88">
        <v>-11</v>
      </c>
      <c r="AF88">
        <v>0</v>
      </c>
      <c r="AG88">
        <v>0</v>
      </c>
      <c r="AH88" s="6">
        <v>36.6</v>
      </c>
      <c r="AI88" s="6">
        <v>0</v>
      </c>
      <c r="AJ88" s="6">
        <v>0.83</v>
      </c>
      <c r="AK88" s="6">
        <v>0.93200000000000005</v>
      </c>
      <c r="AL88" s="8">
        <v>7257.02</v>
      </c>
      <c r="AM88" s="6" t="s">
        <v>68</v>
      </c>
      <c r="AN88" s="6">
        <v>1</v>
      </c>
      <c r="AO88" s="6">
        <v>1</v>
      </c>
      <c r="AP88" s="6">
        <v>0</v>
      </c>
      <c r="AQ88" s="6">
        <v>1</v>
      </c>
      <c r="AR88" s="6">
        <v>0</v>
      </c>
      <c r="AS88" s="6">
        <v>1</v>
      </c>
      <c r="AT88" s="6">
        <v>0</v>
      </c>
      <c r="AU88" s="6">
        <v>2.2200000000000002</v>
      </c>
      <c r="AV88" s="6">
        <v>1.46</v>
      </c>
      <c r="AW88" s="6">
        <v>258.77</v>
      </c>
      <c r="AX88" s="6">
        <v>71.91</v>
      </c>
      <c r="AY88" s="6">
        <v>212.79</v>
      </c>
      <c r="AZ88" s="6">
        <v>30.8</v>
      </c>
      <c r="BA88" s="6">
        <v>37.9</v>
      </c>
    </row>
    <row r="89" spans="1:53" x14ac:dyDescent="0.3">
      <c r="A89" s="6">
        <v>168244921</v>
      </c>
      <c r="B89" s="6">
        <v>705397</v>
      </c>
      <c r="C89" s="6">
        <v>5449368</v>
      </c>
      <c r="D89" s="6">
        <v>5859</v>
      </c>
      <c r="E89" s="6" t="s">
        <v>84</v>
      </c>
      <c r="F89" s="6">
        <v>57034</v>
      </c>
      <c r="G89" s="6" t="s">
        <v>77</v>
      </c>
      <c r="H89" s="10">
        <v>45912</v>
      </c>
      <c r="I89" s="10">
        <v>45912</v>
      </c>
      <c r="J89" s="4">
        <v>45912.277777777781</v>
      </c>
      <c r="K89" s="4">
        <v>45912.41238425926</v>
      </c>
      <c r="L89" s="11">
        <v>45912.404745370368</v>
      </c>
      <c r="M89" s="10">
        <v>45912</v>
      </c>
      <c r="N89" s="6" t="s">
        <v>132</v>
      </c>
      <c r="O89" t="s">
        <v>181</v>
      </c>
      <c r="P89" s="6" t="s">
        <v>59</v>
      </c>
      <c r="Q89" t="s">
        <v>99</v>
      </c>
      <c r="R89" t="s">
        <v>62</v>
      </c>
      <c r="S89" s="6">
        <v>778018</v>
      </c>
      <c r="T89" s="6" t="s">
        <v>1</v>
      </c>
      <c r="U89">
        <v>177</v>
      </c>
      <c r="V89" s="6">
        <v>32.299999999999997</v>
      </c>
      <c r="W89" s="6">
        <v>32.799999999999997</v>
      </c>
      <c r="X89" s="6">
        <v>183.4</v>
      </c>
      <c r="Y89" s="6">
        <v>248.5</v>
      </c>
      <c r="Z89" s="6" t="s">
        <v>2</v>
      </c>
      <c r="AA89" t="s">
        <v>280</v>
      </c>
      <c r="AB89" s="6" t="s">
        <v>97</v>
      </c>
      <c r="AC89" t="s">
        <v>154</v>
      </c>
      <c r="AD89" t="s">
        <v>67</v>
      </c>
      <c r="AE89">
        <v>-11</v>
      </c>
      <c r="AF89">
        <v>0</v>
      </c>
      <c r="AG89">
        <v>0</v>
      </c>
      <c r="AH89" s="6">
        <v>26.4</v>
      </c>
      <c r="AI89" s="6">
        <v>0</v>
      </c>
      <c r="AJ89" s="6">
        <v>0.76200000000000001</v>
      </c>
      <c r="AK89" s="6">
        <v>0.80900000000000005</v>
      </c>
      <c r="AL89" s="8">
        <v>4647.9399999999996</v>
      </c>
      <c r="AM89" s="6" t="s">
        <v>68</v>
      </c>
      <c r="AN89" s="6">
        <v>1</v>
      </c>
      <c r="AO89" s="6">
        <v>1</v>
      </c>
      <c r="AP89" s="6">
        <v>0</v>
      </c>
      <c r="AQ89" s="6">
        <v>1</v>
      </c>
      <c r="AR89" s="6">
        <v>0</v>
      </c>
      <c r="AS89" s="6">
        <v>1</v>
      </c>
      <c r="AT89" s="6">
        <v>0</v>
      </c>
      <c r="AU89" s="6">
        <v>2.0699999999999998</v>
      </c>
      <c r="AV89" s="6">
        <v>1.49</v>
      </c>
      <c r="AW89" s="6">
        <v>173.21</v>
      </c>
      <c r="AX89" s="6">
        <v>29.32</v>
      </c>
      <c r="AY89" s="6">
        <v>163.41999999999999</v>
      </c>
      <c r="AZ89" s="6">
        <v>11.4</v>
      </c>
      <c r="BA89" s="6">
        <v>42.8</v>
      </c>
    </row>
    <row r="90" spans="1:53" x14ac:dyDescent="0.3">
      <c r="A90" s="6">
        <v>611365210</v>
      </c>
      <c r="B90" s="6">
        <v>864544</v>
      </c>
      <c r="C90" s="6">
        <v>5374922</v>
      </c>
      <c r="D90" s="6">
        <v>8385</v>
      </c>
      <c r="E90" s="6" t="s">
        <v>84</v>
      </c>
      <c r="F90" s="6">
        <v>57309</v>
      </c>
      <c r="G90" s="6" t="s">
        <v>203</v>
      </c>
      <c r="H90" s="10">
        <v>45816</v>
      </c>
      <c r="I90" s="10">
        <v>45816</v>
      </c>
      <c r="J90" s="4">
        <v>45816.381944444445</v>
      </c>
      <c r="K90" s="4">
        <v>45816.485914351855</v>
      </c>
      <c r="L90" s="11">
        <v>45816.495636574073</v>
      </c>
      <c r="M90" s="10">
        <v>45816</v>
      </c>
      <c r="N90" s="6" t="s">
        <v>121</v>
      </c>
      <c r="O90" t="s">
        <v>179</v>
      </c>
      <c r="P90" s="6" t="s">
        <v>103</v>
      </c>
      <c r="Q90" t="s">
        <v>99</v>
      </c>
      <c r="R90" t="s">
        <v>73</v>
      </c>
      <c r="S90" s="6">
        <v>785561</v>
      </c>
      <c r="T90" s="6" t="s">
        <v>1</v>
      </c>
      <c r="U90">
        <v>142</v>
      </c>
      <c r="V90" s="6">
        <v>13.1</v>
      </c>
      <c r="W90" s="6">
        <v>4.2</v>
      </c>
      <c r="X90" s="6">
        <v>130.1</v>
      </c>
      <c r="Y90" s="6">
        <v>147.4</v>
      </c>
      <c r="Z90" s="6" t="s">
        <v>63</v>
      </c>
      <c r="AA90" t="s">
        <v>281</v>
      </c>
      <c r="AB90" s="6" t="s">
        <v>97</v>
      </c>
      <c r="AC90" t="s">
        <v>91</v>
      </c>
      <c r="AD90" t="s">
        <v>67</v>
      </c>
      <c r="AE90">
        <v>14</v>
      </c>
      <c r="AF90">
        <v>0</v>
      </c>
      <c r="AG90">
        <v>0</v>
      </c>
      <c r="AH90" s="6">
        <v>24.5</v>
      </c>
      <c r="AI90" s="6">
        <v>0</v>
      </c>
      <c r="AJ90" s="6">
        <v>0.51500000000000001</v>
      </c>
      <c r="AK90" s="6">
        <v>0.40200000000000002</v>
      </c>
      <c r="AL90" s="8">
        <v>3709.18</v>
      </c>
      <c r="AM90" s="6" t="s">
        <v>68</v>
      </c>
      <c r="AN90" s="6">
        <v>1</v>
      </c>
      <c r="AO90" s="6">
        <v>1</v>
      </c>
      <c r="AP90" s="6">
        <v>0</v>
      </c>
      <c r="AQ90" s="6">
        <v>1</v>
      </c>
      <c r="AR90" s="6">
        <v>0</v>
      </c>
      <c r="AS90" s="6">
        <v>1</v>
      </c>
      <c r="AT90" s="6">
        <v>0</v>
      </c>
      <c r="AU90" s="6">
        <v>2.41</v>
      </c>
      <c r="AV90" s="6">
        <v>1.78</v>
      </c>
      <c r="AW90" s="6">
        <v>105.92</v>
      </c>
      <c r="AX90" s="6">
        <v>16.239999999999998</v>
      </c>
      <c r="AY90" s="6">
        <v>77.78</v>
      </c>
      <c r="AZ90" s="6">
        <v>24.5</v>
      </c>
      <c r="BA90" s="6">
        <v>50.6</v>
      </c>
    </row>
    <row r="91" spans="1:53" x14ac:dyDescent="0.3">
      <c r="A91" s="6">
        <v>581331845</v>
      </c>
      <c r="B91" s="6">
        <v>814825</v>
      </c>
      <c r="C91" s="6">
        <v>7817881</v>
      </c>
      <c r="D91" s="6">
        <v>9958</v>
      </c>
      <c r="E91" s="6" t="s">
        <v>84</v>
      </c>
      <c r="F91" s="6">
        <v>54239</v>
      </c>
      <c r="G91" s="6" t="s">
        <v>127</v>
      </c>
      <c r="H91" s="10">
        <v>45731</v>
      </c>
      <c r="I91" s="10">
        <v>45731</v>
      </c>
      <c r="J91" s="4">
        <v>45731.326388888891</v>
      </c>
      <c r="K91" s="4">
        <v>45731.516157407408</v>
      </c>
      <c r="L91" s="11">
        <v>45731.509212962963</v>
      </c>
      <c r="M91" s="10">
        <v>45731</v>
      </c>
      <c r="N91" s="6" t="s">
        <v>134</v>
      </c>
      <c r="O91" t="s">
        <v>282</v>
      </c>
      <c r="P91" s="6" t="s">
        <v>78</v>
      </c>
      <c r="Q91" t="s">
        <v>219</v>
      </c>
      <c r="R91" t="s">
        <v>88</v>
      </c>
      <c r="S91" s="6">
        <v>778944</v>
      </c>
      <c r="T91" s="6" t="s">
        <v>1</v>
      </c>
      <c r="U91">
        <v>195</v>
      </c>
      <c r="V91" s="6">
        <v>43.1</v>
      </c>
      <c r="W91" s="6">
        <v>-1.7</v>
      </c>
      <c r="X91" s="6">
        <v>202.8</v>
      </c>
      <c r="Y91" s="6">
        <v>245.9</v>
      </c>
      <c r="Z91" s="6" t="s">
        <v>63</v>
      </c>
      <c r="AA91" t="s">
        <v>283</v>
      </c>
      <c r="AB91" s="6" t="s">
        <v>97</v>
      </c>
      <c r="AC91" t="s">
        <v>76</v>
      </c>
      <c r="AD91" t="s">
        <v>67</v>
      </c>
      <c r="AE91">
        <v>-10</v>
      </c>
      <c r="AF91">
        <v>0</v>
      </c>
      <c r="AG91">
        <v>0</v>
      </c>
      <c r="AH91" s="6">
        <v>64.400000000000006</v>
      </c>
      <c r="AI91" s="6">
        <v>0</v>
      </c>
      <c r="AJ91" s="6">
        <v>0.317</v>
      </c>
      <c r="AK91" s="6">
        <v>0.77300000000000002</v>
      </c>
      <c r="AL91" s="8">
        <v>2479.5700000000002</v>
      </c>
      <c r="AM91" s="6" t="s">
        <v>68</v>
      </c>
      <c r="AN91" s="6">
        <v>1</v>
      </c>
      <c r="AO91" s="6">
        <v>1</v>
      </c>
      <c r="AP91" s="6">
        <v>0</v>
      </c>
      <c r="AQ91" s="6">
        <v>1</v>
      </c>
      <c r="AR91" s="6">
        <v>0</v>
      </c>
      <c r="AS91" s="6">
        <v>1</v>
      </c>
      <c r="AT91" s="6">
        <v>0</v>
      </c>
      <c r="AU91" s="6">
        <v>2.0699999999999998</v>
      </c>
      <c r="AV91" s="6">
        <v>1.22</v>
      </c>
      <c r="AW91" s="6">
        <v>197.45</v>
      </c>
      <c r="AX91" s="6">
        <v>33.61</v>
      </c>
      <c r="AY91" s="6">
        <v>127.37</v>
      </c>
      <c r="AZ91" s="6">
        <v>11.6</v>
      </c>
      <c r="BA91" s="6">
        <v>15.9</v>
      </c>
    </row>
    <row r="92" spans="1:53" x14ac:dyDescent="0.3">
      <c r="A92" s="6">
        <v>935389432</v>
      </c>
      <c r="B92" s="6">
        <v>590785</v>
      </c>
      <c r="C92" s="6">
        <v>6171716</v>
      </c>
      <c r="D92" s="6">
        <v>6172</v>
      </c>
      <c r="E92" s="6" t="s">
        <v>142</v>
      </c>
      <c r="F92" s="6">
        <v>54428</v>
      </c>
      <c r="G92" s="6" t="s">
        <v>115</v>
      </c>
      <c r="H92" s="10">
        <v>45736</v>
      </c>
      <c r="I92" s="10">
        <v>45736</v>
      </c>
      <c r="J92" s="4">
        <v>45736.78125</v>
      </c>
      <c r="K92" s="4">
        <v>45737.542696759258</v>
      </c>
      <c r="L92" s="11">
        <v>45737.539918981478</v>
      </c>
      <c r="M92" s="10">
        <v>45737</v>
      </c>
      <c r="N92" s="6" t="s">
        <v>121</v>
      </c>
      <c r="O92" t="s">
        <v>122</v>
      </c>
      <c r="P92" s="6" t="s">
        <v>132</v>
      </c>
      <c r="Q92" t="s">
        <v>133</v>
      </c>
      <c r="R92" t="s">
        <v>62</v>
      </c>
      <c r="S92" s="6">
        <v>701498</v>
      </c>
      <c r="T92" s="6" t="s">
        <v>140</v>
      </c>
      <c r="U92">
        <v>932</v>
      </c>
      <c r="V92" s="6">
        <v>48.8</v>
      </c>
      <c r="W92" s="6">
        <v>4.2</v>
      </c>
      <c r="X92" s="6">
        <v>931.3</v>
      </c>
      <c r="Y92" s="6">
        <v>984.3</v>
      </c>
      <c r="Z92" s="6" t="s">
        <v>2</v>
      </c>
      <c r="AA92" t="s">
        <v>284</v>
      </c>
      <c r="AB92" s="6" t="s">
        <v>65</v>
      </c>
      <c r="AC92" t="s">
        <v>137</v>
      </c>
      <c r="AD92" t="s">
        <v>67</v>
      </c>
      <c r="AE92">
        <v>-4</v>
      </c>
      <c r="AF92">
        <v>0</v>
      </c>
      <c r="AG92">
        <v>0</v>
      </c>
      <c r="AH92" s="6">
        <v>46.1</v>
      </c>
      <c r="AI92" s="6">
        <v>0</v>
      </c>
      <c r="AJ92" s="6">
        <v>0.73599999999999999</v>
      </c>
      <c r="AK92" s="6">
        <v>0.44700000000000001</v>
      </c>
      <c r="AL92" s="8">
        <v>4042.71</v>
      </c>
      <c r="AM92" s="6" t="s">
        <v>68</v>
      </c>
      <c r="AN92" s="6">
        <v>1</v>
      </c>
      <c r="AO92" s="6">
        <v>1</v>
      </c>
      <c r="AP92" s="6">
        <v>0</v>
      </c>
      <c r="AQ92" s="6">
        <v>1</v>
      </c>
      <c r="AR92" s="6">
        <v>0</v>
      </c>
      <c r="AS92" s="6">
        <v>1</v>
      </c>
      <c r="AT92" s="6">
        <v>0</v>
      </c>
      <c r="AU92" s="6">
        <v>2.4</v>
      </c>
      <c r="AV92" s="6">
        <v>1.45</v>
      </c>
      <c r="AW92" s="6">
        <v>878.53</v>
      </c>
      <c r="AX92" s="6">
        <v>146.28</v>
      </c>
      <c r="AY92" s="6">
        <v>494.37</v>
      </c>
      <c r="AZ92" s="6">
        <v>24.4</v>
      </c>
      <c r="BA92" s="6">
        <v>50.6</v>
      </c>
    </row>
    <row r="93" spans="1:53" x14ac:dyDescent="0.3">
      <c r="A93" s="6">
        <v>488736388</v>
      </c>
      <c r="B93" s="6">
        <v>781446</v>
      </c>
      <c r="C93" s="6">
        <v>6098175</v>
      </c>
      <c r="D93" s="6">
        <v>2693</v>
      </c>
      <c r="E93" s="6" t="s">
        <v>211</v>
      </c>
      <c r="F93" s="6">
        <v>59611</v>
      </c>
      <c r="G93" s="6" t="s">
        <v>77</v>
      </c>
      <c r="H93" s="10">
        <v>45660</v>
      </c>
      <c r="I93" s="10">
        <v>45660</v>
      </c>
      <c r="J93" s="4">
        <v>45660.263888888891</v>
      </c>
      <c r="K93" s="4">
        <v>45660.326388888891</v>
      </c>
      <c r="L93" s="11">
        <v>45660.313888888886</v>
      </c>
      <c r="M93" s="10">
        <v>45660</v>
      </c>
      <c r="N93" s="6" t="s">
        <v>103</v>
      </c>
      <c r="O93" t="s">
        <v>285</v>
      </c>
      <c r="P93" s="6" t="s">
        <v>103</v>
      </c>
      <c r="Q93" t="s">
        <v>204</v>
      </c>
      <c r="R93" t="s">
        <v>73</v>
      </c>
      <c r="S93" s="6">
        <v>783084</v>
      </c>
      <c r="T93" s="6" t="s">
        <v>3</v>
      </c>
      <c r="U93">
        <v>61</v>
      </c>
      <c r="V93" s="6">
        <v>27.7</v>
      </c>
      <c r="W93" s="6">
        <v>2.5</v>
      </c>
      <c r="X93" s="6">
        <v>67.5</v>
      </c>
      <c r="Y93" s="6">
        <v>97.7</v>
      </c>
      <c r="Z93" s="6" t="s">
        <v>80</v>
      </c>
      <c r="AA93" t="s">
        <v>286</v>
      </c>
      <c r="AB93" s="6" t="s">
        <v>97</v>
      </c>
      <c r="AC93" t="s">
        <v>154</v>
      </c>
      <c r="AD93" t="s">
        <v>67</v>
      </c>
      <c r="AE93">
        <v>-18</v>
      </c>
      <c r="AF93">
        <v>0</v>
      </c>
      <c r="AG93">
        <v>0.1</v>
      </c>
      <c r="AH93" s="6">
        <v>40.799999999999997</v>
      </c>
      <c r="AI93" s="6">
        <v>0</v>
      </c>
      <c r="AJ93" s="6">
        <v>0.57999999999999996</v>
      </c>
      <c r="AK93" s="6">
        <v>0.626</v>
      </c>
      <c r="AL93" s="8">
        <v>82327.89</v>
      </c>
      <c r="AM93" s="6" t="s">
        <v>155</v>
      </c>
      <c r="AN93" s="6">
        <v>1</v>
      </c>
      <c r="AO93" s="6">
        <v>1</v>
      </c>
      <c r="AP93" s="6">
        <v>0</v>
      </c>
      <c r="AQ93" s="6">
        <v>1</v>
      </c>
      <c r="AR93" s="6">
        <v>0</v>
      </c>
      <c r="AS93" s="6">
        <v>1</v>
      </c>
      <c r="AT93" s="6">
        <v>0</v>
      </c>
      <c r="AU93" s="6">
        <v>1.7</v>
      </c>
      <c r="AV93" s="6">
        <v>1.1000000000000001</v>
      </c>
      <c r="AW93" s="6">
        <v>67.47</v>
      </c>
      <c r="AX93" s="6">
        <v>18.690000000000001</v>
      </c>
      <c r="AY93" s="6">
        <v>63.35</v>
      </c>
      <c r="AZ93" s="6">
        <v>13.3</v>
      </c>
      <c r="BA93" s="6">
        <v>9.1</v>
      </c>
    </row>
    <row r="94" spans="1:53" x14ac:dyDescent="0.3">
      <c r="A94" s="6">
        <v>651085057</v>
      </c>
      <c r="B94" s="6">
        <v>733052</v>
      </c>
      <c r="C94" s="6">
        <v>2642635</v>
      </c>
      <c r="D94" s="6">
        <v>8989</v>
      </c>
      <c r="E94" s="6" t="s">
        <v>84</v>
      </c>
      <c r="F94" s="6">
        <v>54150</v>
      </c>
      <c r="G94" s="6" t="s">
        <v>235</v>
      </c>
      <c r="H94" s="10">
        <v>45767</v>
      </c>
      <c r="I94" s="10">
        <v>45767</v>
      </c>
      <c r="J94" s="4">
        <v>45767.322916666664</v>
      </c>
      <c r="K94" s="4">
        <v>45768.008379629631</v>
      </c>
      <c r="L94" s="11">
        <v>45767.988935185182</v>
      </c>
      <c r="M94" s="10">
        <v>45767</v>
      </c>
      <c r="N94" s="6" t="s">
        <v>132</v>
      </c>
      <c r="O94" t="s">
        <v>133</v>
      </c>
      <c r="P94" s="6" t="s">
        <v>59</v>
      </c>
      <c r="Q94" t="s">
        <v>99</v>
      </c>
      <c r="R94" t="s">
        <v>62</v>
      </c>
      <c r="S94" s="6">
        <v>778018</v>
      </c>
      <c r="T94" s="6" t="s">
        <v>140</v>
      </c>
      <c r="U94">
        <v>786</v>
      </c>
      <c r="V94" s="6">
        <v>37.299999999999997</v>
      </c>
      <c r="W94" s="6">
        <v>12.8</v>
      </c>
      <c r="X94" s="6">
        <v>791.6</v>
      </c>
      <c r="Y94" s="6">
        <v>841.7</v>
      </c>
      <c r="Z94" s="6" t="s">
        <v>2</v>
      </c>
      <c r="AA94" t="s">
        <v>287</v>
      </c>
      <c r="AB94" s="6" t="s">
        <v>97</v>
      </c>
      <c r="AC94" t="s">
        <v>91</v>
      </c>
      <c r="AD94" t="s">
        <v>67</v>
      </c>
      <c r="AE94">
        <v>-28</v>
      </c>
      <c r="AF94">
        <v>0</v>
      </c>
      <c r="AG94">
        <v>0</v>
      </c>
      <c r="AH94" s="6">
        <v>51.1</v>
      </c>
      <c r="AI94" s="6">
        <v>0</v>
      </c>
      <c r="AJ94" s="6">
        <v>0.86099999999999999</v>
      </c>
      <c r="AK94" s="6">
        <v>0.36799999999999999</v>
      </c>
      <c r="AL94" s="8">
        <v>11249.38</v>
      </c>
      <c r="AM94" s="6" t="s">
        <v>114</v>
      </c>
      <c r="AN94" s="6">
        <v>1</v>
      </c>
      <c r="AO94" s="6">
        <v>1</v>
      </c>
      <c r="AP94" s="6">
        <v>0</v>
      </c>
      <c r="AQ94" s="6">
        <v>1</v>
      </c>
      <c r="AR94" s="6">
        <v>0</v>
      </c>
      <c r="AS94" s="6">
        <v>1</v>
      </c>
      <c r="AT94" s="6">
        <v>0</v>
      </c>
      <c r="AU94" s="6">
        <v>2.31</v>
      </c>
      <c r="AV94" s="6">
        <v>1.5</v>
      </c>
      <c r="AW94" s="6">
        <v>692.92</v>
      </c>
      <c r="AX94" s="6">
        <v>180.67</v>
      </c>
      <c r="AY94" s="6">
        <v>514.75</v>
      </c>
      <c r="AZ94" s="6">
        <v>11.9</v>
      </c>
      <c r="BA94" s="6">
        <v>12.1</v>
      </c>
    </row>
    <row r="95" spans="1:53" x14ac:dyDescent="0.3">
      <c r="A95" s="6">
        <v>737444033</v>
      </c>
      <c r="B95" s="6">
        <v>813536</v>
      </c>
      <c r="C95" s="6">
        <v>3500715</v>
      </c>
      <c r="D95" s="6">
        <v>5737</v>
      </c>
      <c r="E95" s="6" t="s">
        <v>57</v>
      </c>
      <c r="F95" s="6">
        <v>59522</v>
      </c>
      <c r="G95" s="6" t="s">
        <v>164</v>
      </c>
      <c r="H95" s="10">
        <v>45931</v>
      </c>
      <c r="I95" s="10">
        <v>45931</v>
      </c>
      <c r="J95" s="4">
        <v>45931.486111111109</v>
      </c>
      <c r="K95" s="4">
        <v>45931.81144675926</v>
      </c>
      <c r="L95" s="11">
        <v>45931.79478009259</v>
      </c>
      <c r="M95" s="10">
        <v>45931</v>
      </c>
      <c r="N95" s="6" t="s">
        <v>59</v>
      </c>
      <c r="O95" t="s">
        <v>85</v>
      </c>
      <c r="P95" s="6" t="s">
        <v>150</v>
      </c>
      <c r="Q95" t="s">
        <v>265</v>
      </c>
      <c r="R95" t="s">
        <v>73</v>
      </c>
      <c r="S95" s="6">
        <v>782862</v>
      </c>
      <c r="T95" s="6" t="s">
        <v>1</v>
      </c>
      <c r="U95">
        <v>318</v>
      </c>
      <c r="V95" s="6">
        <v>10.8</v>
      </c>
      <c r="W95" s="6">
        <v>3</v>
      </c>
      <c r="X95" s="6">
        <v>309.3</v>
      </c>
      <c r="Y95" s="6">
        <v>323.10000000000002</v>
      </c>
      <c r="Z95" s="6" t="s">
        <v>2</v>
      </c>
      <c r="AA95" t="s">
        <v>288</v>
      </c>
      <c r="AB95" s="6" t="s">
        <v>75</v>
      </c>
      <c r="AC95" t="s">
        <v>125</v>
      </c>
      <c r="AD95" t="s">
        <v>67</v>
      </c>
      <c r="AE95">
        <v>-24</v>
      </c>
      <c r="AF95">
        <v>0</v>
      </c>
      <c r="AG95">
        <v>0</v>
      </c>
      <c r="AH95" s="6">
        <v>49.4</v>
      </c>
      <c r="AI95" s="6">
        <v>0</v>
      </c>
      <c r="AJ95" s="6">
        <v>0.77500000000000002</v>
      </c>
      <c r="AK95" s="6">
        <v>0.67300000000000004</v>
      </c>
      <c r="AL95" s="8">
        <v>5316.17</v>
      </c>
      <c r="AM95" s="6" t="s">
        <v>68</v>
      </c>
      <c r="AN95" s="6">
        <v>1</v>
      </c>
      <c r="AO95" s="6">
        <v>1</v>
      </c>
      <c r="AP95" s="6">
        <v>0</v>
      </c>
      <c r="AQ95" s="6">
        <v>1</v>
      </c>
      <c r="AR95" s="6">
        <v>0</v>
      </c>
      <c r="AS95" s="6">
        <v>1</v>
      </c>
      <c r="AT95" s="6">
        <v>0</v>
      </c>
      <c r="AU95" s="6">
        <v>2.37</v>
      </c>
      <c r="AV95" s="6">
        <v>1.84</v>
      </c>
      <c r="AW95" s="6">
        <v>251.1</v>
      </c>
      <c r="AX95" s="6">
        <v>61.92</v>
      </c>
      <c r="AY95" s="6">
        <v>161.81</v>
      </c>
      <c r="AZ95" s="6">
        <v>6.9</v>
      </c>
      <c r="BA95" s="6">
        <v>34</v>
      </c>
    </row>
    <row r="96" spans="1:53" x14ac:dyDescent="0.3">
      <c r="A96" s="6">
        <v>217095851</v>
      </c>
      <c r="B96" s="6">
        <v>883300</v>
      </c>
      <c r="C96" s="6">
        <v>9479356</v>
      </c>
      <c r="D96" s="6">
        <v>5413</v>
      </c>
      <c r="E96" s="6" t="s">
        <v>84</v>
      </c>
      <c r="F96" s="6">
        <v>51446</v>
      </c>
      <c r="G96" s="6" t="s">
        <v>164</v>
      </c>
      <c r="H96" s="10">
        <v>45947</v>
      </c>
      <c r="I96" s="10">
        <v>45947</v>
      </c>
      <c r="J96" s="4">
        <v>45947.697916666664</v>
      </c>
      <c r="K96" s="4">
        <v>45948.047511574077</v>
      </c>
      <c r="L96" s="11">
        <v>45948.066261574073</v>
      </c>
      <c r="M96" s="10">
        <v>45948</v>
      </c>
      <c r="N96" s="6" t="s">
        <v>129</v>
      </c>
      <c r="O96" t="s">
        <v>130</v>
      </c>
      <c r="P96" s="6" t="s">
        <v>93</v>
      </c>
      <c r="Q96" t="s">
        <v>144</v>
      </c>
      <c r="R96" t="s">
        <v>73</v>
      </c>
      <c r="S96" s="6">
        <v>750133</v>
      </c>
      <c r="T96" s="6" t="s">
        <v>111</v>
      </c>
      <c r="U96">
        <v>381</v>
      </c>
      <c r="V96" s="6">
        <v>14.7</v>
      </c>
      <c r="W96" s="6">
        <v>10.8</v>
      </c>
      <c r="X96" s="6">
        <v>375.9</v>
      </c>
      <c r="Y96" s="6">
        <v>401.4</v>
      </c>
      <c r="Z96" s="6" t="s">
        <v>63</v>
      </c>
      <c r="AA96" t="s">
        <v>289</v>
      </c>
      <c r="AB96" s="6" t="s">
        <v>90</v>
      </c>
      <c r="AC96" t="s">
        <v>154</v>
      </c>
      <c r="AD96" t="s">
        <v>67</v>
      </c>
      <c r="AE96">
        <v>27</v>
      </c>
      <c r="AF96">
        <v>0</v>
      </c>
      <c r="AG96">
        <v>0</v>
      </c>
      <c r="AH96" s="6">
        <v>38.5</v>
      </c>
      <c r="AI96" s="6">
        <v>0</v>
      </c>
      <c r="AJ96" s="6">
        <v>0.66300000000000003</v>
      </c>
      <c r="AK96" s="6">
        <v>0.40899999999999997</v>
      </c>
      <c r="AL96" s="8">
        <v>12286.93</v>
      </c>
      <c r="AM96" s="6" t="s">
        <v>114</v>
      </c>
      <c r="AN96" s="6">
        <v>1</v>
      </c>
      <c r="AO96" s="6">
        <v>0</v>
      </c>
      <c r="AP96" s="6">
        <v>1</v>
      </c>
      <c r="AQ96" s="6">
        <v>0</v>
      </c>
      <c r="AR96" s="6">
        <v>1</v>
      </c>
      <c r="AS96" s="6">
        <v>0</v>
      </c>
      <c r="AT96" s="6">
        <v>1</v>
      </c>
      <c r="AU96" s="6">
        <v>2.21</v>
      </c>
      <c r="AV96" s="6">
        <v>1.61</v>
      </c>
      <c r="AW96" s="6">
        <v>261.47000000000003</v>
      </c>
      <c r="AX96" s="6">
        <v>75.14</v>
      </c>
      <c r="AY96" s="6">
        <v>222.38</v>
      </c>
      <c r="AZ96" s="6">
        <v>29.3</v>
      </c>
      <c r="BA96" s="6">
        <v>17.3</v>
      </c>
    </row>
    <row r="97" spans="1:53" x14ac:dyDescent="0.3">
      <c r="A97" s="6">
        <v>585337126</v>
      </c>
      <c r="B97" s="6">
        <v>903035</v>
      </c>
      <c r="C97" s="6">
        <v>7110622</v>
      </c>
      <c r="D97" s="6">
        <v>3200</v>
      </c>
      <c r="E97" s="6" t="s">
        <v>92</v>
      </c>
      <c r="F97" s="6">
        <v>59632</v>
      </c>
      <c r="G97" s="6" t="s">
        <v>207</v>
      </c>
      <c r="H97" s="10">
        <v>45731</v>
      </c>
      <c r="I97" s="10">
        <v>45731</v>
      </c>
      <c r="J97" s="4">
        <v>45731.604166666664</v>
      </c>
      <c r="K97" s="4">
        <v>45731.791238425925</v>
      </c>
      <c r="L97" s="11">
        <v>45731.762071759258</v>
      </c>
      <c r="M97" s="10">
        <v>45731</v>
      </c>
      <c r="N97" s="6" t="s">
        <v>93</v>
      </c>
      <c r="O97" t="s">
        <v>290</v>
      </c>
      <c r="P97" s="6" t="s">
        <v>109</v>
      </c>
      <c r="Q97" t="s">
        <v>198</v>
      </c>
      <c r="R97" t="s">
        <v>88</v>
      </c>
      <c r="S97" s="6">
        <v>707094</v>
      </c>
      <c r="T97" s="6" t="s">
        <v>1</v>
      </c>
      <c r="U97">
        <v>237</v>
      </c>
      <c r="V97" s="6">
        <v>41.3</v>
      </c>
      <c r="W97" s="6">
        <v>6.8</v>
      </c>
      <c r="X97" s="6">
        <v>246.7</v>
      </c>
      <c r="Y97" s="6">
        <v>294.8</v>
      </c>
      <c r="Z97" s="6" t="s">
        <v>2</v>
      </c>
      <c r="AA97" t="s">
        <v>291</v>
      </c>
      <c r="AB97" s="6" t="s">
        <v>90</v>
      </c>
      <c r="AC97" t="s">
        <v>76</v>
      </c>
      <c r="AD97" t="s">
        <v>67</v>
      </c>
      <c r="AE97">
        <v>-42</v>
      </c>
      <c r="AF97">
        <v>0</v>
      </c>
      <c r="AG97">
        <v>0</v>
      </c>
      <c r="AH97" s="6">
        <v>42</v>
      </c>
      <c r="AI97" s="6">
        <v>0</v>
      </c>
      <c r="AJ97" s="6">
        <v>0.73799999999999999</v>
      </c>
      <c r="AK97" s="6">
        <v>0.83599999999999997</v>
      </c>
      <c r="AL97" s="8">
        <v>20300.3</v>
      </c>
      <c r="AM97" s="6" t="s">
        <v>114</v>
      </c>
      <c r="AN97" s="6">
        <v>1</v>
      </c>
      <c r="AO97" s="6">
        <v>1</v>
      </c>
      <c r="AP97" s="6">
        <v>0</v>
      </c>
      <c r="AQ97" s="6">
        <v>1</v>
      </c>
      <c r="AR97" s="6">
        <v>0</v>
      </c>
      <c r="AS97" s="6">
        <v>1</v>
      </c>
      <c r="AT97" s="6">
        <v>0</v>
      </c>
      <c r="AU97" s="6">
        <v>2.64</v>
      </c>
      <c r="AV97" s="6">
        <v>1.75</v>
      </c>
      <c r="AW97" s="6">
        <v>232.78</v>
      </c>
      <c r="AX97" s="6">
        <v>64.55</v>
      </c>
      <c r="AY97" s="6">
        <v>151.58000000000001</v>
      </c>
      <c r="AZ97" s="6">
        <v>26.8</v>
      </c>
      <c r="BA97" s="6">
        <v>7</v>
      </c>
    </row>
    <row r="98" spans="1:53" x14ac:dyDescent="0.3">
      <c r="A98" s="6">
        <v>640992677</v>
      </c>
      <c r="B98" s="6">
        <v>263032</v>
      </c>
      <c r="C98" s="6">
        <v>4191175</v>
      </c>
      <c r="D98" s="6">
        <v>6486</v>
      </c>
      <c r="E98" s="6" t="s">
        <v>225</v>
      </c>
      <c r="F98" s="6">
        <v>56468</v>
      </c>
      <c r="G98" s="6" t="s">
        <v>203</v>
      </c>
      <c r="H98" s="10">
        <v>46008</v>
      </c>
      <c r="I98" s="10">
        <v>46008</v>
      </c>
      <c r="J98" s="4">
        <v>46008.354166666664</v>
      </c>
      <c r="K98" s="4">
        <v>46008.455775462964</v>
      </c>
      <c r="L98" s="11">
        <v>46008.448136574072</v>
      </c>
      <c r="M98" s="10">
        <v>46008</v>
      </c>
      <c r="N98" s="6" t="s">
        <v>176</v>
      </c>
      <c r="O98" t="s">
        <v>292</v>
      </c>
      <c r="P98" s="6" t="s">
        <v>70</v>
      </c>
      <c r="Q98" t="s">
        <v>72</v>
      </c>
      <c r="R98" t="s">
        <v>73</v>
      </c>
      <c r="S98" s="6">
        <v>715799</v>
      </c>
      <c r="T98" s="6" t="s">
        <v>3</v>
      </c>
      <c r="U98">
        <v>52</v>
      </c>
      <c r="V98" s="6">
        <v>55.3</v>
      </c>
      <c r="W98" s="6">
        <v>11.5</v>
      </c>
      <c r="X98" s="6">
        <v>44.6</v>
      </c>
      <c r="Y98" s="6">
        <v>111.4</v>
      </c>
      <c r="Z98" s="6" t="s">
        <v>215</v>
      </c>
      <c r="AA98" t="s">
        <v>293</v>
      </c>
      <c r="AB98" s="6" t="s">
        <v>97</v>
      </c>
      <c r="AC98" t="s">
        <v>125</v>
      </c>
      <c r="AD98" t="s">
        <v>67</v>
      </c>
      <c r="AE98">
        <v>-11</v>
      </c>
      <c r="AF98">
        <v>0</v>
      </c>
      <c r="AG98">
        <v>0</v>
      </c>
      <c r="AH98" s="6">
        <v>61.2</v>
      </c>
      <c r="AI98" s="6">
        <v>0</v>
      </c>
      <c r="AJ98" s="6">
        <v>0.72</v>
      </c>
      <c r="AK98" s="6">
        <v>0.432</v>
      </c>
      <c r="AL98" s="8">
        <v>1724.1</v>
      </c>
      <c r="AM98" s="6" t="s">
        <v>68</v>
      </c>
      <c r="AN98" s="6">
        <v>1</v>
      </c>
      <c r="AO98" s="6">
        <v>1</v>
      </c>
      <c r="AP98" s="6">
        <v>0</v>
      </c>
      <c r="AQ98" s="6">
        <v>1</v>
      </c>
      <c r="AR98" s="6">
        <v>0</v>
      </c>
      <c r="AS98" s="6">
        <v>1</v>
      </c>
      <c r="AT98" s="6">
        <v>0</v>
      </c>
      <c r="AU98" s="6">
        <v>2.5</v>
      </c>
      <c r="AV98" s="6">
        <v>1.9</v>
      </c>
      <c r="AW98" s="6">
        <v>92.76</v>
      </c>
      <c r="AX98" s="6">
        <v>21.37</v>
      </c>
      <c r="AY98" s="6">
        <v>55.95</v>
      </c>
      <c r="AZ98" s="6">
        <v>13.2</v>
      </c>
      <c r="BA98" s="6">
        <v>22.6</v>
      </c>
    </row>
    <row r="99" spans="1:53" x14ac:dyDescent="0.3">
      <c r="A99" s="6">
        <v>337887233</v>
      </c>
      <c r="B99" s="6">
        <v>103402</v>
      </c>
      <c r="C99" s="6">
        <v>3670896</v>
      </c>
      <c r="D99" s="6">
        <v>3511</v>
      </c>
      <c r="E99" s="6" t="s">
        <v>142</v>
      </c>
      <c r="F99" s="6">
        <v>55790</v>
      </c>
      <c r="G99" s="6" t="s">
        <v>69</v>
      </c>
      <c r="H99" s="10">
        <v>45841</v>
      </c>
      <c r="I99" s="10">
        <v>45841</v>
      </c>
      <c r="J99" s="4">
        <v>45841.520833333336</v>
      </c>
      <c r="K99" s="4">
        <v>45841.839398148149</v>
      </c>
      <c r="L99" s="11">
        <v>45841.803981481484</v>
      </c>
      <c r="M99" s="10">
        <v>45841</v>
      </c>
      <c r="N99" s="6" t="s">
        <v>86</v>
      </c>
      <c r="O99" t="s">
        <v>108</v>
      </c>
      <c r="P99" s="6" t="s">
        <v>116</v>
      </c>
      <c r="Q99" t="s">
        <v>251</v>
      </c>
      <c r="R99" t="s">
        <v>123</v>
      </c>
      <c r="S99" s="6">
        <v>775534</v>
      </c>
      <c r="T99" s="6" t="s">
        <v>111</v>
      </c>
      <c r="U99">
        <v>380</v>
      </c>
      <c r="V99" s="6">
        <v>14.5</v>
      </c>
      <c r="W99" s="6">
        <v>34.9</v>
      </c>
      <c r="X99" s="6">
        <v>382.2</v>
      </c>
      <c r="Y99" s="6">
        <v>431.6</v>
      </c>
      <c r="Z99" s="6" t="s">
        <v>80</v>
      </c>
      <c r="AA99" t="s">
        <v>294</v>
      </c>
      <c r="AB99" s="6" t="s">
        <v>75</v>
      </c>
      <c r="AC99" t="s">
        <v>137</v>
      </c>
      <c r="AD99" t="s">
        <v>67</v>
      </c>
      <c r="AE99">
        <v>-51</v>
      </c>
      <c r="AF99">
        <v>58</v>
      </c>
      <c r="AG99">
        <v>0</v>
      </c>
      <c r="AH99" s="6">
        <v>74.8</v>
      </c>
      <c r="AI99" s="6">
        <v>0</v>
      </c>
      <c r="AJ99" s="6">
        <v>0.58899999999999997</v>
      </c>
      <c r="AK99" s="6">
        <v>0.61299999999999999</v>
      </c>
      <c r="AL99" s="8">
        <v>16504.330000000002</v>
      </c>
      <c r="AM99" s="6" t="s">
        <v>114</v>
      </c>
      <c r="AN99" s="6">
        <v>1</v>
      </c>
      <c r="AO99" s="6">
        <v>1</v>
      </c>
      <c r="AP99" s="6">
        <v>0</v>
      </c>
      <c r="AQ99" s="6">
        <v>1</v>
      </c>
      <c r="AR99" s="6">
        <v>0</v>
      </c>
      <c r="AS99" s="6">
        <v>1</v>
      </c>
      <c r="AT99" s="6">
        <v>0</v>
      </c>
      <c r="AU99" s="6">
        <v>2.15</v>
      </c>
      <c r="AV99" s="6">
        <v>1.4</v>
      </c>
      <c r="AW99" s="6">
        <v>345.05</v>
      </c>
      <c r="AX99" s="6">
        <v>50.39</v>
      </c>
      <c r="AY99" s="6">
        <v>238.12</v>
      </c>
      <c r="AZ99" s="6">
        <v>15.9</v>
      </c>
      <c r="BA99" s="6">
        <v>24</v>
      </c>
    </row>
    <row r="100" spans="1:53" x14ac:dyDescent="0.3">
      <c r="A100" s="6">
        <v>760465943</v>
      </c>
      <c r="B100" s="6">
        <v>623481</v>
      </c>
      <c r="C100" s="6">
        <v>2737893</v>
      </c>
      <c r="D100" s="6">
        <v>4627</v>
      </c>
      <c r="E100" s="6" t="s">
        <v>101</v>
      </c>
      <c r="F100" s="6">
        <v>54175</v>
      </c>
      <c r="G100" s="6" t="s">
        <v>164</v>
      </c>
      <c r="H100" s="10">
        <v>45992</v>
      </c>
      <c r="I100" s="10">
        <v>45992</v>
      </c>
      <c r="J100" s="4">
        <v>45992.614583333336</v>
      </c>
      <c r="K100" s="4">
        <v>45992.787824074076</v>
      </c>
      <c r="L100" s="11">
        <v>45992.766296296293</v>
      </c>
      <c r="M100" s="10">
        <v>45992</v>
      </c>
      <c r="N100" s="6" t="s">
        <v>86</v>
      </c>
      <c r="O100" t="s">
        <v>108</v>
      </c>
      <c r="P100" s="6" t="s">
        <v>200</v>
      </c>
      <c r="Q100" t="s">
        <v>171</v>
      </c>
      <c r="R100" t="s">
        <v>62</v>
      </c>
      <c r="S100" s="6">
        <v>739948</v>
      </c>
      <c r="T100" s="6" t="s">
        <v>1</v>
      </c>
      <c r="U100">
        <v>254</v>
      </c>
      <c r="V100" s="6">
        <v>18.899999999999999</v>
      </c>
      <c r="W100" s="6">
        <v>8.6999999999999993</v>
      </c>
      <c r="X100" s="6">
        <v>249.5</v>
      </c>
      <c r="Y100" s="6">
        <v>277.10000000000002</v>
      </c>
      <c r="Z100" s="6" t="s">
        <v>63</v>
      </c>
      <c r="AA100" t="s">
        <v>295</v>
      </c>
      <c r="AB100" s="6" t="s">
        <v>90</v>
      </c>
      <c r="AC100" t="s">
        <v>83</v>
      </c>
      <c r="AD100" t="s">
        <v>67</v>
      </c>
      <c r="AE100">
        <v>-31</v>
      </c>
      <c r="AF100">
        <v>107</v>
      </c>
      <c r="AG100">
        <v>0</v>
      </c>
      <c r="AH100" s="6">
        <v>32.9</v>
      </c>
      <c r="AI100" s="6">
        <v>0</v>
      </c>
      <c r="AJ100" s="6">
        <v>0.748</v>
      </c>
      <c r="AK100" s="6">
        <v>0.79</v>
      </c>
      <c r="AL100" s="8">
        <v>6430.13</v>
      </c>
      <c r="AM100" s="6" t="s">
        <v>114</v>
      </c>
      <c r="AN100" s="6">
        <v>1</v>
      </c>
      <c r="AO100" s="6">
        <v>1</v>
      </c>
      <c r="AP100" s="6">
        <v>0</v>
      </c>
      <c r="AQ100" s="6">
        <v>1</v>
      </c>
      <c r="AR100" s="6">
        <v>0</v>
      </c>
      <c r="AS100" s="6">
        <v>1</v>
      </c>
      <c r="AT100" s="6">
        <v>0</v>
      </c>
      <c r="AU100" s="6">
        <v>2.42</v>
      </c>
      <c r="AV100" s="6">
        <v>1.93</v>
      </c>
      <c r="AW100" s="6">
        <v>180.48</v>
      </c>
      <c r="AX100" s="6">
        <v>43.06</v>
      </c>
      <c r="AY100" s="6">
        <v>139.41</v>
      </c>
      <c r="AZ100" s="6">
        <v>22.3</v>
      </c>
      <c r="BA100" s="6">
        <v>68</v>
      </c>
    </row>
    <row r="101" spans="1:53" x14ac:dyDescent="0.3">
      <c r="A101" s="6">
        <v>146562851</v>
      </c>
      <c r="B101" s="6">
        <v>496922</v>
      </c>
      <c r="C101" s="6">
        <v>9075854</v>
      </c>
      <c r="D101" s="6">
        <v>8869</v>
      </c>
      <c r="E101" s="6" t="s">
        <v>84</v>
      </c>
      <c r="F101" s="6">
        <v>55080</v>
      </c>
      <c r="G101" s="6" t="s">
        <v>115</v>
      </c>
      <c r="H101" s="10">
        <v>45915</v>
      </c>
      <c r="I101" s="10">
        <v>45915</v>
      </c>
      <c r="J101" s="4">
        <v>45915.586805555555</v>
      </c>
      <c r="K101" s="4">
        <v>45915.983263888891</v>
      </c>
      <c r="L101" s="11">
        <v>45915.982569444444</v>
      </c>
      <c r="M101" s="10">
        <v>45915</v>
      </c>
      <c r="N101" s="6" t="s">
        <v>170</v>
      </c>
      <c r="O101" t="s">
        <v>171</v>
      </c>
      <c r="P101" s="6" t="s">
        <v>103</v>
      </c>
      <c r="Q101" t="s">
        <v>232</v>
      </c>
      <c r="R101" t="s">
        <v>73</v>
      </c>
      <c r="S101" s="6">
        <v>768731</v>
      </c>
      <c r="T101" s="6" t="s">
        <v>111</v>
      </c>
      <c r="U101">
        <v>505</v>
      </c>
      <c r="V101" s="6">
        <v>13.2</v>
      </c>
      <c r="W101" s="6">
        <v>23.7</v>
      </c>
      <c r="X101" s="6">
        <v>499.6</v>
      </c>
      <c r="Y101" s="6">
        <v>536.5</v>
      </c>
      <c r="Z101" s="6" t="s">
        <v>112</v>
      </c>
      <c r="AA101" t="s">
        <v>296</v>
      </c>
      <c r="AB101" s="6" t="s">
        <v>90</v>
      </c>
      <c r="AC101" t="s">
        <v>83</v>
      </c>
      <c r="AD101" t="s">
        <v>67</v>
      </c>
      <c r="AE101">
        <v>-1</v>
      </c>
      <c r="AF101">
        <v>0</v>
      </c>
      <c r="AG101">
        <v>0</v>
      </c>
      <c r="AH101" s="6">
        <v>71</v>
      </c>
      <c r="AI101" s="6">
        <v>0</v>
      </c>
      <c r="AJ101" s="6">
        <v>0.54200000000000004</v>
      </c>
      <c r="AK101" s="6">
        <v>0.47899999999999998</v>
      </c>
      <c r="AL101" s="8">
        <v>8543.4500000000007</v>
      </c>
      <c r="AM101" s="6" t="s">
        <v>114</v>
      </c>
      <c r="AN101" s="6">
        <v>1</v>
      </c>
      <c r="AO101" s="6">
        <v>1</v>
      </c>
      <c r="AP101" s="6">
        <v>0</v>
      </c>
      <c r="AQ101" s="6">
        <v>1</v>
      </c>
      <c r="AR101" s="6">
        <v>0</v>
      </c>
      <c r="AS101" s="6">
        <v>1</v>
      </c>
      <c r="AT101" s="6">
        <v>0</v>
      </c>
      <c r="AU101" s="6">
        <v>2.57</v>
      </c>
      <c r="AV101" s="6">
        <v>1.93</v>
      </c>
      <c r="AW101" s="6">
        <v>470.17</v>
      </c>
      <c r="AX101" s="6">
        <v>86.07</v>
      </c>
      <c r="AY101" s="6">
        <v>291.02</v>
      </c>
      <c r="AZ101" s="6">
        <v>9.3000000000000007</v>
      </c>
      <c r="BA101" s="6">
        <v>26.6</v>
      </c>
    </row>
    <row r="102" spans="1:53" x14ac:dyDescent="0.3">
      <c r="A102" s="6">
        <v>880871219</v>
      </c>
      <c r="B102" s="6">
        <v>440035</v>
      </c>
      <c r="C102" s="6">
        <v>1156287</v>
      </c>
      <c r="D102" s="6">
        <v>8858</v>
      </c>
      <c r="E102" s="6" t="s">
        <v>57</v>
      </c>
      <c r="F102" s="6">
        <v>50864</v>
      </c>
      <c r="G102" s="6" t="s">
        <v>235</v>
      </c>
      <c r="H102" s="10">
        <v>45921</v>
      </c>
      <c r="I102" s="10">
        <v>45921</v>
      </c>
      <c r="J102" s="4">
        <v>45921.677083333336</v>
      </c>
      <c r="K102" s="4">
        <v>45921.888229166667</v>
      </c>
      <c r="L102" s="11">
        <v>45921.847951388889</v>
      </c>
      <c r="M102" s="10">
        <v>45921</v>
      </c>
      <c r="N102" s="6" t="s">
        <v>109</v>
      </c>
      <c r="O102" t="s">
        <v>118</v>
      </c>
      <c r="P102" s="6" t="s">
        <v>109</v>
      </c>
      <c r="Q102" t="s">
        <v>118</v>
      </c>
      <c r="R102" t="s">
        <v>88</v>
      </c>
      <c r="S102" s="6">
        <v>705397</v>
      </c>
      <c r="T102" s="6" t="s">
        <v>1</v>
      </c>
      <c r="U102">
        <v>221</v>
      </c>
      <c r="V102" s="6">
        <v>14.2</v>
      </c>
      <c r="W102" s="6">
        <v>6.9</v>
      </c>
      <c r="X102" s="6">
        <v>220.9</v>
      </c>
      <c r="Y102" s="6">
        <v>242</v>
      </c>
      <c r="Z102" s="6" t="s">
        <v>63</v>
      </c>
      <c r="AA102" t="s">
        <v>297</v>
      </c>
      <c r="AB102" s="6" t="s">
        <v>90</v>
      </c>
      <c r="AC102" t="s">
        <v>91</v>
      </c>
      <c r="AD102" t="s">
        <v>67</v>
      </c>
      <c r="AE102">
        <v>-58</v>
      </c>
      <c r="AF102">
        <v>0</v>
      </c>
      <c r="AG102">
        <v>0</v>
      </c>
      <c r="AH102" s="6">
        <v>84.2</v>
      </c>
      <c r="AI102" s="6">
        <v>0</v>
      </c>
      <c r="AJ102" s="6">
        <v>0.61599999999999999</v>
      </c>
      <c r="AK102" s="6">
        <v>0.91900000000000004</v>
      </c>
      <c r="AL102" s="8">
        <v>20257.93</v>
      </c>
      <c r="AM102" s="6" t="s">
        <v>114</v>
      </c>
      <c r="AN102" s="6">
        <v>1</v>
      </c>
      <c r="AO102" s="6">
        <v>1</v>
      </c>
      <c r="AP102" s="6">
        <v>0</v>
      </c>
      <c r="AQ102" s="6">
        <v>1</v>
      </c>
      <c r="AR102" s="6">
        <v>0</v>
      </c>
      <c r="AS102" s="6">
        <v>1</v>
      </c>
      <c r="AT102" s="6">
        <v>0</v>
      </c>
      <c r="AU102" s="6">
        <v>1.9</v>
      </c>
      <c r="AV102" s="6">
        <v>1.44</v>
      </c>
      <c r="AW102" s="6">
        <v>153.02000000000001</v>
      </c>
      <c r="AX102" s="6">
        <v>33.049999999999997</v>
      </c>
      <c r="AY102" s="6">
        <v>148.26</v>
      </c>
      <c r="AZ102" s="6">
        <v>8.3000000000000007</v>
      </c>
      <c r="BA102" s="6">
        <v>27.1</v>
      </c>
    </row>
    <row r="103" spans="1:53" x14ac:dyDescent="0.3">
      <c r="A103" s="6">
        <v>940983577</v>
      </c>
      <c r="B103" s="6">
        <v>172933</v>
      </c>
      <c r="C103" s="6">
        <v>8096887</v>
      </c>
      <c r="D103" s="6">
        <v>9684</v>
      </c>
      <c r="E103" s="6" t="s">
        <v>101</v>
      </c>
      <c r="F103" s="6">
        <v>56860</v>
      </c>
      <c r="G103" s="6" t="s">
        <v>127</v>
      </c>
      <c r="H103" s="10">
        <v>45689</v>
      </c>
      <c r="I103" s="10">
        <v>45689</v>
      </c>
      <c r="J103" s="4">
        <v>45689.763888888891</v>
      </c>
      <c r="K103" s="4">
        <v>45689.97384259259</v>
      </c>
      <c r="L103" s="11">
        <v>45689.975231481483</v>
      </c>
      <c r="M103" s="10">
        <v>45689</v>
      </c>
      <c r="N103" s="6" t="s">
        <v>170</v>
      </c>
      <c r="O103" t="s">
        <v>171</v>
      </c>
      <c r="P103" s="6" t="s">
        <v>109</v>
      </c>
      <c r="Q103" t="s">
        <v>198</v>
      </c>
      <c r="R103" t="s">
        <v>88</v>
      </c>
      <c r="S103" s="6">
        <v>712358</v>
      </c>
      <c r="T103" s="6" t="s">
        <v>1</v>
      </c>
      <c r="U103">
        <v>270</v>
      </c>
      <c r="V103" s="6">
        <v>0.6</v>
      </c>
      <c r="W103" s="6">
        <v>33.6</v>
      </c>
      <c r="X103" s="6">
        <v>283.10000000000002</v>
      </c>
      <c r="Y103" s="6">
        <v>317.3</v>
      </c>
      <c r="Z103" s="6" t="s">
        <v>63</v>
      </c>
      <c r="AA103" t="s">
        <v>298</v>
      </c>
      <c r="AB103" s="6" t="s">
        <v>65</v>
      </c>
      <c r="AC103" t="s">
        <v>76</v>
      </c>
      <c r="AD103" t="s">
        <v>67</v>
      </c>
      <c r="AE103">
        <v>2</v>
      </c>
      <c r="AF103">
        <v>0</v>
      </c>
      <c r="AG103">
        <v>0</v>
      </c>
      <c r="AH103" s="6">
        <v>42.8</v>
      </c>
      <c r="AI103" s="6">
        <v>0</v>
      </c>
      <c r="AJ103" s="6">
        <v>0.41099999999999998</v>
      </c>
      <c r="AK103" s="6">
        <v>0.68600000000000005</v>
      </c>
      <c r="AL103" s="8">
        <v>13383.55</v>
      </c>
      <c r="AM103" s="6" t="s">
        <v>114</v>
      </c>
      <c r="AN103" s="6">
        <v>1</v>
      </c>
      <c r="AO103" s="6">
        <v>1</v>
      </c>
      <c r="AP103" s="6">
        <v>0</v>
      </c>
      <c r="AQ103" s="6">
        <v>1</v>
      </c>
      <c r="AR103" s="6">
        <v>0</v>
      </c>
      <c r="AS103" s="6">
        <v>1</v>
      </c>
      <c r="AT103" s="6">
        <v>0</v>
      </c>
      <c r="AU103" s="6">
        <v>2.41</v>
      </c>
      <c r="AV103" s="6">
        <v>1.54</v>
      </c>
      <c r="AW103" s="6">
        <v>219.19</v>
      </c>
      <c r="AX103" s="6">
        <v>37.979999999999997</v>
      </c>
      <c r="AY103" s="6">
        <v>195.02</v>
      </c>
      <c r="AZ103" s="6">
        <v>12.2</v>
      </c>
      <c r="BA103" s="6">
        <v>45.6</v>
      </c>
    </row>
    <row r="104" spans="1:53" x14ac:dyDescent="0.3">
      <c r="A104" s="6">
        <v>807491789</v>
      </c>
      <c r="B104" s="6">
        <v>249811</v>
      </c>
      <c r="C104" s="6">
        <v>2795765</v>
      </c>
      <c r="D104" s="6">
        <v>8392</v>
      </c>
      <c r="E104" s="6" t="s">
        <v>92</v>
      </c>
      <c r="F104" s="6">
        <v>58663</v>
      </c>
      <c r="G104" s="6" t="s">
        <v>164</v>
      </c>
      <c r="H104" s="10">
        <v>45738</v>
      </c>
      <c r="I104" s="10">
        <v>45738</v>
      </c>
      <c r="J104" s="4">
        <v>45738.84375</v>
      </c>
      <c r="K104" s="4">
        <v>45738.956192129626</v>
      </c>
      <c r="L104" s="11">
        <v>45738.974942129629</v>
      </c>
      <c r="M104" s="10">
        <v>45738</v>
      </c>
      <c r="N104" s="6" t="s">
        <v>170</v>
      </c>
      <c r="O104" t="s">
        <v>269</v>
      </c>
      <c r="P104" s="6" t="s">
        <v>150</v>
      </c>
      <c r="Q104" t="s">
        <v>159</v>
      </c>
      <c r="R104" t="s">
        <v>73</v>
      </c>
      <c r="S104" s="6">
        <v>741853</v>
      </c>
      <c r="T104" s="6" t="s">
        <v>1</v>
      </c>
      <c r="U104">
        <v>124</v>
      </c>
      <c r="V104" s="6">
        <v>29.7</v>
      </c>
      <c r="W104" s="6">
        <v>30.9</v>
      </c>
      <c r="X104" s="6">
        <v>128.6</v>
      </c>
      <c r="Y104" s="6">
        <v>189.2</v>
      </c>
      <c r="Z104" s="6" t="s">
        <v>63</v>
      </c>
      <c r="AA104" t="s">
        <v>299</v>
      </c>
      <c r="AB104" s="6" t="s">
        <v>65</v>
      </c>
      <c r="AC104" t="s">
        <v>76</v>
      </c>
      <c r="AD104" t="s">
        <v>67</v>
      </c>
      <c r="AE104">
        <v>27</v>
      </c>
      <c r="AF104">
        <v>0</v>
      </c>
      <c r="AG104">
        <v>0</v>
      </c>
      <c r="AH104" s="6">
        <v>42.3</v>
      </c>
      <c r="AI104" s="6">
        <v>0</v>
      </c>
      <c r="AJ104" s="6">
        <v>0.52500000000000002</v>
      </c>
      <c r="AK104" s="6">
        <v>0.76200000000000001</v>
      </c>
      <c r="AL104" s="8">
        <v>3440.89</v>
      </c>
      <c r="AM104" s="6" t="s">
        <v>68</v>
      </c>
      <c r="AN104" s="6">
        <v>1</v>
      </c>
      <c r="AO104" s="6">
        <v>0</v>
      </c>
      <c r="AP104" s="6">
        <v>1</v>
      </c>
      <c r="AQ104" s="6">
        <v>0</v>
      </c>
      <c r="AR104" s="6">
        <v>1</v>
      </c>
      <c r="AS104" s="6">
        <v>0</v>
      </c>
      <c r="AT104" s="6">
        <v>1</v>
      </c>
      <c r="AU104" s="6">
        <v>1.86</v>
      </c>
      <c r="AV104" s="6">
        <v>1.1399999999999999</v>
      </c>
      <c r="AW104" s="6">
        <v>152.25</v>
      </c>
      <c r="AX104" s="6">
        <v>35.08</v>
      </c>
      <c r="AY104" s="6">
        <v>98.44</v>
      </c>
      <c r="AZ104" s="6">
        <v>11.1</v>
      </c>
      <c r="BA104" s="6">
        <v>23.8</v>
      </c>
    </row>
    <row r="105" spans="1:53" x14ac:dyDescent="0.3">
      <c r="A105" s="6">
        <v>659903980</v>
      </c>
      <c r="B105" s="6">
        <v>955662</v>
      </c>
      <c r="C105" s="6">
        <v>8315831</v>
      </c>
      <c r="D105" s="6">
        <v>9445</v>
      </c>
      <c r="E105" s="6" t="s">
        <v>84</v>
      </c>
      <c r="F105" s="6">
        <v>56217</v>
      </c>
      <c r="G105" s="6" t="s">
        <v>127</v>
      </c>
      <c r="H105" s="10">
        <v>45661</v>
      </c>
      <c r="I105" s="10">
        <v>45661</v>
      </c>
      <c r="J105" s="4">
        <v>45661.513888888891</v>
      </c>
      <c r="K105" s="4">
        <v>45661.810937499999</v>
      </c>
      <c r="L105" s="11">
        <v>45661.803993055553</v>
      </c>
      <c r="M105" s="10">
        <v>45661</v>
      </c>
      <c r="N105" s="6" t="s">
        <v>129</v>
      </c>
      <c r="O105" t="s">
        <v>156</v>
      </c>
      <c r="P105" s="6" t="s">
        <v>134</v>
      </c>
      <c r="Q105" t="s">
        <v>248</v>
      </c>
      <c r="R105" t="s">
        <v>73</v>
      </c>
      <c r="S105" s="6">
        <v>770769</v>
      </c>
      <c r="T105" s="6" t="s">
        <v>111</v>
      </c>
      <c r="U105">
        <v>338</v>
      </c>
      <c r="V105" s="6">
        <v>0.8</v>
      </c>
      <c r="W105" s="6">
        <v>35</v>
      </c>
      <c r="X105" s="6">
        <v>331.7</v>
      </c>
      <c r="Y105" s="6">
        <v>367.5</v>
      </c>
      <c r="Z105" s="6" t="s">
        <v>80</v>
      </c>
      <c r="AA105" t="s">
        <v>300</v>
      </c>
      <c r="AB105" s="6" t="s">
        <v>75</v>
      </c>
      <c r="AC105" t="s">
        <v>76</v>
      </c>
      <c r="AD105" t="s">
        <v>67</v>
      </c>
      <c r="AE105">
        <v>-10</v>
      </c>
      <c r="AF105">
        <v>0</v>
      </c>
      <c r="AG105">
        <v>0</v>
      </c>
      <c r="AH105" s="6">
        <v>31.8</v>
      </c>
      <c r="AI105" s="6">
        <v>0</v>
      </c>
      <c r="AJ105" s="6">
        <v>0.44700000000000001</v>
      </c>
      <c r="AK105" s="6">
        <v>0.71699999999999997</v>
      </c>
      <c r="AL105" s="8">
        <v>5519.4</v>
      </c>
      <c r="AM105" s="6" t="s">
        <v>68</v>
      </c>
      <c r="AN105" s="6">
        <v>1</v>
      </c>
      <c r="AO105" s="6">
        <v>1</v>
      </c>
      <c r="AP105" s="6">
        <v>0</v>
      </c>
      <c r="AQ105" s="6">
        <v>1</v>
      </c>
      <c r="AR105" s="6">
        <v>0</v>
      </c>
      <c r="AS105" s="6">
        <v>1</v>
      </c>
      <c r="AT105" s="6">
        <v>0</v>
      </c>
      <c r="AU105" s="6">
        <v>2.13</v>
      </c>
      <c r="AV105" s="6">
        <v>1.42</v>
      </c>
      <c r="AW105" s="6">
        <v>251.89</v>
      </c>
      <c r="AX105" s="6">
        <v>48.99</v>
      </c>
      <c r="AY105" s="6">
        <v>193.25</v>
      </c>
      <c r="AZ105" s="6">
        <v>18.100000000000001</v>
      </c>
      <c r="BA105" s="6">
        <v>21.3</v>
      </c>
    </row>
    <row r="106" spans="1:53" x14ac:dyDescent="0.3">
      <c r="A106" s="6">
        <v>423873102</v>
      </c>
      <c r="B106" s="6">
        <v>623481</v>
      </c>
      <c r="C106" s="6">
        <v>2737893</v>
      </c>
      <c r="D106" s="6">
        <v>4627</v>
      </c>
      <c r="E106" s="6" t="s">
        <v>101</v>
      </c>
      <c r="F106" s="6">
        <v>55672</v>
      </c>
      <c r="G106" s="6" t="s">
        <v>115</v>
      </c>
      <c r="H106" s="10">
        <v>45919</v>
      </c>
      <c r="I106" s="10">
        <v>45919</v>
      </c>
      <c r="J106" s="4">
        <v>45919.46875</v>
      </c>
      <c r="K106" s="4">
        <v>45919.53125</v>
      </c>
      <c r="L106" s="11">
        <v>45919.538194444445</v>
      </c>
      <c r="M106" s="10">
        <v>45919</v>
      </c>
      <c r="N106" s="6" t="s">
        <v>134</v>
      </c>
      <c r="O106" t="s">
        <v>248</v>
      </c>
      <c r="P106" s="6" t="s">
        <v>93</v>
      </c>
      <c r="Q106" t="s">
        <v>144</v>
      </c>
      <c r="R106" t="s">
        <v>73</v>
      </c>
      <c r="S106" s="6">
        <v>720278</v>
      </c>
      <c r="T106" s="6" t="s">
        <v>3</v>
      </c>
      <c r="U106">
        <v>65</v>
      </c>
      <c r="V106" s="6">
        <v>12.1</v>
      </c>
      <c r="W106" s="6">
        <v>17.8</v>
      </c>
      <c r="X106" s="6">
        <v>66.2</v>
      </c>
      <c r="Y106" s="6">
        <v>96.1</v>
      </c>
      <c r="Z106" s="6" t="s">
        <v>63</v>
      </c>
      <c r="AA106" t="s">
        <v>301</v>
      </c>
      <c r="AB106" s="6" t="s">
        <v>75</v>
      </c>
      <c r="AC106" t="s">
        <v>154</v>
      </c>
      <c r="AD106" t="s">
        <v>67</v>
      </c>
      <c r="AE106">
        <v>10</v>
      </c>
      <c r="AF106">
        <v>0</v>
      </c>
      <c r="AG106">
        <v>0</v>
      </c>
      <c r="AH106" s="6">
        <v>36</v>
      </c>
      <c r="AI106" s="6">
        <v>0</v>
      </c>
      <c r="AJ106" s="6">
        <v>0.55000000000000004</v>
      </c>
      <c r="AK106" s="6">
        <v>0.44500000000000001</v>
      </c>
      <c r="AL106" s="8">
        <v>3321.65</v>
      </c>
      <c r="AM106" s="6" t="s">
        <v>68</v>
      </c>
      <c r="AN106" s="6">
        <v>1</v>
      </c>
      <c r="AO106" s="6">
        <v>1</v>
      </c>
      <c r="AP106" s="6">
        <v>0</v>
      </c>
      <c r="AQ106" s="6">
        <v>1</v>
      </c>
      <c r="AR106" s="6">
        <v>0</v>
      </c>
      <c r="AS106" s="6">
        <v>1</v>
      </c>
      <c r="AT106" s="6">
        <v>0</v>
      </c>
      <c r="AU106" s="6">
        <v>2.29</v>
      </c>
      <c r="AV106" s="6">
        <v>1.5</v>
      </c>
      <c r="AW106" s="6">
        <v>62.52</v>
      </c>
      <c r="AX106" s="6">
        <v>16.809999999999999</v>
      </c>
      <c r="AY106" s="6">
        <v>65.849999999999994</v>
      </c>
      <c r="AZ106" s="6">
        <v>22.3</v>
      </c>
      <c r="BA106" s="6">
        <v>65.099999999999994</v>
      </c>
    </row>
    <row r="107" spans="1:53" x14ac:dyDescent="0.3">
      <c r="A107" s="6">
        <v>591819409</v>
      </c>
      <c r="B107" s="6">
        <v>245051</v>
      </c>
      <c r="C107" s="6">
        <v>1739653</v>
      </c>
      <c r="D107" s="6">
        <v>4763</v>
      </c>
      <c r="E107" s="6" t="s">
        <v>185</v>
      </c>
      <c r="F107" s="6">
        <v>51502</v>
      </c>
      <c r="G107" s="6" t="s">
        <v>175</v>
      </c>
      <c r="H107" s="10">
        <v>45783</v>
      </c>
      <c r="I107" s="10">
        <v>45783</v>
      </c>
      <c r="J107" s="4">
        <v>45783.604166666664</v>
      </c>
      <c r="K107" s="4">
        <v>45783.838599537034</v>
      </c>
      <c r="L107" s="11">
        <v>45783.912210648145</v>
      </c>
      <c r="M107" s="10">
        <v>45783</v>
      </c>
      <c r="N107" s="6" t="s">
        <v>109</v>
      </c>
      <c r="O107" t="s">
        <v>118</v>
      </c>
      <c r="P107" s="6" t="s">
        <v>109</v>
      </c>
      <c r="Q107" t="s">
        <v>198</v>
      </c>
      <c r="R107" t="s">
        <v>88</v>
      </c>
      <c r="S107" s="6">
        <v>705397</v>
      </c>
      <c r="T107" s="6" t="s">
        <v>111</v>
      </c>
      <c r="U107">
        <v>294</v>
      </c>
      <c r="V107" s="6">
        <v>20.9</v>
      </c>
      <c r="W107" s="6">
        <v>31.1</v>
      </c>
      <c r="X107" s="6">
        <v>282.8</v>
      </c>
      <c r="Y107" s="6">
        <v>334.8</v>
      </c>
      <c r="Z107" s="6" t="s">
        <v>63</v>
      </c>
      <c r="AA107" t="s">
        <v>302</v>
      </c>
      <c r="AB107" s="6" t="s">
        <v>90</v>
      </c>
      <c r="AC107" t="s">
        <v>66</v>
      </c>
      <c r="AD107" t="s">
        <v>192</v>
      </c>
      <c r="AE107">
        <v>106</v>
      </c>
      <c r="AF107">
        <v>0</v>
      </c>
      <c r="AG107">
        <v>0</v>
      </c>
      <c r="AH107" s="6">
        <v>73.400000000000006</v>
      </c>
      <c r="AI107" s="6">
        <v>0</v>
      </c>
      <c r="AJ107" s="6">
        <v>0.86</v>
      </c>
      <c r="AK107" s="6">
        <v>0.76400000000000001</v>
      </c>
      <c r="AL107" s="8">
        <v>4203.8599999999997</v>
      </c>
      <c r="AM107" s="6" t="s">
        <v>68</v>
      </c>
      <c r="AN107" s="6">
        <v>1</v>
      </c>
      <c r="AO107" s="6">
        <v>0</v>
      </c>
      <c r="AP107" s="6">
        <v>1</v>
      </c>
      <c r="AQ107" s="6">
        <v>0</v>
      </c>
      <c r="AR107" s="6">
        <v>1</v>
      </c>
      <c r="AS107" s="6">
        <v>0</v>
      </c>
      <c r="AT107" s="6">
        <v>1</v>
      </c>
      <c r="AU107" s="6">
        <v>2.1800000000000002</v>
      </c>
      <c r="AV107" s="6">
        <v>1.63</v>
      </c>
      <c r="AW107" s="6">
        <v>258.99</v>
      </c>
      <c r="AX107" s="6">
        <v>46.44</v>
      </c>
      <c r="AY107" s="6">
        <v>174.12</v>
      </c>
      <c r="AZ107" s="6">
        <v>12.9</v>
      </c>
      <c r="BA107" s="6">
        <v>68.099999999999994</v>
      </c>
    </row>
    <row r="108" spans="1:53" x14ac:dyDescent="0.3">
      <c r="A108" s="6">
        <v>790781796</v>
      </c>
      <c r="B108" s="6">
        <v>380746</v>
      </c>
      <c r="C108" s="6">
        <v>7199635</v>
      </c>
      <c r="D108" s="6">
        <v>2678</v>
      </c>
      <c r="E108" s="6" t="s">
        <v>84</v>
      </c>
      <c r="F108" s="6">
        <v>54684</v>
      </c>
      <c r="G108" s="6" t="s">
        <v>115</v>
      </c>
      <c r="H108" s="10">
        <v>45945</v>
      </c>
      <c r="I108" s="10">
        <v>45945</v>
      </c>
      <c r="J108" s="4">
        <v>45945.704861111109</v>
      </c>
      <c r="K108" s="4">
        <v>45946.288680555554</v>
      </c>
      <c r="L108" s="11">
        <v>45946.287291666667</v>
      </c>
      <c r="M108" s="10">
        <v>45946</v>
      </c>
      <c r="N108" s="6" t="s">
        <v>129</v>
      </c>
      <c r="O108" t="s">
        <v>130</v>
      </c>
      <c r="P108" s="6" t="s">
        <v>150</v>
      </c>
      <c r="Q108" t="s">
        <v>159</v>
      </c>
      <c r="R108" t="s">
        <v>73</v>
      </c>
      <c r="S108" s="6">
        <v>734732</v>
      </c>
      <c r="T108" s="6" t="s">
        <v>140</v>
      </c>
      <c r="U108">
        <v>624</v>
      </c>
      <c r="V108" s="6">
        <v>16.7</v>
      </c>
      <c r="W108" s="6">
        <v>2.9</v>
      </c>
      <c r="X108" s="6">
        <v>610.5</v>
      </c>
      <c r="Y108" s="6">
        <v>630.1</v>
      </c>
      <c r="Z108" s="6" t="s">
        <v>80</v>
      </c>
      <c r="AA108" t="s">
        <v>303</v>
      </c>
      <c r="AB108" s="6" t="s">
        <v>90</v>
      </c>
      <c r="AC108" t="s">
        <v>125</v>
      </c>
      <c r="AD108" t="s">
        <v>67</v>
      </c>
      <c r="AE108">
        <v>-2</v>
      </c>
      <c r="AF108">
        <v>0</v>
      </c>
      <c r="AG108">
        <v>0</v>
      </c>
      <c r="AH108" s="6">
        <v>89.7</v>
      </c>
      <c r="AI108" s="6">
        <v>0</v>
      </c>
      <c r="AJ108" s="6">
        <v>0.90400000000000003</v>
      </c>
      <c r="AK108" s="6">
        <v>0.28599999999999998</v>
      </c>
      <c r="AL108" s="8">
        <v>1954.17</v>
      </c>
      <c r="AM108" s="6" t="s">
        <v>68</v>
      </c>
      <c r="AN108" s="6">
        <v>1</v>
      </c>
      <c r="AO108" s="6">
        <v>1</v>
      </c>
      <c r="AP108" s="6">
        <v>0</v>
      </c>
      <c r="AQ108" s="6">
        <v>1</v>
      </c>
      <c r="AR108" s="6">
        <v>0</v>
      </c>
      <c r="AS108" s="6">
        <v>1</v>
      </c>
      <c r="AT108" s="6">
        <v>0</v>
      </c>
      <c r="AU108" s="6">
        <v>2.06</v>
      </c>
      <c r="AV108" s="6">
        <v>1.27</v>
      </c>
      <c r="AW108" s="6">
        <v>527.23</v>
      </c>
      <c r="AX108" s="6">
        <v>101.29</v>
      </c>
      <c r="AY108" s="6">
        <v>309.37</v>
      </c>
      <c r="AZ108" s="6">
        <v>22.1</v>
      </c>
      <c r="BA108" s="6">
        <v>80.400000000000006</v>
      </c>
    </row>
    <row r="109" spans="1:53" x14ac:dyDescent="0.3">
      <c r="A109" s="6">
        <v>133447745</v>
      </c>
      <c r="B109" s="6">
        <v>872246</v>
      </c>
      <c r="C109" s="6">
        <v>4860684</v>
      </c>
      <c r="D109" s="6">
        <v>6578</v>
      </c>
      <c r="E109" s="6" t="s">
        <v>126</v>
      </c>
      <c r="F109" s="6">
        <v>51410</v>
      </c>
      <c r="G109" s="6" t="s">
        <v>127</v>
      </c>
      <c r="H109" s="10">
        <v>45781</v>
      </c>
      <c r="I109" s="10">
        <v>45781</v>
      </c>
      <c r="J109" s="4">
        <v>45781.236111111109</v>
      </c>
      <c r="K109" s="4">
        <v>45781.300810185188</v>
      </c>
      <c r="L109" s="11">
        <v>45781.295254629629</v>
      </c>
      <c r="M109" s="10">
        <v>45781</v>
      </c>
      <c r="N109" s="6" t="s">
        <v>109</v>
      </c>
      <c r="O109" t="s">
        <v>193</v>
      </c>
      <c r="P109" s="6" t="s">
        <v>116</v>
      </c>
      <c r="Q109" t="s">
        <v>128</v>
      </c>
      <c r="R109" t="s">
        <v>123</v>
      </c>
      <c r="S109" s="6">
        <v>774044</v>
      </c>
      <c r="T109" s="6" t="s">
        <v>3</v>
      </c>
      <c r="U109">
        <v>66</v>
      </c>
      <c r="V109" s="6">
        <v>8.1</v>
      </c>
      <c r="W109" s="6">
        <v>9.6</v>
      </c>
      <c r="X109" s="6">
        <v>67</v>
      </c>
      <c r="Y109" s="6">
        <v>84.7</v>
      </c>
      <c r="Z109" s="6" t="s">
        <v>2</v>
      </c>
      <c r="AA109" t="s">
        <v>304</v>
      </c>
      <c r="AB109" s="6" t="s">
        <v>82</v>
      </c>
      <c r="AC109" t="s">
        <v>91</v>
      </c>
      <c r="AD109" t="s">
        <v>67</v>
      </c>
      <c r="AE109">
        <v>-8</v>
      </c>
      <c r="AF109">
        <v>0</v>
      </c>
      <c r="AG109">
        <v>0</v>
      </c>
      <c r="AH109" s="6">
        <v>73.099999999999994</v>
      </c>
      <c r="AI109" s="6">
        <v>0</v>
      </c>
      <c r="AJ109" s="6">
        <v>0.66900000000000004</v>
      </c>
      <c r="AK109" s="6">
        <v>0.55700000000000005</v>
      </c>
      <c r="AL109" s="8">
        <v>2546.4299999999998</v>
      </c>
      <c r="AM109" s="6" t="s">
        <v>68</v>
      </c>
      <c r="AN109" s="6">
        <v>1</v>
      </c>
      <c r="AO109" s="6">
        <v>1</v>
      </c>
      <c r="AP109" s="6">
        <v>0</v>
      </c>
      <c r="AQ109" s="6">
        <v>1</v>
      </c>
      <c r="AR109" s="6">
        <v>0</v>
      </c>
      <c r="AS109" s="6">
        <v>1</v>
      </c>
      <c r="AT109" s="6">
        <v>0</v>
      </c>
      <c r="AU109" s="6">
        <v>2.39</v>
      </c>
      <c r="AV109" s="6">
        <v>1.66</v>
      </c>
      <c r="AW109" s="6">
        <v>62.95</v>
      </c>
      <c r="AX109" s="6">
        <v>11.9</v>
      </c>
      <c r="AY109" s="6">
        <v>45.63</v>
      </c>
      <c r="AZ109" s="6">
        <v>41.8</v>
      </c>
      <c r="BA109" s="6">
        <v>14.9</v>
      </c>
    </row>
    <row r="110" spans="1:53" x14ac:dyDescent="0.3">
      <c r="A110" s="6">
        <v>165310776</v>
      </c>
      <c r="B110" s="6">
        <v>946335</v>
      </c>
      <c r="C110" s="6">
        <v>1247595</v>
      </c>
      <c r="D110" s="6">
        <v>6675</v>
      </c>
      <c r="E110" s="6" t="s">
        <v>84</v>
      </c>
      <c r="F110" s="6">
        <v>53770</v>
      </c>
      <c r="G110" s="6" t="s">
        <v>77</v>
      </c>
      <c r="H110" s="10">
        <v>45957</v>
      </c>
      <c r="I110" s="10">
        <v>45957</v>
      </c>
      <c r="J110" s="4">
        <v>45957.760416666664</v>
      </c>
      <c r="K110" s="4">
        <v>45957.822916666664</v>
      </c>
      <c r="L110" s="11">
        <v>45957.802777777775</v>
      </c>
      <c r="M110" s="10">
        <v>45957</v>
      </c>
      <c r="N110" s="6" t="s">
        <v>103</v>
      </c>
      <c r="O110" t="s">
        <v>104</v>
      </c>
      <c r="P110" s="6" t="s">
        <v>86</v>
      </c>
      <c r="Q110" t="s">
        <v>253</v>
      </c>
      <c r="R110" t="s">
        <v>88</v>
      </c>
      <c r="S110" s="6">
        <v>719605</v>
      </c>
      <c r="T110" s="6" t="s">
        <v>3</v>
      </c>
      <c r="U110">
        <v>21</v>
      </c>
      <c r="V110" s="6">
        <v>1.7</v>
      </c>
      <c r="W110" s="6">
        <v>4.7</v>
      </c>
      <c r="X110" s="6">
        <v>25.3</v>
      </c>
      <c r="Y110" s="6">
        <v>31.7</v>
      </c>
      <c r="Z110" s="6" t="s">
        <v>63</v>
      </c>
      <c r="AA110" t="s">
        <v>305</v>
      </c>
      <c r="AB110" s="6" t="s">
        <v>65</v>
      </c>
      <c r="AC110" t="s">
        <v>83</v>
      </c>
      <c r="AD110" t="s">
        <v>67</v>
      </c>
      <c r="AE110">
        <v>-29</v>
      </c>
      <c r="AF110">
        <v>0</v>
      </c>
      <c r="AG110">
        <v>0</v>
      </c>
      <c r="AH110" s="6">
        <v>42</v>
      </c>
      <c r="AI110" s="6">
        <v>0</v>
      </c>
      <c r="AJ110" s="6">
        <v>0.56299999999999994</v>
      </c>
      <c r="AK110" s="6">
        <v>0.442</v>
      </c>
      <c r="AL110" s="8">
        <v>2637.43</v>
      </c>
      <c r="AM110" s="6" t="s">
        <v>68</v>
      </c>
      <c r="AN110" s="6">
        <v>1</v>
      </c>
      <c r="AO110" s="6">
        <v>1</v>
      </c>
      <c r="AP110" s="6">
        <v>0</v>
      </c>
      <c r="AQ110" s="6">
        <v>1</v>
      </c>
      <c r="AR110" s="6">
        <v>0</v>
      </c>
      <c r="AS110" s="6">
        <v>1</v>
      </c>
      <c r="AT110" s="6">
        <v>0</v>
      </c>
      <c r="AU110" s="6">
        <v>1.7</v>
      </c>
      <c r="AV110" s="6">
        <v>1.22</v>
      </c>
      <c r="AW110" s="6">
        <v>26.3</v>
      </c>
      <c r="AX110" s="6">
        <v>4.74</v>
      </c>
      <c r="AY110" s="6">
        <v>19.600000000000001</v>
      </c>
      <c r="AZ110" s="6">
        <v>32.6</v>
      </c>
      <c r="BA110" s="6">
        <v>9.6</v>
      </c>
    </row>
    <row r="111" spans="1:53" x14ac:dyDescent="0.3">
      <c r="A111" s="6">
        <v>614302907</v>
      </c>
      <c r="B111" s="6">
        <v>905635</v>
      </c>
      <c r="C111" s="6">
        <v>2677407</v>
      </c>
      <c r="D111" s="6">
        <v>3790</v>
      </c>
      <c r="E111" s="6" t="s">
        <v>106</v>
      </c>
      <c r="F111" s="6">
        <v>54659</v>
      </c>
      <c r="G111" s="6" t="s">
        <v>127</v>
      </c>
      <c r="H111" s="10">
        <v>45705</v>
      </c>
      <c r="I111" s="10">
        <v>45705</v>
      </c>
      <c r="J111" s="4">
        <v>45705.409722222219</v>
      </c>
      <c r="K111" s="4">
        <v>45705.719722222224</v>
      </c>
      <c r="L111" s="11">
        <v>45705.89472222222</v>
      </c>
      <c r="M111" s="10">
        <v>45705</v>
      </c>
      <c r="N111" s="6" t="s">
        <v>121</v>
      </c>
      <c r="O111" t="s">
        <v>179</v>
      </c>
      <c r="P111" s="6" t="s">
        <v>121</v>
      </c>
      <c r="Q111" t="s">
        <v>237</v>
      </c>
      <c r="R111" t="s">
        <v>123</v>
      </c>
      <c r="S111" s="6">
        <v>742838</v>
      </c>
      <c r="T111" s="6" t="s">
        <v>111</v>
      </c>
      <c r="U111">
        <v>350</v>
      </c>
      <c r="V111" s="6">
        <v>41.8</v>
      </c>
      <c r="W111" s="6">
        <v>19.600000000000001</v>
      </c>
      <c r="X111" s="6">
        <v>359.4</v>
      </c>
      <c r="Y111" s="6">
        <v>420.8</v>
      </c>
      <c r="Z111" s="6" t="s">
        <v>63</v>
      </c>
      <c r="AA111" t="s">
        <v>306</v>
      </c>
      <c r="AB111" s="6" t="s">
        <v>97</v>
      </c>
      <c r="AC111" t="s">
        <v>83</v>
      </c>
      <c r="AD111" t="s">
        <v>120</v>
      </c>
      <c r="AE111">
        <v>252</v>
      </c>
      <c r="AF111">
        <v>0</v>
      </c>
      <c r="AG111">
        <v>0</v>
      </c>
      <c r="AH111" s="6">
        <v>52.4</v>
      </c>
      <c r="AI111" s="6">
        <v>1</v>
      </c>
      <c r="AJ111" s="6">
        <v>0.78800000000000003</v>
      </c>
      <c r="AK111" s="6">
        <v>0.63900000000000001</v>
      </c>
      <c r="AL111" s="8">
        <v>4953.13</v>
      </c>
      <c r="AM111" s="6" t="s">
        <v>68</v>
      </c>
      <c r="AN111" s="6">
        <v>1</v>
      </c>
      <c r="AO111" s="6">
        <v>0</v>
      </c>
      <c r="AP111" s="6">
        <v>1</v>
      </c>
      <c r="AQ111" s="6">
        <v>0</v>
      </c>
      <c r="AR111" s="6">
        <v>1</v>
      </c>
      <c r="AS111" s="6">
        <v>0</v>
      </c>
      <c r="AT111" s="6">
        <v>1</v>
      </c>
      <c r="AU111" s="6">
        <v>2.2999999999999998</v>
      </c>
      <c r="AV111" s="6">
        <v>1.53</v>
      </c>
      <c r="AW111" s="6">
        <v>369.54</v>
      </c>
      <c r="AX111" s="6">
        <v>1096.72</v>
      </c>
      <c r="AY111" s="6">
        <v>202.71</v>
      </c>
      <c r="AZ111" s="6">
        <v>27.7</v>
      </c>
      <c r="BA111" s="6">
        <v>36.6</v>
      </c>
    </row>
    <row r="112" spans="1:53" x14ac:dyDescent="0.3">
      <c r="A112" s="6">
        <v>531233244</v>
      </c>
      <c r="B112" s="6">
        <v>301629</v>
      </c>
      <c r="C112" s="6">
        <v>8633773</v>
      </c>
      <c r="D112" s="6">
        <v>7331</v>
      </c>
      <c r="E112" s="6" t="s">
        <v>84</v>
      </c>
      <c r="F112" s="6">
        <v>54001</v>
      </c>
      <c r="G112" s="6" t="s">
        <v>127</v>
      </c>
      <c r="H112" s="10">
        <v>45721</v>
      </c>
      <c r="I112" s="10">
        <v>45721</v>
      </c>
      <c r="J112" s="4">
        <v>45721.538194444445</v>
      </c>
      <c r="K112" s="4">
        <v>45721.70921296296</v>
      </c>
      <c r="L112" s="11">
        <v>45721.714768518519</v>
      </c>
      <c r="M112" s="10">
        <v>45721</v>
      </c>
      <c r="N112" s="6" t="s">
        <v>150</v>
      </c>
      <c r="O112" t="s">
        <v>265</v>
      </c>
      <c r="P112" s="6" t="s">
        <v>134</v>
      </c>
      <c r="Q112" t="s">
        <v>172</v>
      </c>
      <c r="R112" t="s">
        <v>73</v>
      </c>
      <c r="S112" s="6">
        <v>765850</v>
      </c>
      <c r="T112" s="6" t="s">
        <v>1</v>
      </c>
      <c r="U112">
        <v>215</v>
      </c>
      <c r="V112" s="6">
        <v>47.6</v>
      </c>
      <c r="W112" s="6">
        <v>7.6</v>
      </c>
      <c r="X112" s="6">
        <v>217.2</v>
      </c>
      <c r="Y112" s="6">
        <v>272.39999999999998</v>
      </c>
      <c r="Z112" s="6" t="s">
        <v>112</v>
      </c>
      <c r="AA112" t="s">
        <v>307</v>
      </c>
      <c r="AB112" s="6" t="s">
        <v>75</v>
      </c>
      <c r="AC112" t="s">
        <v>125</v>
      </c>
      <c r="AD112" t="s">
        <v>67</v>
      </c>
      <c r="AE112">
        <v>8</v>
      </c>
      <c r="AF112">
        <v>0</v>
      </c>
      <c r="AG112">
        <v>0</v>
      </c>
      <c r="AH112" s="6">
        <v>36.1</v>
      </c>
      <c r="AI112" s="6">
        <v>0</v>
      </c>
      <c r="AJ112" s="6">
        <v>0.91300000000000003</v>
      </c>
      <c r="AK112" s="6">
        <v>0.48499999999999999</v>
      </c>
      <c r="AL112" s="8">
        <v>3123.55</v>
      </c>
      <c r="AM112" s="6" t="s">
        <v>68</v>
      </c>
      <c r="AN112" s="6">
        <v>1</v>
      </c>
      <c r="AO112" s="6">
        <v>1</v>
      </c>
      <c r="AP112" s="6">
        <v>0</v>
      </c>
      <c r="AQ112" s="6">
        <v>1</v>
      </c>
      <c r="AR112" s="6">
        <v>0</v>
      </c>
      <c r="AS112" s="6">
        <v>1</v>
      </c>
      <c r="AT112" s="6">
        <v>0</v>
      </c>
      <c r="AU112" s="6">
        <v>2.29</v>
      </c>
      <c r="AV112" s="6">
        <v>1.43</v>
      </c>
      <c r="AW112" s="6">
        <v>247.24</v>
      </c>
      <c r="AX112" s="6">
        <v>56.13</v>
      </c>
      <c r="AY112" s="6">
        <v>195.15</v>
      </c>
      <c r="AZ112" s="6">
        <v>63.5</v>
      </c>
      <c r="BA112" s="6">
        <v>7.3</v>
      </c>
    </row>
    <row r="113" spans="1:53" x14ac:dyDescent="0.3">
      <c r="A113" s="6">
        <v>557707813</v>
      </c>
      <c r="B113" s="6">
        <v>197251</v>
      </c>
      <c r="C113" s="6">
        <v>4078418</v>
      </c>
      <c r="D113" s="6">
        <v>2585</v>
      </c>
      <c r="E113" s="6" t="s">
        <v>106</v>
      </c>
      <c r="F113" s="6">
        <v>53483</v>
      </c>
      <c r="G113" s="6" t="s">
        <v>175</v>
      </c>
      <c r="H113" s="10">
        <v>45782</v>
      </c>
      <c r="I113" s="10">
        <v>45782</v>
      </c>
      <c r="J113" s="4">
        <v>45782.961805555555</v>
      </c>
      <c r="K113" s="4">
        <v>45783.19059027778</v>
      </c>
      <c r="L113" s="11">
        <v>45783.177395833336</v>
      </c>
      <c r="M113" s="10">
        <v>45783</v>
      </c>
      <c r="N113" s="6" t="s">
        <v>200</v>
      </c>
      <c r="O113" t="s">
        <v>275</v>
      </c>
      <c r="P113" s="6" t="s">
        <v>59</v>
      </c>
      <c r="Q113" t="s">
        <v>85</v>
      </c>
      <c r="R113" t="s">
        <v>62</v>
      </c>
      <c r="S113" s="6">
        <v>791457</v>
      </c>
      <c r="T113" s="6" t="s">
        <v>1</v>
      </c>
      <c r="U113">
        <v>228</v>
      </c>
      <c r="V113" s="6">
        <v>7.8</v>
      </c>
      <c r="W113" s="6">
        <v>24.6</v>
      </c>
      <c r="X113" s="6">
        <v>228</v>
      </c>
      <c r="Y113" s="6">
        <v>260.39999999999998</v>
      </c>
      <c r="Z113" s="6" t="s">
        <v>63</v>
      </c>
      <c r="AA113" t="s">
        <v>308</v>
      </c>
      <c r="AB113" s="6" t="s">
        <v>65</v>
      </c>
      <c r="AC113" t="s">
        <v>83</v>
      </c>
      <c r="AD113" t="s">
        <v>67</v>
      </c>
      <c r="AE113">
        <v>-19</v>
      </c>
      <c r="AF113">
        <v>0</v>
      </c>
      <c r="AG113">
        <v>0</v>
      </c>
      <c r="AH113" s="6">
        <v>67.099999999999994</v>
      </c>
      <c r="AI113" s="6">
        <v>0</v>
      </c>
      <c r="AJ113" s="6">
        <v>0.623</v>
      </c>
      <c r="AK113" s="6">
        <v>0.75800000000000001</v>
      </c>
      <c r="AL113" s="8">
        <v>8690.41</v>
      </c>
      <c r="AM113" s="6" t="s">
        <v>114</v>
      </c>
      <c r="AN113" s="6">
        <v>1</v>
      </c>
      <c r="AO113" s="6">
        <v>1</v>
      </c>
      <c r="AP113" s="6">
        <v>0</v>
      </c>
      <c r="AQ113" s="6">
        <v>1</v>
      </c>
      <c r="AR113" s="6">
        <v>0</v>
      </c>
      <c r="AS113" s="6">
        <v>1</v>
      </c>
      <c r="AT113" s="6">
        <v>0</v>
      </c>
      <c r="AU113" s="6">
        <v>2.42</v>
      </c>
      <c r="AW113" s="6">
        <v>179.67</v>
      </c>
      <c r="AX113" s="6">
        <v>41.94</v>
      </c>
      <c r="AY113" s="6">
        <v>139.38999999999999</v>
      </c>
      <c r="AZ113" s="6">
        <v>11.9</v>
      </c>
      <c r="BA113" s="6">
        <v>21.3</v>
      </c>
    </row>
    <row r="114" spans="1:53" x14ac:dyDescent="0.3">
      <c r="A114" s="6">
        <v>836691577</v>
      </c>
      <c r="B114" s="6">
        <v>944151</v>
      </c>
      <c r="C114" s="6">
        <v>6855396</v>
      </c>
      <c r="D114" s="6">
        <v>8574</v>
      </c>
      <c r="E114" s="6" t="s">
        <v>225</v>
      </c>
      <c r="F114" s="6">
        <v>54562</v>
      </c>
      <c r="G114" s="6" t="s">
        <v>175</v>
      </c>
      <c r="H114" s="10">
        <v>45807</v>
      </c>
      <c r="I114" s="10">
        <v>45807</v>
      </c>
      <c r="J114" s="4">
        <v>45807.395833333336</v>
      </c>
      <c r="K114" s="4">
        <v>45807.53261574074</v>
      </c>
      <c r="L114" s="11">
        <v>45807.51803240741</v>
      </c>
      <c r="M114" s="10">
        <v>45807</v>
      </c>
      <c r="N114" s="6" t="s">
        <v>78</v>
      </c>
      <c r="O114" t="s">
        <v>222</v>
      </c>
      <c r="P114" s="6" t="s">
        <v>109</v>
      </c>
      <c r="Q114" t="s">
        <v>198</v>
      </c>
      <c r="R114" t="s">
        <v>88</v>
      </c>
      <c r="S114" s="6">
        <v>728940</v>
      </c>
      <c r="T114" s="6" t="s">
        <v>3</v>
      </c>
      <c r="U114">
        <v>103</v>
      </c>
      <c r="V114" s="6">
        <v>71.7</v>
      </c>
      <c r="W114" s="6">
        <v>58.3</v>
      </c>
      <c r="X114" s="6">
        <v>101</v>
      </c>
      <c r="Y114" s="6">
        <v>231</v>
      </c>
      <c r="Z114" s="6" t="s">
        <v>112</v>
      </c>
      <c r="AA114" t="s">
        <v>309</v>
      </c>
      <c r="AB114" s="6" t="s">
        <v>97</v>
      </c>
      <c r="AC114" t="s">
        <v>154</v>
      </c>
      <c r="AD114" t="s">
        <v>67</v>
      </c>
      <c r="AE114">
        <v>-21</v>
      </c>
      <c r="AF114">
        <v>0</v>
      </c>
      <c r="AG114">
        <v>0</v>
      </c>
      <c r="AH114" s="6">
        <v>43.6</v>
      </c>
      <c r="AI114" s="6">
        <v>0</v>
      </c>
      <c r="AJ114" s="6">
        <v>0.871</v>
      </c>
      <c r="AK114" s="6">
        <v>0.79</v>
      </c>
      <c r="AL114" s="8">
        <v>3634.51</v>
      </c>
      <c r="AM114" s="6" t="s">
        <v>68</v>
      </c>
      <c r="AN114" s="6">
        <v>1</v>
      </c>
      <c r="AO114" s="6">
        <v>1</v>
      </c>
      <c r="AP114" s="6">
        <v>0</v>
      </c>
      <c r="AQ114" s="6">
        <v>1</v>
      </c>
      <c r="AR114" s="6">
        <v>0</v>
      </c>
      <c r="AS114" s="6">
        <v>1</v>
      </c>
      <c r="AT114" s="6">
        <v>0</v>
      </c>
      <c r="AU114" s="6">
        <v>2.23</v>
      </c>
      <c r="AV114" s="6">
        <v>1.36</v>
      </c>
      <c r="AW114" s="6">
        <v>185.17</v>
      </c>
      <c r="AX114" s="6">
        <v>40.020000000000003</v>
      </c>
      <c r="AY114" s="6">
        <v>124.08</v>
      </c>
      <c r="AZ114" s="6">
        <v>12.8</v>
      </c>
      <c r="BA114" s="6">
        <v>42.2</v>
      </c>
    </row>
    <row r="115" spans="1:53" x14ac:dyDescent="0.3">
      <c r="A115" s="6">
        <v>215923129</v>
      </c>
      <c r="B115" s="6">
        <v>301629</v>
      </c>
      <c r="C115" s="6">
        <v>8633773</v>
      </c>
      <c r="D115" s="6">
        <v>7331</v>
      </c>
      <c r="E115" s="6" t="s">
        <v>84</v>
      </c>
      <c r="F115" s="6">
        <v>50598</v>
      </c>
      <c r="G115" s="6" t="s">
        <v>149</v>
      </c>
      <c r="H115" s="10">
        <v>45785</v>
      </c>
      <c r="I115" s="10">
        <v>45785</v>
      </c>
      <c r="J115" s="4">
        <v>45785.579861111109</v>
      </c>
      <c r="K115" s="4">
        <v>45785.781701388885</v>
      </c>
      <c r="L115" s="11">
        <v>45785.766423611109</v>
      </c>
      <c r="M115" s="10">
        <v>45785</v>
      </c>
      <c r="N115" s="6" t="s">
        <v>150</v>
      </c>
      <c r="O115" t="s">
        <v>196</v>
      </c>
      <c r="P115" s="6" t="s">
        <v>200</v>
      </c>
      <c r="Q115" t="s">
        <v>201</v>
      </c>
      <c r="R115" t="s">
        <v>62</v>
      </c>
      <c r="S115" s="6">
        <v>720079</v>
      </c>
      <c r="T115" s="6" t="s">
        <v>1</v>
      </c>
      <c r="U115">
        <v>243</v>
      </c>
      <c r="V115" s="6">
        <v>5.2</v>
      </c>
      <c r="W115" s="6">
        <v>23.7</v>
      </c>
      <c r="X115" s="6">
        <v>246.2</v>
      </c>
      <c r="Y115" s="6">
        <v>275.10000000000002</v>
      </c>
      <c r="Z115" s="6" t="s">
        <v>112</v>
      </c>
      <c r="AA115" t="s">
        <v>310</v>
      </c>
      <c r="AB115" s="6" t="s">
        <v>75</v>
      </c>
      <c r="AC115" t="s">
        <v>137</v>
      </c>
      <c r="AD115" t="s">
        <v>67</v>
      </c>
      <c r="AE115">
        <v>-22</v>
      </c>
      <c r="AF115">
        <v>0</v>
      </c>
      <c r="AG115">
        <v>0</v>
      </c>
      <c r="AH115" s="6">
        <v>56.2</v>
      </c>
      <c r="AI115" s="6">
        <v>0</v>
      </c>
      <c r="AJ115" s="6">
        <v>0.93600000000000005</v>
      </c>
      <c r="AK115" s="6">
        <v>0.40699999999999997</v>
      </c>
      <c r="AL115" s="8">
        <v>2171.9699999999998</v>
      </c>
      <c r="AM115" s="6" t="s">
        <v>68</v>
      </c>
      <c r="AN115" s="6">
        <v>1</v>
      </c>
      <c r="AO115" s="6">
        <v>1</v>
      </c>
      <c r="AP115" s="6">
        <v>0</v>
      </c>
      <c r="AQ115" s="6">
        <v>1</v>
      </c>
      <c r="AR115" s="6">
        <v>0</v>
      </c>
      <c r="AS115" s="6">
        <v>1</v>
      </c>
      <c r="AT115" s="6">
        <v>0</v>
      </c>
      <c r="AU115" s="6">
        <v>2.19</v>
      </c>
      <c r="AV115" s="6">
        <v>1.42</v>
      </c>
      <c r="AW115" s="6">
        <v>192.59</v>
      </c>
      <c r="AX115" s="6">
        <v>56.05</v>
      </c>
      <c r="AY115" s="6">
        <v>180.81</v>
      </c>
      <c r="AZ115" s="6">
        <v>63.5</v>
      </c>
      <c r="BA115" s="6">
        <v>6.8</v>
      </c>
    </row>
    <row r="116" spans="1:53" x14ac:dyDescent="0.3">
      <c r="A116" s="6">
        <v>626422169</v>
      </c>
      <c r="B116" s="6">
        <v>581741</v>
      </c>
      <c r="C116" s="6">
        <v>3790237</v>
      </c>
      <c r="D116" s="6">
        <v>1995</v>
      </c>
      <c r="E116" s="6" t="s">
        <v>126</v>
      </c>
      <c r="F116" s="6">
        <v>59183</v>
      </c>
      <c r="G116" s="6" t="s">
        <v>98</v>
      </c>
      <c r="H116" s="10">
        <v>45936</v>
      </c>
      <c r="I116" s="10">
        <v>45936</v>
      </c>
      <c r="J116" s="4">
        <v>45936.340277777781</v>
      </c>
      <c r="K116" s="4">
        <v>45936.402777777781</v>
      </c>
      <c r="L116" s="11">
        <v>45936.395138888889</v>
      </c>
      <c r="M116" s="10">
        <v>45936</v>
      </c>
      <c r="N116" s="6" t="s">
        <v>150</v>
      </c>
      <c r="O116" t="s">
        <v>311</v>
      </c>
      <c r="P116" s="6" t="s">
        <v>134</v>
      </c>
      <c r="Q116" t="s">
        <v>278</v>
      </c>
      <c r="R116" t="s">
        <v>73</v>
      </c>
      <c r="S116" s="6">
        <v>765850</v>
      </c>
      <c r="T116" s="6" t="s">
        <v>3</v>
      </c>
      <c r="U116">
        <v>57</v>
      </c>
      <c r="V116" s="6">
        <v>14.4</v>
      </c>
      <c r="W116" s="6">
        <v>34.799999999999997</v>
      </c>
      <c r="X116" s="6">
        <v>49.7</v>
      </c>
      <c r="Y116" s="6">
        <v>98.9</v>
      </c>
      <c r="Z116" s="6" t="s">
        <v>2</v>
      </c>
      <c r="AA116" t="s">
        <v>312</v>
      </c>
      <c r="AB116" s="6" t="s">
        <v>97</v>
      </c>
      <c r="AC116" t="s">
        <v>83</v>
      </c>
      <c r="AD116" t="s">
        <v>67</v>
      </c>
      <c r="AE116">
        <v>-11</v>
      </c>
      <c r="AF116">
        <v>0</v>
      </c>
      <c r="AG116">
        <v>0</v>
      </c>
      <c r="AH116" s="6">
        <v>43.7</v>
      </c>
      <c r="AI116" s="6">
        <v>0</v>
      </c>
      <c r="AJ116" s="6">
        <v>0.79100000000000004</v>
      </c>
      <c r="AK116" s="6">
        <v>0.67500000000000004</v>
      </c>
      <c r="AL116" s="8">
        <v>6517.55</v>
      </c>
      <c r="AM116" s="6" t="s">
        <v>68</v>
      </c>
      <c r="AN116" s="6">
        <v>1</v>
      </c>
      <c r="AO116" s="6">
        <v>1</v>
      </c>
      <c r="AP116" s="6">
        <v>0</v>
      </c>
      <c r="AQ116" s="6">
        <v>1</v>
      </c>
      <c r="AR116" s="6">
        <v>0</v>
      </c>
      <c r="AS116" s="6">
        <v>1</v>
      </c>
      <c r="AT116" s="6">
        <v>0</v>
      </c>
      <c r="AU116" s="6">
        <v>2.2599999999999998</v>
      </c>
      <c r="AV116" s="6">
        <v>1.69</v>
      </c>
      <c r="AW116" s="6">
        <v>87.16</v>
      </c>
      <c r="AX116" s="6">
        <v>11.59</v>
      </c>
      <c r="AY116" s="6">
        <v>53.36</v>
      </c>
      <c r="AZ116" s="6">
        <v>17.5</v>
      </c>
      <c r="BA116" s="6">
        <v>39.1</v>
      </c>
    </row>
    <row r="117" spans="1:53" x14ac:dyDescent="0.3">
      <c r="A117" s="6">
        <v>864935082</v>
      </c>
      <c r="B117" s="6">
        <v>684004</v>
      </c>
      <c r="C117" s="6">
        <v>8670955</v>
      </c>
      <c r="D117" s="6">
        <v>8721</v>
      </c>
      <c r="E117" s="6" t="s">
        <v>101</v>
      </c>
      <c r="F117" s="6">
        <v>53041</v>
      </c>
      <c r="G117" s="6" t="s">
        <v>102</v>
      </c>
      <c r="H117" s="10">
        <v>45693</v>
      </c>
      <c r="I117" s="10">
        <v>45693</v>
      </c>
      <c r="J117" s="4">
        <v>45693.46875</v>
      </c>
      <c r="K117" s="4">
        <v>45693.798078703701</v>
      </c>
      <c r="L117" s="11">
        <v>45693.767523148148</v>
      </c>
      <c r="M117" s="10">
        <v>45693</v>
      </c>
      <c r="N117" s="6" t="s">
        <v>59</v>
      </c>
      <c r="O117" t="s">
        <v>61</v>
      </c>
      <c r="P117" s="6" t="s">
        <v>78</v>
      </c>
      <c r="Q117" t="s">
        <v>166</v>
      </c>
      <c r="R117" t="s">
        <v>88</v>
      </c>
      <c r="S117" s="6">
        <v>706621</v>
      </c>
      <c r="T117" s="6" t="s">
        <v>1</v>
      </c>
      <c r="U117">
        <v>305</v>
      </c>
      <c r="V117" s="6">
        <v>30.9</v>
      </c>
      <c r="W117" s="6">
        <v>1.8</v>
      </c>
      <c r="X117" s="6">
        <v>300.89999999999998</v>
      </c>
      <c r="Y117" s="6">
        <v>333.6</v>
      </c>
      <c r="Z117" s="6" t="s">
        <v>63</v>
      </c>
      <c r="AA117" t="s">
        <v>313</v>
      </c>
      <c r="AB117" s="6" t="s">
        <v>75</v>
      </c>
      <c r="AC117" t="s">
        <v>125</v>
      </c>
      <c r="AD117" t="s">
        <v>67</v>
      </c>
      <c r="AE117">
        <v>-44</v>
      </c>
      <c r="AF117">
        <v>0</v>
      </c>
      <c r="AG117">
        <v>0</v>
      </c>
      <c r="AH117" s="6">
        <v>86.1</v>
      </c>
      <c r="AI117" s="6">
        <v>0</v>
      </c>
      <c r="AJ117" s="6">
        <v>0.55500000000000005</v>
      </c>
      <c r="AK117" s="6">
        <v>0.74</v>
      </c>
      <c r="AL117" s="8">
        <v>15238.6</v>
      </c>
      <c r="AM117" s="6" t="s">
        <v>114</v>
      </c>
      <c r="AN117" s="6">
        <v>1</v>
      </c>
      <c r="AO117" s="6">
        <v>1</v>
      </c>
      <c r="AP117" s="6">
        <v>0</v>
      </c>
      <c r="AQ117" s="6">
        <v>1</v>
      </c>
      <c r="AR117" s="6">
        <v>0</v>
      </c>
      <c r="AS117" s="6">
        <v>1</v>
      </c>
      <c r="AT117" s="6">
        <v>0</v>
      </c>
      <c r="AU117" s="6">
        <v>2</v>
      </c>
      <c r="AV117" s="6">
        <v>1.43</v>
      </c>
      <c r="AW117" s="6">
        <v>295.93</v>
      </c>
      <c r="AX117" s="6">
        <v>39.85</v>
      </c>
      <c r="AY117" s="6">
        <v>191.85</v>
      </c>
      <c r="AZ117" s="6">
        <v>0.1</v>
      </c>
      <c r="BA117" s="6">
        <v>8.1999999999999993</v>
      </c>
    </row>
    <row r="118" spans="1:53" x14ac:dyDescent="0.3">
      <c r="A118" s="6">
        <v>576271425</v>
      </c>
      <c r="B118" s="6">
        <v>331148</v>
      </c>
      <c r="C118" s="6">
        <v>8231838</v>
      </c>
      <c r="D118" s="6">
        <v>8734</v>
      </c>
      <c r="E118" s="6" t="s">
        <v>84</v>
      </c>
      <c r="F118" s="6">
        <v>58160</v>
      </c>
      <c r="G118" s="6" t="s">
        <v>127</v>
      </c>
      <c r="H118" s="10">
        <v>45786</v>
      </c>
      <c r="I118" s="10">
        <v>45786</v>
      </c>
      <c r="J118" s="4">
        <v>45786.340277777781</v>
      </c>
      <c r="K118" s="4">
        <v>45786.778067129628</v>
      </c>
      <c r="L118" s="11">
        <v>45786.762789351851</v>
      </c>
      <c r="M118" s="10">
        <v>45786</v>
      </c>
      <c r="N118" s="6" t="s">
        <v>59</v>
      </c>
      <c r="O118" t="s">
        <v>61</v>
      </c>
      <c r="P118" s="6" t="s">
        <v>59</v>
      </c>
      <c r="Q118" t="s">
        <v>61</v>
      </c>
      <c r="R118" t="s">
        <v>62</v>
      </c>
      <c r="S118" s="6">
        <v>797593</v>
      </c>
      <c r="T118" s="6" t="s">
        <v>111</v>
      </c>
      <c r="U118">
        <v>470</v>
      </c>
      <c r="V118" s="6">
        <v>32.6</v>
      </c>
      <c r="W118" s="6">
        <v>13.8</v>
      </c>
      <c r="X118" s="6">
        <v>462.9</v>
      </c>
      <c r="Y118" s="6">
        <v>509.3</v>
      </c>
      <c r="Z118" s="6" t="s">
        <v>63</v>
      </c>
      <c r="AA118" t="s">
        <v>314</v>
      </c>
      <c r="AB118" s="6" t="s">
        <v>97</v>
      </c>
      <c r="AC118" t="s">
        <v>154</v>
      </c>
      <c r="AD118" t="s">
        <v>67</v>
      </c>
      <c r="AE118">
        <v>-22</v>
      </c>
      <c r="AF118">
        <v>0</v>
      </c>
      <c r="AG118">
        <v>0</v>
      </c>
      <c r="AH118" s="6">
        <v>38.4</v>
      </c>
      <c r="AI118" s="6">
        <v>0</v>
      </c>
      <c r="AJ118" s="6">
        <v>0.56899999999999995</v>
      </c>
      <c r="AK118" s="6">
        <v>0.47499999999999998</v>
      </c>
      <c r="AL118" s="8">
        <v>21727.4</v>
      </c>
      <c r="AM118" s="6" t="s">
        <v>114</v>
      </c>
      <c r="AN118" s="6">
        <v>1</v>
      </c>
      <c r="AO118" s="6">
        <v>1</v>
      </c>
      <c r="AP118" s="6">
        <v>0</v>
      </c>
      <c r="AQ118" s="6">
        <v>1</v>
      </c>
      <c r="AR118" s="6">
        <v>0</v>
      </c>
      <c r="AS118" s="6">
        <v>1</v>
      </c>
      <c r="AT118" s="6">
        <v>0</v>
      </c>
      <c r="AU118" s="6">
        <v>2.0699999999999998</v>
      </c>
      <c r="AV118" s="6">
        <v>1.53</v>
      </c>
      <c r="AW118" s="6">
        <v>364.99</v>
      </c>
      <c r="AX118" s="6">
        <v>72.89</v>
      </c>
      <c r="AY118" s="6">
        <v>310.95</v>
      </c>
      <c r="AZ118" s="6">
        <v>5.8</v>
      </c>
      <c r="BA118" s="6">
        <v>22.9</v>
      </c>
    </row>
    <row r="119" spans="1:53" x14ac:dyDescent="0.3">
      <c r="A119" s="6">
        <v>178910051</v>
      </c>
      <c r="B119" s="6">
        <v>903035</v>
      </c>
      <c r="C119" s="6">
        <v>7110622</v>
      </c>
      <c r="D119" s="6">
        <v>3200</v>
      </c>
      <c r="E119" s="6" t="s">
        <v>92</v>
      </c>
      <c r="F119" s="6">
        <v>56391</v>
      </c>
      <c r="G119" s="6" t="s">
        <v>175</v>
      </c>
      <c r="H119" s="10">
        <v>45963</v>
      </c>
      <c r="I119" s="10">
        <v>45963</v>
      </c>
      <c r="J119" s="4">
        <v>45963.461805555555</v>
      </c>
      <c r="K119" s="4">
        <v>45963.577060185184</v>
      </c>
      <c r="L119" s="11">
        <v>45963.569421296299</v>
      </c>
      <c r="M119" s="10">
        <v>45963</v>
      </c>
      <c r="N119" s="6" t="s">
        <v>150</v>
      </c>
      <c r="O119" t="s">
        <v>196</v>
      </c>
      <c r="P119" s="6" t="s">
        <v>132</v>
      </c>
      <c r="Q119" t="s">
        <v>229</v>
      </c>
      <c r="R119" t="s">
        <v>62</v>
      </c>
      <c r="S119" s="6">
        <v>752402</v>
      </c>
      <c r="T119" s="6" t="s">
        <v>1</v>
      </c>
      <c r="U119">
        <v>148</v>
      </c>
      <c r="V119" s="6">
        <v>16.3</v>
      </c>
      <c r="W119" s="6">
        <v>18</v>
      </c>
      <c r="X119" s="6">
        <v>144.9</v>
      </c>
      <c r="Y119" s="6">
        <v>179.2</v>
      </c>
      <c r="Z119" s="6" t="s">
        <v>2</v>
      </c>
      <c r="AA119" t="s">
        <v>315</v>
      </c>
      <c r="AB119" s="6" t="s">
        <v>75</v>
      </c>
      <c r="AC119" t="s">
        <v>91</v>
      </c>
      <c r="AD119" t="s">
        <v>67</v>
      </c>
      <c r="AE119">
        <v>-11</v>
      </c>
      <c r="AF119">
        <v>0</v>
      </c>
      <c r="AG119">
        <v>0</v>
      </c>
      <c r="AH119" s="6">
        <v>35.299999999999997</v>
      </c>
      <c r="AI119" s="6">
        <v>0</v>
      </c>
      <c r="AJ119" s="6">
        <v>0.51900000000000002</v>
      </c>
      <c r="AK119" s="6">
        <v>0.65200000000000002</v>
      </c>
      <c r="AL119" s="8">
        <v>2616.6799999999998</v>
      </c>
      <c r="AM119" s="6" t="s">
        <v>68</v>
      </c>
      <c r="AN119" s="6">
        <v>1</v>
      </c>
      <c r="AO119" s="6">
        <v>1</v>
      </c>
      <c r="AP119" s="6">
        <v>0</v>
      </c>
      <c r="AQ119" s="6">
        <v>1</v>
      </c>
      <c r="AR119" s="6">
        <v>0</v>
      </c>
      <c r="AS119" s="6">
        <v>1</v>
      </c>
      <c r="AT119" s="6">
        <v>0</v>
      </c>
      <c r="AU119" s="6">
        <v>2.16</v>
      </c>
      <c r="AV119" s="6">
        <v>1.64</v>
      </c>
      <c r="AW119" s="6">
        <v>145.80000000000001</v>
      </c>
      <c r="AX119" s="6">
        <v>24.57</v>
      </c>
      <c r="AY119" s="6">
        <v>86.96</v>
      </c>
      <c r="AZ119" s="6">
        <v>26.8</v>
      </c>
      <c r="BA119" s="6">
        <v>12.5</v>
      </c>
    </row>
    <row r="120" spans="1:53" x14ac:dyDescent="0.3">
      <c r="A120" s="6">
        <v>186748119</v>
      </c>
      <c r="B120" s="6">
        <v>972064</v>
      </c>
      <c r="C120" s="6">
        <v>2818692</v>
      </c>
      <c r="D120" s="6">
        <v>8158</v>
      </c>
      <c r="E120" s="6" t="s">
        <v>84</v>
      </c>
      <c r="F120" s="6">
        <v>57287</v>
      </c>
      <c r="G120" s="6" t="s">
        <v>98</v>
      </c>
      <c r="H120" s="10">
        <v>45682</v>
      </c>
      <c r="I120" s="10">
        <v>45682</v>
      </c>
      <c r="J120" s="4">
        <v>45682.506944444445</v>
      </c>
      <c r="K120" s="4">
        <v>45682.706354166665</v>
      </c>
      <c r="L120" s="11">
        <v>45682.674409722225</v>
      </c>
      <c r="M120" s="10">
        <v>45682</v>
      </c>
      <c r="N120" s="6" t="s">
        <v>86</v>
      </c>
      <c r="O120" t="s">
        <v>243</v>
      </c>
      <c r="P120" s="6" t="s">
        <v>176</v>
      </c>
      <c r="Q120" t="s">
        <v>316</v>
      </c>
      <c r="R120" t="s">
        <v>88</v>
      </c>
      <c r="S120" s="6">
        <v>788294</v>
      </c>
      <c r="T120" s="6" t="s">
        <v>1</v>
      </c>
      <c r="U120">
        <v>133</v>
      </c>
      <c r="V120" s="6">
        <v>41.7</v>
      </c>
      <c r="W120" s="6">
        <v>25.6</v>
      </c>
      <c r="X120" s="6">
        <v>128.69999999999999</v>
      </c>
      <c r="Y120" s="6">
        <v>196</v>
      </c>
      <c r="Z120" s="6" t="s">
        <v>2</v>
      </c>
      <c r="AA120" t="s">
        <v>317</v>
      </c>
      <c r="AB120" s="6" t="s">
        <v>75</v>
      </c>
      <c r="AC120" t="s">
        <v>76</v>
      </c>
      <c r="AD120" t="s">
        <v>67</v>
      </c>
      <c r="AE120">
        <v>-46</v>
      </c>
      <c r="AF120">
        <v>0</v>
      </c>
      <c r="AG120">
        <v>0</v>
      </c>
      <c r="AH120" s="6">
        <v>39.299999999999997</v>
      </c>
      <c r="AI120" s="6">
        <v>0</v>
      </c>
      <c r="AJ120" s="6">
        <v>0.84299999999999997</v>
      </c>
      <c r="AK120" s="6">
        <v>0.376</v>
      </c>
      <c r="AL120" s="8">
        <v>2646.43</v>
      </c>
      <c r="AM120" s="6" t="s">
        <v>68</v>
      </c>
      <c r="AN120" s="6">
        <v>1</v>
      </c>
      <c r="AO120" s="6">
        <v>1</v>
      </c>
      <c r="AP120" s="6">
        <v>0</v>
      </c>
      <c r="AQ120" s="6">
        <v>1</v>
      </c>
      <c r="AR120" s="6">
        <v>0</v>
      </c>
      <c r="AS120" s="6">
        <v>1</v>
      </c>
      <c r="AT120" s="6">
        <v>0</v>
      </c>
      <c r="AU120" s="6">
        <v>2.46</v>
      </c>
      <c r="AV120" s="6">
        <v>1.91</v>
      </c>
      <c r="AW120" s="6">
        <v>173.72</v>
      </c>
      <c r="AX120" s="6">
        <v>42.8</v>
      </c>
      <c r="AY120" s="6">
        <v>133.47</v>
      </c>
      <c r="AZ120" s="6">
        <v>10</v>
      </c>
      <c r="BA120" s="6">
        <v>25.5</v>
      </c>
    </row>
    <row r="121" spans="1:53" x14ac:dyDescent="0.3">
      <c r="A121" s="6">
        <v>445864933</v>
      </c>
      <c r="B121" s="6">
        <v>813328</v>
      </c>
      <c r="C121" s="6">
        <v>5186414</v>
      </c>
      <c r="D121" s="6">
        <v>4510</v>
      </c>
      <c r="E121" s="6" t="s">
        <v>57</v>
      </c>
      <c r="F121" s="6">
        <v>50066</v>
      </c>
      <c r="G121" s="6" t="s">
        <v>175</v>
      </c>
      <c r="H121" s="10">
        <v>46001</v>
      </c>
      <c r="I121" s="10">
        <v>46001</v>
      </c>
      <c r="J121" s="4">
        <v>46001.954861111109</v>
      </c>
      <c r="K121" s="4">
        <v>46002.705706018518</v>
      </c>
      <c r="L121" s="11">
        <v>46002.69667824074</v>
      </c>
      <c r="M121" s="10">
        <v>46002</v>
      </c>
      <c r="N121" s="6" t="s">
        <v>109</v>
      </c>
      <c r="O121" t="s">
        <v>110</v>
      </c>
      <c r="P121" s="6" t="s">
        <v>86</v>
      </c>
      <c r="Q121" t="s">
        <v>253</v>
      </c>
      <c r="R121" t="s">
        <v>88</v>
      </c>
      <c r="S121" s="6">
        <v>795889</v>
      </c>
      <c r="T121" s="6" t="s">
        <v>140</v>
      </c>
      <c r="U121">
        <v>865</v>
      </c>
      <c r="V121" s="6">
        <v>55.1</v>
      </c>
      <c r="W121" s="6">
        <v>46.9</v>
      </c>
      <c r="X121" s="6">
        <v>860.2</v>
      </c>
      <c r="Y121" s="6">
        <v>962.2</v>
      </c>
      <c r="Z121" s="6" t="s">
        <v>63</v>
      </c>
      <c r="AA121" t="s">
        <v>318</v>
      </c>
      <c r="AB121" s="6" t="s">
        <v>65</v>
      </c>
      <c r="AC121" t="s">
        <v>125</v>
      </c>
      <c r="AD121" t="s">
        <v>67</v>
      </c>
      <c r="AE121">
        <v>-13</v>
      </c>
      <c r="AF121">
        <v>0</v>
      </c>
      <c r="AG121">
        <v>0</v>
      </c>
      <c r="AH121" s="6">
        <v>55.6</v>
      </c>
      <c r="AI121" s="6">
        <v>0</v>
      </c>
      <c r="AJ121" s="6">
        <v>0.48199999999999998</v>
      </c>
      <c r="AK121" s="6">
        <v>0.73099999999999998</v>
      </c>
      <c r="AL121" s="8">
        <v>13633.53</v>
      </c>
      <c r="AM121" s="6" t="s">
        <v>114</v>
      </c>
      <c r="AN121" s="6">
        <v>1</v>
      </c>
      <c r="AO121" s="6">
        <v>1</v>
      </c>
      <c r="AP121" s="6">
        <v>0</v>
      </c>
      <c r="AQ121" s="6">
        <v>1</v>
      </c>
      <c r="AR121" s="6">
        <v>0</v>
      </c>
      <c r="AS121" s="6">
        <v>1</v>
      </c>
      <c r="AT121" s="6">
        <v>0</v>
      </c>
      <c r="AU121" s="6">
        <v>2.2999999999999998</v>
      </c>
      <c r="AV121" s="6">
        <v>1.49</v>
      </c>
      <c r="AW121" s="6">
        <v>743.31</v>
      </c>
      <c r="AX121" s="6">
        <v>161.35</v>
      </c>
      <c r="AY121" s="6">
        <v>580.1</v>
      </c>
      <c r="AZ121" s="6">
        <v>29.1</v>
      </c>
      <c r="BA121" s="6">
        <v>30.8</v>
      </c>
    </row>
    <row r="122" spans="1:53" x14ac:dyDescent="0.3">
      <c r="A122" s="6">
        <v>753154389</v>
      </c>
      <c r="B122" s="6">
        <v>629903</v>
      </c>
      <c r="C122" s="6">
        <v>9143903</v>
      </c>
      <c r="D122" s="6">
        <v>9666</v>
      </c>
      <c r="E122" s="6" t="s">
        <v>225</v>
      </c>
      <c r="F122" s="6">
        <v>58123</v>
      </c>
      <c r="G122" s="6" t="s">
        <v>77</v>
      </c>
      <c r="H122" s="10">
        <v>46018</v>
      </c>
      <c r="I122" s="10">
        <v>46018</v>
      </c>
      <c r="J122" s="4">
        <v>46018.756944444445</v>
      </c>
      <c r="K122" s="4">
        <v>46019.123726851853</v>
      </c>
      <c r="L122" s="11">
        <v>46019.097337962965</v>
      </c>
      <c r="M122" s="10">
        <v>46019</v>
      </c>
      <c r="N122" s="6" t="s">
        <v>121</v>
      </c>
      <c r="O122" t="s">
        <v>195</v>
      </c>
      <c r="P122" s="6" t="s">
        <v>150</v>
      </c>
      <c r="Q122" t="s">
        <v>265</v>
      </c>
      <c r="R122" t="s">
        <v>73</v>
      </c>
      <c r="S122" s="6">
        <v>704946</v>
      </c>
      <c r="T122" s="6" t="s">
        <v>111</v>
      </c>
      <c r="U122">
        <v>418</v>
      </c>
      <c r="V122" s="6">
        <v>21.9</v>
      </c>
      <c r="W122" s="6">
        <v>4.5999999999999996</v>
      </c>
      <c r="X122" s="6">
        <v>414.2</v>
      </c>
      <c r="Y122" s="6">
        <v>440.7</v>
      </c>
      <c r="Z122" s="6" t="s">
        <v>112</v>
      </c>
      <c r="AA122" t="s">
        <v>319</v>
      </c>
      <c r="AB122" s="6" t="s">
        <v>65</v>
      </c>
      <c r="AC122" t="s">
        <v>76</v>
      </c>
      <c r="AD122" t="s">
        <v>67</v>
      </c>
      <c r="AE122">
        <v>-38</v>
      </c>
      <c r="AF122">
        <v>0</v>
      </c>
      <c r="AG122">
        <v>0</v>
      </c>
      <c r="AH122" s="6">
        <v>73.8</v>
      </c>
      <c r="AI122" s="6">
        <v>0</v>
      </c>
      <c r="AJ122" s="6">
        <v>0.69199999999999995</v>
      </c>
      <c r="AK122" s="6">
        <v>0.63100000000000001</v>
      </c>
      <c r="AL122" s="8">
        <v>106475.95</v>
      </c>
      <c r="AM122" s="6" t="s">
        <v>155</v>
      </c>
      <c r="AN122" s="6">
        <v>1</v>
      </c>
      <c r="AO122" s="6">
        <v>1</v>
      </c>
      <c r="AP122" s="6">
        <v>0</v>
      </c>
      <c r="AQ122" s="6">
        <v>1</v>
      </c>
      <c r="AR122" s="6">
        <v>0</v>
      </c>
      <c r="AS122" s="6">
        <v>1</v>
      </c>
      <c r="AT122" s="6">
        <v>0</v>
      </c>
      <c r="AU122" s="6">
        <v>2.02</v>
      </c>
      <c r="AV122" s="6">
        <v>1.38</v>
      </c>
      <c r="AW122" s="6">
        <v>368.49</v>
      </c>
      <c r="AX122" s="6">
        <v>71.78</v>
      </c>
      <c r="AY122" s="6">
        <v>244.63</v>
      </c>
      <c r="AZ122" s="6">
        <v>10.3</v>
      </c>
      <c r="BA122" s="6">
        <v>0</v>
      </c>
    </row>
    <row r="123" spans="1:53" x14ac:dyDescent="0.3">
      <c r="A123" s="6">
        <v>259272239</v>
      </c>
      <c r="B123" s="6">
        <v>287330</v>
      </c>
      <c r="C123" s="6">
        <v>4348276</v>
      </c>
      <c r="D123" s="6">
        <v>9338</v>
      </c>
      <c r="E123" s="6" t="s">
        <v>101</v>
      </c>
      <c r="F123" s="6">
        <v>52750</v>
      </c>
      <c r="G123" s="6" t="s">
        <v>115</v>
      </c>
      <c r="H123" s="10">
        <v>45690</v>
      </c>
      <c r="I123" s="10">
        <v>45690</v>
      </c>
      <c r="J123" s="4">
        <v>45690.260416666664</v>
      </c>
      <c r="K123" s="4">
        <v>45690.650555555556</v>
      </c>
      <c r="L123" s="11">
        <v>45690.642916666664</v>
      </c>
      <c r="M123" s="10">
        <v>45690</v>
      </c>
      <c r="N123" s="6" t="s">
        <v>132</v>
      </c>
      <c r="O123" t="s">
        <v>181</v>
      </c>
      <c r="P123" s="6" t="s">
        <v>78</v>
      </c>
      <c r="Q123" t="s">
        <v>219</v>
      </c>
      <c r="R123" t="s">
        <v>88</v>
      </c>
      <c r="S123" s="6">
        <v>751495</v>
      </c>
      <c r="T123" s="6" t="s">
        <v>111</v>
      </c>
      <c r="U123">
        <v>471</v>
      </c>
      <c r="V123" s="6">
        <v>19.3</v>
      </c>
      <c r="W123" s="6">
        <v>31.1</v>
      </c>
      <c r="X123" s="6">
        <v>472.3</v>
      </c>
      <c r="Y123" s="6">
        <v>522.70000000000005</v>
      </c>
      <c r="Z123" s="6" t="s">
        <v>2</v>
      </c>
      <c r="AA123" t="s">
        <v>320</v>
      </c>
      <c r="AB123" s="6" t="s">
        <v>97</v>
      </c>
      <c r="AC123" t="s">
        <v>91</v>
      </c>
      <c r="AD123" t="s">
        <v>67</v>
      </c>
      <c r="AE123">
        <v>-11</v>
      </c>
      <c r="AF123">
        <v>0</v>
      </c>
      <c r="AG123">
        <v>0</v>
      </c>
      <c r="AH123" s="6">
        <v>55.7</v>
      </c>
      <c r="AI123" s="6">
        <v>0</v>
      </c>
      <c r="AJ123" s="6">
        <v>0.75600000000000001</v>
      </c>
      <c r="AK123" s="6">
        <v>0.45600000000000002</v>
      </c>
      <c r="AL123" s="8">
        <v>4865.67</v>
      </c>
      <c r="AM123" s="6" t="s">
        <v>68</v>
      </c>
      <c r="AN123" s="6">
        <v>1</v>
      </c>
      <c r="AO123" s="6">
        <v>1</v>
      </c>
      <c r="AP123" s="6">
        <v>0</v>
      </c>
      <c r="AQ123" s="6">
        <v>1</v>
      </c>
      <c r="AR123" s="6">
        <v>0</v>
      </c>
      <c r="AS123" s="6">
        <v>1</v>
      </c>
      <c r="AT123" s="6">
        <v>0</v>
      </c>
      <c r="AU123" s="6">
        <v>2.37</v>
      </c>
      <c r="AV123" s="6">
        <v>1.73</v>
      </c>
      <c r="AW123" s="6">
        <v>449.66</v>
      </c>
      <c r="AX123" s="6">
        <v>88.57</v>
      </c>
      <c r="AY123" s="6">
        <v>301.05</v>
      </c>
      <c r="AZ123" s="6">
        <v>17.5</v>
      </c>
      <c r="BA123" s="6">
        <v>67.099999999999994</v>
      </c>
    </row>
    <row r="124" spans="1:53" x14ac:dyDescent="0.3">
      <c r="A124" s="6">
        <v>170525764</v>
      </c>
      <c r="B124" s="6">
        <v>260263</v>
      </c>
      <c r="C124" s="6">
        <v>5674183</v>
      </c>
      <c r="D124" s="6">
        <v>5736</v>
      </c>
      <c r="E124" s="6" t="s">
        <v>185</v>
      </c>
      <c r="F124" s="6">
        <v>58661</v>
      </c>
      <c r="G124" s="6" t="s">
        <v>98</v>
      </c>
      <c r="H124" s="10">
        <v>45764</v>
      </c>
      <c r="I124" s="10">
        <v>45764</v>
      </c>
      <c r="J124" s="4">
        <v>45764.673611111109</v>
      </c>
      <c r="K124" s="4">
        <v>45764.875567129631</v>
      </c>
      <c r="L124" s="11">
        <v>45764.89570601852</v>
      </c>
      <c r="M124" s="10">
        <v>45764</v>
      </c>
      <c r="N124" s="6" t="s">
        <v>129</v>
      </c>
      <c r="O124" t="s">
        <v>130</v>
      </c>
      <c r="P124" s="6" t="s">
        <v>129</v>
      </c>
      <c r="Q124" t="s">
        <v>130</v>
      </c>
      <c r="R124" t="s">
        <v>123</v>
      </c>
      <c r="S124" s="6">
        <v>739365</v>
      </c>
      <c r="T124" s="6" t="s">
        <v>1</v>
      </c>
      <c r="U124">
        <v>263</v>
      </c>
      <c r="V124" s="6">
        <v>11</v>
      </c>
      <c r="W124" s="6">
        <v>19</v>
      </c>
      <c r="X124" s="6">
        <v>270.60000000000002</v>
      </c>
      <c r="Y124" s="6">
        <v>300.60000000000002</v>
      </c>
      <c r="Z124" s="6" t="s">
        <v>2</v>
      </c>
      <c r="AA124" t="s">
        <v>321</v>
      </c>
      <c r="AB124" s="6" t="s">
        <v>90</v>
      </c>
      <c r="AC124" t="s">
        <v>137</v>
      </c>
      <c r="AD124" t="s">
        <v>67</v>
      </c>
      <c r="AE124">
        <v>29</v>
      </c>
      <c r="AF124">
        <v>70</v>
      </c>
      <c r="AG124">
        <v>0</v>
      </c>
      <c r="AH124" s="6">
        <v>72.7</v>
      </c>
      <c r="AI124" s="6">
        <v>0</v>
      </c>
      <c r="AJ124" s="6">
        <v>0.628</v>
      </c>
      <c r="AK124" s="6">
        <v>0.76900000000000002</v>
      </c>
      <c r="AL124" s="8">
        <v>21226.42</v>
      </c>
      <c r="AM124" s="6" t="s">
        <v>114</v>
      </c>
      <c r="AN124" s="6">
        <v>1</v>
      </c>
      <c r="AO124" s="6">
        <v>0</v>
      </c>
      <c r="AP124" s="6">
        <v>1</v>
      </c>
      <c r="AQ124" s="6">
        <v>0</v>
      </c>
      <c r="AR124" s="6">
        <v>1</v>
      </c>
      <c r="AS124" s="6">
        <v>0</v>
      </c>
      <c r="AT124" s="6">
        <v>1</v>
      </c>
      <c r="AU124" s="6">
        <v>2.67</v>
      </c>
      <c r="AV124" s="6">
        <v>2.02</v>
      </c>
      <c r="AW124" s="6">
        <v>265</v>
      </c>
      <c r="AX124" s="6">
        <v>61.63</v>
      </c>
      <c r="AY124" s="6">
        <v>148.32</v>
      </c>
      <c r="AZ124" s="6">
        <v>30.8</v>
      </c>
      <c r="BA124" s="6">
        <v>14.5</v>
      </c>
    </row>
    <row r="125" spans="1:53" x14ac:dyDescent="0.3">
      <c r="A125" s="6">
        <v>235497187</v>
      </c>
      <c r="B125" s="6">
        <v>898975</v>
      </c>
      <c r="C125" s="6">
        <v>4731818</v>
      </c>
      <c r="D125" s="6">
        <v>2986</v>
      </c>
      <c r="E125" s="6" t="s">
        <v>84</v>
      </c>
      <c r="F125" s="6">
        <v>59916</v>
      </c>
      <c r="G125" s="6" t="s">
        <v>207</v>
      </c>
      <c r="H125" s="10">
        <v>45793</v>
      </c>
      <c r="I125" s="10">
        <v>45793</v>
      </c>
      <c r="J125" s="4">
        <v>45793.013888888891</v>
      </c>
      <c r="K125" s="4">
        <v>45793.357916666668</v>
      </c>
      <c r="L125" s="11">
        <v>45793.343333333331</v>
      </c>
      <c r="M125" s="10">
        <v>45793</v>
      </c>
      <c r="N125" s="6" t="s">
        <v>200</v>
      </c>
      <c r="O125" t="s">
        <v>161</v>
      </c>
      <c r="P125" s="6" t="s">
        <v>70</v>
      </c>
      <c r="Q125" t="s">
        <v>322</v>
      </c>
      <c r="R125" t="s">
        <v>73</v>
      </c>
      <c r="S125" s="6">
        <v>758407</v>
      </c>
      <c r="T125" s="6" t="s">
        <v>111</v>
      </c>
      <c r="U125">
        <v>433</v>
      </c>
      <c r="V125" s="6">
        <v>3.3</v>
      </c>
      <c r="W125" s="6">
        <v>20.9</v>
      </c>
      <c r="X125" s="6">
        <v>434.7</v>
      </c>
      <c r="Y125" s="6">
        <v>458.9</v>
      </c>
      <c r="Z125" s="6" t="s">
        <v>80</v>
      </c>
      <c r="AA125" t="s">
        <v>323</v>
      </c>
      <c r="AB125" s="6" t="s">
        <v>82</v>
      </c>
      <c r="AC125" t="s">
        <v>154</v>
      </c>
      <c r="AD125" t="s">
        <v>67</v>
      </c>
      <c r="AE125">
        <v>-21</v>
      </c>
      <c r="AF125">
        <v>0</v>
      </c>
      <c r="AG125">
        <v>0</v>
      </c>
      <c r="AH125" s="6">
        <v>58.2</v>
      </c>
      <c r="AI125" s="6">
        <v>0</v>
      </c>
      <c r="AJ125" s="6">
        <v>0.73399999999999999</v>
      </c>
      <c r="AK125" s="6">
        <v>0.65600000000000003</v>
      </c>
      <c r="AL125" s="8">
        <v>1478.94</v>
      </c>
      <c r="AM125" s="6" t="s">
        <v>68</v>
      </c>
      <c r="AN125" s="6">
        <v>1</v>
      </c>
      <c r="AO125" s="6">
        <v>1</v>
      </c>
      <c r="AP125" s="6">
        <v>0</v>
      </c>
      <c r="AQ125" s="6">
        <v>1</v>
      </c>
      <c r="AR125" s="6">
        <v>0</v>
      </c>
      <c r="AS125" s="6">
        <v>1</v>
      </c>
      <c r="AT125" s="6">
        <v>0</v>
      </c>
      <c r="AU125" s="6">
        <v>2.2400000000000002</v>
      </c>
      <c r="AV125" s="6">
        <v>1.58</v>
      </c>
      <c r="AW125" s="6">
        <v>355.45</v>
      </c>
      <c r="AX125" s="6">
        <v>59.3</v>
      </c>
      <c r="AY125" s="6">
        <v>299.35000000000002</v>
      </c>
      <c r="AZ125" s="6">
        <v>7.4</v>
      </c>
      <c r="BA125" s="6">
        <v>40.6</v>
      </c>
    </row>
    <row r="126" spans="1:53" x14ac:dyDescent="0.3">
      <c r="A126" s="6">
        <v>395296179</v>
      </c>
      <c r="B126" s="6">
        <v>688508</v>
      </c>
      <c r="C126" s="6">
        <v>8930103</v>
      </c>
      <c r="D126" s="6">
        <v>3047</v>
      </c>
      <c r="E126" s="6" t="s">
        <v>225</v>
      </c>
      <c r="F126" s="6">
        <v>56806</v>
      </c>
      <c r="G126" s="6" t="s">
        <v>58</v>
      </c>
      <c r="H126" s="10">
        <v>45794</v>
      </c>
      <c r="I126" s="10">
        <v>45941</v>
      </c>
      <c r="J126" s="4">
        <v>45941.027777777781</v>
      </c>
      <c r="K126" s="4">
        <v>45941.153946759259</v>
      </c>
      <c r="L126" s="11">
        <v>45941.124780092592</v>
      </c>
      <c r="M126" s="10">
        <v>45941</v>
      </c>
      <c r="N126" s="6" t="s">
        <v>129</v>
      </c>
      <c r="O126" t="s">
        <v>130</v>
      </c>
      <c r="P126" s="6" t="s">
        <v>59</v>
      </c>
      <c r="Q126" t="s">
        <v>60</v>
      </c>
      <c r="R126" t="s">
        <v>62</v>
      </c>
      <c r="S126" s="6">
        <v>798676</v>
      </c>
      <c r="T126" s="6" t="s">
        <v>3</v>
      </c>
      <c r="U126">
        <v>108</v>
      </c>
      <c r="V126" s="6">
        <v>7.6</v>
      </c>
      <c r="W126" s="6">
        <v>22.1</v>
      </c>
      <c r="X126" s="6">
        <v>104.6</v>
      </c>
      <c r="Y126" s="6">
        <v>134.30000000000001</v>
      </c>
      <c r="Z126" s="6" t="s">
        <v>80</v>
      </c>
      <c r="AA126" t="s">
        <v>324</v>
      </c>
      <c r="AB126" s="6" t="s">
        <v>82</v>
      </c>
      <c r="AC126" t="s">
        <v>76</v>
      </c>
      <c r="AD126" t="s">
        <v>67</v>
      </c>
      <c r="AE126">
        <v>-42</v>
      </c>
      <c r="AF126">
        <v>0</v>
      </c>
      <c r="AG126">
        <v>0</v>
      </c>
      <c r="AH126" s="6">
        <v>18</v>
      </c>
      <c r="AI126" s="6">
        <v>0</v>
      </c>
      <c r="AJ126" s="6">
        <v>0.746</v>
      </c>
      <c r="AK126" s="6">
        <v>0.44500000000000001</v>
      </c>
      <c r="AL126" s="8">
        <v>4436.5</v>
      </c>
      <c r="AM126" s="6" t="s">
        <v>68</v>
      </c>
      <c r="AN126" s="6">
        <v>1</v>
      </c>
      <c r="AO126" s="6">
        <v>1</v>
      </c>
      <c r="AP126" s="6">
        <v>0</v>
      </c>
      <c r="AQ126" s="6">
        <v>1</v>
      </c>
      <c r="AR126" s="6">
        <v>0</v>
      </c>
      <c r="AS126" s="6">
        <v>1</v>
      </c>
      <c r="AT126" s="6">
        <v>0</v>
      </c>
      <c r="AU126" s="6">
        <v>1.86</v>
      </c>
      <c r="AV126" s="6">
        <v>1.29</v>
      </c>
      <c r="AW126" s="6">
        <v>121.21</v>
      </c>
      <c r="AX126" s="6">
        <v>21.66</v>
      </c>
      <c r="AY126" s="6">
        <v>81.849999999999994</v>
      </c>
      <c r="AZ126" s="6">
        <v>4</v>
      </c>
      <c r="BA126" s="6">
        <v>51.2</v>
      </c>
    </row>
    <row r="127" spans="1:53" x14ac:dyDescent="0.3">
      <c r="A127" s="6">
        <v>770355806</v>
      </c>
      <c r="B127" s="6">
        <v>617488</v>
      </c>
      <c r="C127" s="6">
        <v>6596150</v>
      </c>
      <c r="D127" s="6">
        <v>2853</v>
      </c>
      <c r="E127" s="6" t="s">
        <v>225</v>
      </c>
      <c r="F127" s="6">
        <v>56429</v>
      </c>
      <c r="G127" s="6" t="s">
        <v>115</v>
      </c>
      <c r="H127" s="10">
        <v>45795</v>
      </c>
      <c r="I127" s="10">
        <v>45875</v>
      </c>
      <c r="J127" s="4">
        <v>45875.253472222219</v>
      </c>
      <c r="K127" s="4">
        <v>45875.315972222219</v>
      </c>
      <c r="L127" s="11">
        <v>45875.306944444441</v>
      </c>
      <c r="M127" s="10">
        <v>45875</v>
      </c>
      <c r="N127" s="6" t="s">
        <v>129</v>
      </c>
      <c r="O127" t="s">
        <v>241</v>
      </c>
      <c r="P127" s="6" t="s">
        <v>116</v>
      </c>
      <c r="Q127" t="s">
        <v>128</v>
      </c>
      <c r="R127" t="s">
        <v>123</v>
      </c>
      <c r="S127" s="6">
        <v>778005</v>
      </c>
      <c r="T127" s="6" t="s">
        <v>3</v>
      </c>
      <c r="U127">
        <v>68</v>
      </c>
      <c r="V127" s="6">
        <v>31.8</v>
      </c>
      <c r="W127" s="6">
        <v>14.3</v>
      </c>
      <c r="X127" s="6">
        <v>70.599999999999994</v>
      </c>
      <c r="Y127" s="6">
        <v>116.7</v>
      </c>
      <c r="Z127" s="6" t="s">
        <v>63</v>
      </c>
      <c r="AA127" t="s">
        <v>325</v>
      </c>
      <c r="AB127" s="6" t="s">
        <v>97</v>
      </c>
      <c r="AC127" t="s">
        <v>125</v>
      </c>
      <c r="AD127" t="s">
        <v>67</v>
      </c>
      <c r="AE127">
        <v>-13</v>
      </c>
      <c r="AF127">
        <v>0</v>
      </c>
      <c r="AG127">
        <v>0</v>
      </c>
      <c r="AH127" s="6">
        <v>59.7</v>
      </c>
      <c r="AI127" s="6">
        <v>0</v>
      </c>
      <c r="AJ127" s="6">
        <v>0.76300000000000001</v>
      </c>
      <c r="AK127" s="6">
        <v>0.59099999999999997</v>
      </c>
      <c r="AL127" s="8">
        <v>16558.04</v>
      </c>
      <c r="AM127" s="6" t="s">
        <v>114</v>
      </c>
      <c r="AN127" s="6">
        <v>1</v>
      </c>
      <c r="AO127" s="6">
        <v>1</v>
      </c>
      <c r="AP127" s="6">
        <v>0</v>
      </c>
      <c r="AQ127" s="6">
        <v>1</v>
      </c>
      <c r="AR127" s="6">
        <v>0</v>
      </c>
      <c r="AS127" s="6">
        <v>1</v>
      </c>
      <c r="AT127" s="6">
        <v>0</v>
      </c>
      <c r="AU127" s="6">
        <v>2.5099999999999998</v>
      </c>
      <c r="AV127" s="6">
        <v>1.84</v>
      </c>
      <c r="AW127" s="6">
        <v>94.37</v>
      </c>
      <c r="AX127" s="6">
        <v>15.46</v>
      </c>
      <c r="AY127" s="6">
        <v>81.62</v>
      </c>
      <c r="AZ127" s="6">
        <v>23.1</v>
      </c>
      <c r="BA127" s="6">
        <v>19.899999999999999</v>
      </c>
    </row>
    <row r="128" spans="1:53" x14ac:dyDescent="0.3">
      <c r="A128" s="6">
        <v>779760958</v>
      </c>
      <c r="B128" s="6">
        <v>439902</v>
      </c>
      <c r="C128" s="6">
        <v>2935113</v>
      </c>
      <c r="D128" s="6">
        <v>9815</v>
      </c>
      <c r="E128" s="6" t="s">
        <v>142</v>
      </c>
      <c r="F128" s="6">
        <v>58123</v>
      </c>
      <c r="G128" s="6" t="s">
        <v>115</v>
      </c>
      <c r="H128" s="10">
        <v>45893</v>
      </c>
      <c r="I128" s="10">
        <v>45893</v>
      </c>
      <c r="J128" s="4">
        <v>45893.875</v>
      </c>
      <c r="K128" s="4">
        <v>45894.057453703703</v>
      </c>
      <c r="L128" s="11">
        <v>45894.051898148151</v>
      </c>
      <c r="M128" s="10">
        <v>45894</v>
      </c>
      <c r="N128" s="6" t="s">
        <v>129</v>
      </c>
      <c r="O128" t="s">
        <v>157</v>
      </c>
      <c r="P128" s="6" t="s">
        <v>121</v>
      </c>
      <c r="Q128" t="s">
        <v>195</v>
      </c>
      <c r="R128" t="s">
        <v>123</v>
      </c>
      <c r="S128" s="6">
        <v>775399</v>
      </c>
      <c r="T128" s="6" t="s">
        <v>1</v>
      </c>
      <c r="U128">
        <v>129</v>
      </c>
      <c r="V128" s="6">
        <v>22</v>
      </c>
      <c r="W128" s="6">
        <v>20.5</v>
      </c>
      <c r="X128" s="6">
        <v>129.69999999999999</v>
      </c>
      <c r="Y128" s="6">
        <v>172.2</v>
      </c>
      <c r="Z128" s="6" t="s">
        <v>63</v>
      </c>
      <c r="AA128" t="s">
        <v>326</v>
      </c>
      <c r="AB128" s="6" t="s">
        <v>65</v>
      </c>
      <c r="AC128" t="s">
        <v>91</v>
      </c>
      <c r="AD128" t="s">
        <v>67</v>
      </c>
      <c r="AE128">
        <v>-8</v>
      </c>
      <c r="AF128">
        <v>0</v>
      </c>
      <c r="AG128">
        <v>0</v>
      </c>
      <c r="AH128" s="6">
        <v>54.3</v>
      </c>
      <c r="AI128" s="6">
        <v>0</v>
      </c>
      <c r="AJ128" s="6">
        <v>0.77800000000000002</v>
      </c>
      <c r="AK128" s="6">
        <v>0.65900000000000003</v>
      </c>
      <c r="AL128" s="8">
        <v>3633.81</v>
      </c>
      <c r="AM128" s="6" t="s">
        <v>68</v>
      </c>
      <c r="AN128" s="6">
        <v>1</v>
      </c>
      <c r="AO128" s="6">
        <v>1</v>
      </c>
      <c r="AP128" s="6">
        <v>0</v>
      </c>
      <c r="AQ128" s="6">
        <v>1</v>
      </c>
      <c r="AR128" s="6">
        <v>0</v>
      </c>
      <c r="AS128" s="6">
        <v>1</v>
      </c>
      <c r="AT128" s="6">
        <v>0</v>
      </c>
      <c r="AU128" s="6">
        <v>2.17</v>
      </c>
      <c r="AV128" s="6">
        <v>1.44</v>
      </c>
      <c r="AW128" s="6">
        <v>114.6</v>
      </c>
      <c r="AX128" s="6">
        <v>33.35</v>
      </c>
      <c r="AY128" s="6">
        <v>101.84</v>
      </c>
      <c r="AZ128" s="6">
        <v>45.7</v>
      </c>
      <c r="BA128" s="6">
        <v>42</v>
      </c>
    </row>
    <row r="129" spans="1:53" x14ac:dyDescent="0.3">
      <c r="A129" s="6">
        <v>728530544</v>
      </c>
      <c r="B129" s="6">
        <v>581141</v>
      </c>
      <c r="C129" s="6">
        <v>2936571</v>
      </c>
      <c r="D129" s="6">
        <v>6592</v>
      </c>
      <c r="E129" s="6" t="s">
        <v>57</v>
      </c>
      <c r="F129" s="6">
        <v>51631</v>
      </c>
      <c r="G129" s="6" t="s">
        <v>115</v>
      </c>
      <c r="H129" s="10">
        <v>45934</v>
      </c>
      <c r="I129" s="10">
        <v>45934</v>
      </c>
      <c r="J129" s="4">
        <v>45934.861111111109</v>
      </c>
      <c r="K129" s="4">
        <v>45935.116759259261</v>
      </c>
      <c r="L129" s="11">
        <v>45935.089675925927</v>
      </c>
      <c r="M129" s="10">
        <v>45935</v>
      </c>
      <c r="N129" s="6" t="s">
        <v>200</v>
      </c>
      <c r="O129" t="s">
        <v>275</v>
      </c>
      <c r="P129" s="6" t="s">
        <v>116</v>
      </c>
      <c r="Q129" t="s">
        <v>117</v>
      </c>
      <c r="R129" t="s">
        <v>123</v>
      </c>
      <c r="S129" s="6">
        <v>766155</v>
      </c>
      <c r="T129" s="6" t="s">
        <v>1</v>
      </c>
      <c r="U129">
        <v>283</v>
      </c>
      <c r="V129" s="6">
        <v>17.600000000000001</v>
      </c>
      <c r="W129" s="6">
        <v>7.1</v>
      </c>
      <c r="X129" s="6">
        <v>284</v>
      </c>
      <c r="Y129" s="6">
        <v>308.7</v>
      </c>
      <c r="Z129" s="6" t="s">
        <v>63</v>
      </c>
      <c r="AA129" t="s">
        <v>327</v>
      </c>
      <c r="AB129" s="6" t="s">
        <v>65</v>
      </c>
      <c r="AC129" t="s">
        <v>76</v>
      </c>
      <c r="AD129" t="s">
        <v>67</v>
      </c>
      <c r="AE129">
        <v>-39</v>
      </c>
      <c r="AF129">
        <v>0</v>
      </c>
      <c r="AG129">
        <v>0</v>
      </c>
      <c r="AH129" s="6">
        <v>57.5</v>
      </c>
      <c r="AI129" s="6">
        <v>0</v>
      </c>
      <c r="AJ129" s="6">
        <v>0.745</v>
      </c>
      <c r="AK129" s="6">
        <v>0.45200000000000001</v>
      </c>
      <c r="AL129" s="8">
        <v>12481.68</v>
      </c>
      <c r="AM129" s="6" t="s">
        <v>114</v>
      </c>
      <c r="AN129" s="6">
        <v>1</v>
      </c>
      <c r="AO129" s="6">
        <v>1</v>
      </c>
      <c r="AP129" s="6">
        <v>0</v>
      </c>
      <c r="AQ129" s="6">
        <v>1</v>
      </c>
      <c r="AR129" s="6">
        <v>0</v>
      </c>
      <c r="AS129" s="6">
        <v>1</v>
      </c>
      <c r="AT129" s="6">
        <v>0</v>
      </c>
      <c r="AU129" s="6">
        <v>2.27</v>
      </c>
      <c r="AV129" s="6">
        <v>1.76</v>
      </c>
      <c r="AW129" s="6">
        <v>248.11</v>
      </c>
      <c r="AX129" s="6">
        <v>59.66</v>
      </c>
      <c r="AY129" s="6">
        <v>209.55</v>
      </c>
      <c r="AZ129" s="6">
        <v>27</v>
      </c>
      <c r="BA129" s="6">
        <v>38</v>
      </c>
    </row>
    <row r="130" spans="1:53" x14ac:dyDescent="0.3">
      <c r="A130" s="6">
        <v>688793237</v>
      </c>
      <c r="B130" s="6">
        <v>892495</v>
      </c>
      <c r="C130" s="6">
        <v>5394880</v>
      </c>
      <c r="D130" s="6">
        <v>2291</v>
      </c>
      <c r="E130" s="6" t="s">
        <v>142</v>
      </c>
      <c r="F130" s="6">
        <v>56452</v>
      </c>
      <c r="G130" s="6" t="s">
        <v>175</v>
      </c>
      <c r="H130" s="10">
        <v>45701</v>
      </c>
      <c r="I130" s="10">
        <v>45701</v>
      </c>
      <c r="J130" s="4">
        <v>45701.375</v>
      </c>
      <c r="K130" s="4">
        <v>45701.709791666668</v>
      </c>
      <c r="L130" s="11">
        <v>45701.670902777776</v>
      </c>
      <c r="M130" s="10">
        <v>45701</v>
      </c>
      <c r="N130" s="6" t="s">
        <v>132</v>
      </c>
      <c r="O130" t="s">
        <v>133</v>
      </c>
      <c r="P130" s="6" t="s">
        <v>132</v>
      </c>
      <c r="Q130" t="s">
        <v>328</v>
      </c>
      <c r="R130" t="s">
        <v>62</v>
      </c>
      <c r="S130" s="6">
        <v>711807</v>
      </c>
      <c r="T130" s="6" t="s">
        <v>111</v>
      </c>
      <c r="U130">
        <v>347</v>
      </c>
      <c r="V130" s="6">
        <v>11.7</v>
      </c>
      <c r="W130" s="6">
        <v>2.1</v>
      </c>
      <c r="X130" s="6">
        <v>346.9</v>
      </c>
      <c r="Y130" s="6">
        <v>360.7</v>
      </c>
      <c r="Z130" s="6" t="s">
        <v>80</v>
      </c>
      <c r="AA130" t="s">
        <v>329</v>
      </c>
      <c r="AB130" s="6" t="s">
        <v>97</v>
      </c>
      <c r="AC130" t="s">
        <v>137</v>
      </c>
      <c r="AD130" t="s">
        <v>192</v>
      </c>
      <c r="AE130">
        <v>-56</v>
      </c>
      <c r="AF130">
        <v>0</v>
      </c>
      <c r="AG130">
        <v>0</v>
      </c>
      <c r="AH130" s="6">
        <v>33.200000000000003</v>
      </c>
      <c r="AI130" s="6">
        <v>0</v>
      </c>
      <c r="AJ130" s="6">
        <v>0.72699999999999998</v>
      </c>
      <c r="AK130" s="6">
        <v>0.316</v>
      </c>
      <c r="AL130" s="8">
        <v>4164.76</v>
      </c>
      <c r="AM130" s="6" t="s">
        <v>68</v>
      </c>
      <c r="AN130" s="6">
        <v>1</v>
      </c>
      <c r="AO130" s="6">
        <v>1</v>
      </c>
      <c r="AP130" s="6">
        <v>0</v>
      </c>
      <c r="AQ130" s="6">
        <v>1</v>
      </c>
      <c r="AR130" s="6">
        <v>0</v>
      </c>
      <c r="AS130" s="6">
        <v>1</v>
      </c>
      <c r="AT130" s="6">
        <v>0</v>
      </c>
      <c r="AU130" s="6">
        <v>1.99</v>
      </c>
      <c r="AV130" s="6">
        <v>1.25</v>
      </c>
      <c r="AW130" s="6">
        <v>255.93</v>
      </c>
      <c r="AX130" s="6">
        <v>77.510000000000005</v>
      </c>
      <c r="AY130" s="6">
        <v>189.44</v>
      </c>
      <c r="AZ130" s="6">
        <v>8.6</v>
      </c>
      <c r="BA130" s="6">
        <v>26</v>
      </c>
    </row>
    <row r="131" spans="1:53" x14ac:dyDescent="0.3">
      <c r="A131" s="6">
        <v>864668242</v>
      </c>
      <c r="B131" s="6">
        <v>584714</v>
      </c>
      <c r="C131" s="6">
        <v>5004485</v>
      </c>
      <c r="D131" s="6">
        <v>7938</v>
      </c>
      <c r="E131" s="6" t="s">
        <v>84</v>
      </c>
      <c r="F131" s="6">
        <v>50774</v>
      </c>
      <c r="G131" s="6" t="s">
        <v>115</v>
      </c>
      <c r="H131" s="10">
        <v>45962</v>
      </c>
      <c r="I131" s="10">
        <v>45962</v>
      </c>
      <c r="J131" s="4">
        <v>45962.354166666664</v>
      </c>
      <c r="K131" s="4">
        <v>45962.613611111112</v>
      </c>
      <c r="L131" s="11">
        <v>45962.586527777778</v>
      </c>
      <c r="M131" s="10">
        <v>45962</v>
      </c>
      <c r="N131" s="6" t="s">
        <v>200</v>
      </c>
      <c r="O131" t="s">
        <v>171</v>
      </c>
      <c r="P131" s="6" t="s">
        <v>59</v>
      </c>
      <c r="Q131" t="s">
        <v>167</v>
      </c>
      <c r="R131" t="s">
        <v>62</v>
      </c>
      <c r="S131" s="6">
        <v>791457</v>
      </c>
      <c r="T131" s="6" t="s">
        <v>1</v>
      </c>
      <c r="U131">
        <v>272</v>
      </c>
      <c r="V131" s="6">
        <v>12.1</v>
      </c>
      <c r="W131" s="6">
        <v>1.2</v>
      </c>
      <c r="X131" s="6">
        <v>282.39999999999998</v>
      </c>
      <c r="Y131" s="6">
        <v>295.7</v>
      </c>
      <c r="Z131" s="6" t="s">
        <v>63</v>
      </c>
      <c r="AA131" t="s">
        <v>330</v>
      </c>
      <c r="AB131" s="6" t="s">
        <v>97</v>
      </c>
      <c r="AC131" t="s">
        <v>76</v>
      </c>
      <c r="AD131" t="s">
        <v>67</v>
      </c>
      <c r="AE131">
        <v>-39</v>
      </c>
      <c r="AF131">
        <v>0</v>
      </c>
      <c r="AG131">
        <v>0</v>
      </c>
      <c r="AH131" s="6">
        <v>63.6</v>
      </c>
      <c r="AI131" s="6">
        <v>0</v>
      </c>
      <c r="AJ131" s="6">
        <v>0.59</v>
      </c>
      <c r="AK131" s="6">
        <v>0.51</v>
      </c>
      <c r="AL131" s="8">
        <v>14801.48</v>
      </c>
      <c r="AM131" s="6" t="s">
        <v>114</v>
      </c>
      <c r="AN131" s="6">
        <v>1</v>
      </c>
      <c r="AO131" s="6">
        <v>1</v>
      </c>
      <c r="AP131" s="6">
        <v>0</v>
      </c>
      <c r="AQ131" s="6">
        <v>1</v>
      </c>
      <c r="AR131" s="6">
        <v>0</v>
      </c>
      <c r="AS131" s="6">
        <v>1</v>
      </c>
      <c r="AT131" s="6">
        <v>0</v>
      </c>
      <c r="AU131" s="6">
        <v>1.93</v>
      </c>
      <c r="AV131" s="6">
        <v>1.49</v>
      </c>
      <c r="AW131" s="6">
        <v>216.34</v>
      </c>
      <c r="AX131" s="6">
        <v>45.43</v>
      </c>
      <c r="AY131" s="6">
        <v>145.94999999999999</v>
      </c>
      <c r="AZ131" s="6">
        <v>0.2</v>
      </c>
      <c r="BA131" s="6">
        <v>45.9</v>
      </c>
    </row>
    <row r="132" spans="1:53" x14ac:dyDescent="0.3">
      <c r="A132" s="6">
        <v>449165212</v>
      </c>
      <c r="B132" s="6">
        <v>852787</v>
      </c>
      <c r="C132" s="6">
        <v>6075395</v>
      </c>
      <c r="D132" s="6">
        <v>7668</v>
      </c>
      <c r="E132" s="6" t="s">
        <v>211</v>
      </c>
      <c r="F132" s="6">
        <v>56107</v>
      </c>
      <c r="G132" s="6" t="s">
        <v>127</v>
      </c>
      <c r="H132" s="10">
        <v>45915</v>
      </c>
      <c r="I132" s="10">
        <v>45915</v>
      </c>
      <c r="J132" s="4">
        <v>45915.354166666664</v>
      </c>
      <c r="K132" s="4">
        <v>45915.829270833332</v>
      </c>
      <c r="L132" s="11">
        <v>45915.816076388888</v>
      </c>
      <c r="M132" s="10">
        <v>45915</v>
      </c>
      <c r="N132" s="6" t="s">
        <v>103</v>
      </c>
      <c r="O132" t="s">
        <v>232</v>
      </c>
      <c r="P132" s="6" t="s">
        <v>132</v>
      </c>
      <c r="Q132" t="s">
        <v>133</v>
      </c>
      <c r="R132" t="s">
        <v>62</v>
      </c>
      <c r="S132" s="6">
        <v>729109</v>
      </c>
      <c r="T132" s="6" t="s">
        <v>111</v>
      </c>
      <c r="U132">
        <v>510</v>
      </c>
      <c r="V132" s="6">
        <v>35</v>
      </c>
      <c r="W132" s="6">
        <v>3.1</v>
      </c>
      <c r="X132" s="6">
        <v>510.6</v>
      </c>
      <c r="Y132" s="6">
        <v>548.70000000000005</v>
      </c>
      <c r="Z132" s="6" t="s">
        <v>112</v>
      </c>
      <c r="AA132" t="s">
        <v>331</v>
      </c>
      <c r="AB132" s="6" t="s">
        <v>97</v>
      </c>
      <c r="AC132" t="s">
        <v>83</v>
      </c>
      <c r="AD132" t="s">
        <v>67</v>
      </c>
      <c r="AE132">
        <v>-19</v>
      </c>
      <c r="AF132">
        <v>0</v>
      </c>
      <c r="AG132">
        <v>0</v>
      </c>
      <c r="AH132" s="6">
        <v>48.9</v>
      </c>
      <c r="AI132" s="6">
        <v>0</v>
      </c>
      <c r="AJ132" s="6">
        <v>0.59499999999999997</v>
      </c>
      <c r="AK132" s="6">
        <v>0.84599999999999997</v>
      </c>
      <c r="AL132" s="8">
        <v>2217.65</v>
      </c>
      <c r="AM132" s="6" t="s">
        <v>68</v>
      </c>
      <c r="AN132" s="6">
        <v>1</v>
      </c>
      <c r="AO132" s="6">
        <v>1</v>
      </c>
      <c r="AP132" s="6">
        <v>0</v>
      </c>
      <c r="AQ132" s="6">
        <v>1</v>
      </c>
      <c r="AR132" s="6">
        <v>0</v>
      </c>
      <c r="AS132" s="6">
        <v>1</v>
      </c>
      <c r="AT132" s="6">
        <v>0</v>
      </c>
      <c r="AU132" s="6">
        <v>2.2200000000000002</v>
      </c>
      <c r="AV132" s="6">
        <v>1.6</v>
      </c>
      <c r="AW132" s="6">
        <v>473.34</v>
      </c>
      <c r="AX132" s="6">
        <v>65.319999999999993</v>
      </c>
      <c r="AY132" s="6">
        <v>388.27</v>
      </c>
      <c r="AZ132" s="6">
        <v>15.7</v>
      </c>
      <c r="BA132" s="6">
        <v>80.3</v>
      </c>
    </row>
    <row r="133" spans="1:53" x14ac:dyDescent="0.3">
      <c r="A133" s="6">
        <v>508992977</v>
      </c>
      <c r="B133" s="6">
        <v>246316</v>
      </c>
      <c r="C133" s="6">
        <v>1352896</v>
      </c>
      <c r="D133" s="6">
        <v>5426</v>
      </c>
      <c r="E133" s="6" t="s">
        <v>185</v>
      </c>
      <c r="F133" s="6">
        <v>57804</v>
      </c>
      <c r="G133" s="6" t="s">
        <v>58</v>
      </c>
      <c r="H133" s="10">
        <v>45868</v>
      </c>
      <c r="I133" s="10">
        <v>45868</v>
      </c>
      <c r="J133" s="4">
        <v>45868.527777777781</v>
      </c>
      <c r="K133" s="4">
        <v>45868.971863425926</v>
      </c>
      <c r="L133" s="11">
        <v>45868.952418981484</v>
      </c>
      <c r="M133" s="10">
        <v>45868</v>
      </c>
      <c r="N133" s="6" t="s">
        <v>93</v>
      </c>
      <c r="O133" t="s">
        <v>144</v>
      </c>
      <c r="P133" s="6" t="s">
        <v>59</v>
      </c>
      <c r="Q133" t="s">
        <v>61</v>
      </c>
      <c r="R133" t="s">
        <v>62</v>
      </c>
      <c r="S133" s="6">
        <v>756614</v>
      </c>
      <c r="T133" s="6" t="s">
        <v>111</v>
      </c>
      <c r="U133">
        <v>450</v>
      </c>
      <c r="V133" s="6">
        <v>19.8</v>
      </c>
      <c r="W133" s="6">
        <v>3.1</v>
      </c>
      <c r="X133" s="6">
        <v>446.6</v>
      </c>
      <c r="Y133" s="6">
        <v>469.5</v>
      </c>
      <c r="Z133" s="6" t="s">
        <v>63</v>
      </c>
      <c r="AA133" t="s">
        <v>332</v>
      </c>
      <c r="AB133" s="6" t="s">
        <v>75</v>
      </c>
      <c r="AC133" t="s">
        <v>125</v>
      </c>
      <c r="AD133" t="s">
        <v>67</v>
      </c>
      <c r="AE133">
        <v>-28</v>
      </c>
      <c r="AF133">
        <v>0</v>
      </c>
      <c r="AG133">
        <v>0</v>
      </c>
      <c r="AH133" s="6">
        <v>48.8</v>
      </c>
      <c r="AI133" s="6">
        <v>0</v>
      </c>
      <c r="AJ133" s="6">
        <v>0.76600000000000001</v>
      </c>
      <c r="AK133" s="6">
        <v>0.61699999999999999</v>
      </c>
      <c r="AL133" s="8">
        <v>1344</v>
      </c>
      <c r="AM133" s="6" t="s">
        <v>68</v>
      </c>
      <c r="AN133" s="6">
        <v>1</v>
      </c>
      <c r="AO133" s="6">
        <v>1</v>
      </c>
      <c r="AP133" s="6">
        <v>0</v>
      </c>
      <c r="AQ133" s="6">
        <v>1</v>
      </c>
      <c r="AR133" s="6">
        <v>0</v>
      </c>
      <c r="AS133" s="6">
        <v>1</v>
      </c>
      <c r="AT133" s="6">
        <v>0</v>
      </c>
      <c r="AU133" s="6">
        <v>2.37</v>
      </c>
      <c r="AV133" s="6">
        <v>1.69</v>
      </c>
      <c r="AW133" s="6">
        <v>428.19</v>
      </c>
      <c r="AX133" s="6">
        <v>97.45</v>
      </c>
      <c r="AY133" s="6">
        <v>254.31</v>
      </c>
      <c r="AZ133" s="6">
        <v>28.1</v>
      </c>
      <c r="BA133" s="6">
        <v>7.6</v>
      </c>
    </row>
    <row r="134" spans="1:53" x14ac:dyDescent="0.3">
      <c r="A134" s="6">
        <v>741444618</v>
      </c>
      <c r="B134" s="6">
        <v>245051</v>
      </c>
      <c r="C134" s="6">
        <v>1739653</v>
      </c>
      <c r="D134" s="6">
        <v>4763</v>
      </c>
      <c r="E134" s="6" t="s">
        <v>185</v>
      </c>
      <c r="F134" s="6">
        <v>59678</v>
      </c>
      <c r="G134" s="6" t="s">
        <v>127</v>
      </c>
      <c r="H134" s="10">
        <v>45982</v>
      </c>
      <c r="I134" s="10">
        <v>45982</v>
      </c>
      <c r="J134" s="4">
        <v>45982.5</v>
      </c>
      <c r="K134" s="4">
        <v>45982.801458333335</v>
      </c>
      <c r="L134" s="11">
        <v>45982.96465277778</v>
      </c>
      <c r="M134" s="10">
        <v>45982</v>
      </c>
      <c r="N134" s="6" t="s">
        <v>70</v>
      </c>
      <c r="O134" t="s">
        <v>152</v>
      </c>
      <c r="P134" s="6" t="s">
        <v>150</v>
      </c>
      <c r="Q134" t="s">
        <v>311</v>
      </c>
      <c r="R134" t="s">
        <v>73</v>
      </c>
      <c r="S134" s="6">
        <v>737982</v>
      </c>
      <c r="T134" s="6" t="s">
        <v>1</v>
      </c>
      <c r="U134">
        <v>233</v>
      </c>
      <c r="V134" s="6">
        <v>22</v>
      </c>
      <c r="W134" s="6">
        <v>3.6</v>
      </c>
      <c r="X134" s="6">
        <v>228.3</v>
      </c>
      <c r="Y134" s="6">
        <v>253.9</v>
      </c>
      <c r="Z134" s="6" t="s">
        <v>63</v>
      </c>
      <c r="AA134" t="s">
        <v>333</v>
      </c>
      <c r="AB134" s="6" t="s">
        <v>75</v>
      </c>
      <c r="AC134" t="s">
        <v>154</v>
      </c>
      <c r="AD134" t="s">
        <v>206</v>
      </c>
      <c r="AE134">
        <v>235</v>
      </c>
      <c r="AF134">
        <v>244</v>
      </c>
      <c r="AG134">
        <v>0</v>
      </c>
      <c r="AH134" s="6">
        <v>45.3</v>
      </c>
      <c r="AI134" s="6">
        <v>0</v>
      </c>
      <c r="AJ134" s="6">
        <v>0.33700000000000002</v>
      </c>
      <c r="AK134" s="6">
        <v>0.89600000000000002</v>
      </c>
      <c r="AL134" s="8">
        <v>2810.57</v>
      </c>
      <c r="AM134" s="6" t="s">
        <v>68</v>
      </c>
      <c r="AN134" s="6">
        <v>1</v>
      </c>
      <c r="AO134" s="6">
        <v>0</v>
      </c>
      <c r="AP134" s="6">
        <v>1</v>
      </c>
      <c r="AQ134" s="6">
        <v>0</v>
      </c>
      <c r="AR134" s="6">
        <v>1</v>
      </c>
      <c r="AS134" s="6">
        <v>0</v>
      </c>
      <c r="AT134" s="6">
        <v>1</v>
      </c>
      <c r="AU134" s="6">
        <v>2.38</v>
      </c>
      <c r="AV134" s="6">
        <v>1.63</v>
      </c>
      <c r="AW134" s="6">
        <v>223.67</v>
      </c>
      <c r="AX134" s="6">
        <v>52.52</v>
      </c>
      <c r="AY134" s="6">
        <v>172.67</v>
      </c>
      <c r="AZ134" s="6">
        <v>12.9</v>
      </c>
      <c r="BA134" s="6">
        <v>60.4</v>
      </c>
    </row>
    <row r="135" spans="1:53" x14ac:dyDescent="0.3">
      <c r="A135" s="6">
        <v>669681065</v>
      </c>
      <c r="B135" s="6">
        <v>198246</v>
      </c>
      <c r="C135" s="6">
        <v>9626108</v>
      </c>
      <c r="D135" s="6">
        <v>5555</v>
      </c>
      <c r="E135" s="6" t="s">
        <v>57</v>
      </c>
      <c r="F135" s="6">
        <v>54019</v>
      </c>
      <c r="G135" s="6" t="s">
        <v>98</v>
      </c>
      <c r="H135" s="10">
        <v>45913</v>
      </c>
      <c r="I135" s="10">
        <v>45913</v>
      </c>
      <c r="J135" s="4">
        <v>45913.336805555555</v>
      </c>
      <c r="K135" s="4">
        <v>45913.536643518521</v>
      </c>
      <c r="L135" s="11">
        <v>45913.531782407408</v>
      </c>
      <c r="M135" s="10">
        <v>45913</v>
      </c>
      <c r="N135" s="6" t="s">
        <v>70</v>
      </c>
      <c r="O135" t="s">
        <v>71</v>
      </c>
      <c r="P135" s="6" t="s">
        <v>116</v>
      </c>
      <c r="Q135" t="s">
        <v>128</v>
      </c>
      <c r="R135" t="s">
        <v>123</v>
      </c>
      <c r="S135" s="6">
        <v>767844</v>
      </c>
      <c r="T135" s="6" t="s">
        <v>1</v>
      </c>
      <c r="U135">
        <v>203</v>
      </c>
      <c r="V135" s="6">
        <v>14</v>
      </c>
      <c r="W135" s="6">
        <v>3.4</v>
      </c>
      <c r="X135" s="6">
        <v>208.4</v>
      </c>
      <c r="Y135" s="6">
        <v>225.8</v>
      </c>
      <c r="Z135" s="6" t="s">
        <v>80</v>
      </c>
      <c r="AA135" t="s">
        <v>230</v>
      </c>
      <c r="AB135" s="6" t="s">
        <v>97</v>
      </c>
      <c r="AC135" t="s">
        <v>76</v>
      </c>
      <c r="AD135" t="s">
        <v>67</v>
      </c>
      <c r="AE135">
        <v>-7</v>
      </c>
      <c r="AF135">
        <v>0</v>
      </c>
      <c r="AG135">
        <v>0</v>
      </c>
      <c r="AH135" s="6">
        <v>48.7</v>
      </c>
      <c r="AI135" s="6">
        <v>0</v>
      </c>
      <c r="AJ135" s="6">
        <v>0.46400000000000002</v>
      </c>
      <c r="AK135" s="6">
        <v>0.72399999999999998</v>
      </c>
      <c r="AL135" s="8">
        <v>3464.67</v>
      </c>
      <c r="AM135" s="6" t="s">
        <v>68</v>
      </c>
      <c r="AN135" s="6">
        <v>1</v>
      </c>
      <c r="AO135" s="6">
        <v>1</v>
      </c>
      <c r="AP135" s="6">
        <v>0</v>
      </c>
      <c r="AQ135" s="6">
        <v>1</v>
      </c>
      <c r="AR135" s="6">
        <v>0</v>
      </c>
      <c r="AS135" s="6">
        <v>1</v>
      </c>
      <c r="AT135" s="6">
        <v>0</v>
      </c>
      <c r="AU135" s="6">
        <v>2.29</v>
      </c>
      <c r="AV135" s="6">
        <v>1.41</v>
      </c>
      <c r="AW135" s="6">
        <v>162.07</v>
      </c>
      <c r="AX135" s="6">
        <v>28.94</v>
      </c>
      <c r="AY135" s="6">
        <v>122.33</v>
      </c>
      <c r="AZ135" s="6">
        <v>11.5</v>
      </c>
      <c r="BA135" s="6">
        <v>13.1</v>
      </c>
    </row>
    <row r="136" spans="1:53" x14ac:dyDescent="0.3">
      <c r="A136" s="6">
        <v>416644047</v>
      </c>
      <c r="B136" s="6">
        <v>174870</v>
      </c>
      <c r="C136" s="6">
        <v>1666754</v>
      </c>
      <c r="D136" s="6">
        <v>9154</v>
      </c>
      <c r="E136" s="6" t="s">
        <v>106</v>
      </c>
      <c r="F136" s="6">
        <v>50929</v>
      </c>
      <c r="G136" s="6" t="s">
        <v>164</v>
      </c>
      <c r="H136" s="10">
        <v>45731</v>
      </c>
      <c r="I136" s="10">
        <v>45731</v>
      </c>
      <c r="J136" s="4">
        <v>45731.65625</v>
      </c>
      <c r="K136" s="4">
        <v>45731.787986111114</v>
      </c>
      <c r="L136" s="11">
        <v>45731.776875000003</v>
      </c>
      <c r="M136" s="10">
        <v>45731</v>
      </c>
      <c r="N136" s="6" t="s">
        <v>70</v>
      </c>
      <c r="O136" t="s">
        <v>152</v>
      </c>
      <c r="P136" s="6" t="s">
        <v>134</v>
      </c>
      <c r="Q136" t="s">
        <v>282</v>
      </c>
      <c r="R136" t="s">
        <v>73</v>
      </c>
      <c r="S136" s="6">
        <v>751684</v>
      </c>
      <c r="T136" s="6" t="s">
        <v>1</v>
      </c>
      <c r="U136">
        <v>183</v>
      </c>
      <c r="V136" s="6">
        <v>9.9</v>
      </c>
      <c r="W136" s="6">
        <v>10</v>
      </c>
      <c r="X136" s="6">
        <v>175.9</v>
      </c>
      <c r="Y136" s="6">
        <v>195.8</v>
      </c>
      <c r="Z136" s="6" t="s">
        <v>63</v>
      </c>
      <c r="AA136" t="s">
        <v>220</v>
      </c>
      <c r="AB136" s="6" t="s">
        <v>90</v>
      </c>
      <c r="AC136" t="s">
        <v>76</v>
      </c>
      <c r="AD136" t="s">
        <v>67</v>
      </c>
      <c r="AE136">
        <v>-16</v>
      </c>
      <c r="AF136">
        <v>0</v>
      </c>
      <c r="AG136">
        <v>0</v>
      </c>
      <c r="AH136" s="6">
        <v>15.9</v>
      </c>
      <c r="AI136" s="6">
        <v>0</v>
      </c>
      <c r="AJ136" s="6">
        <v>0.90700000000000003</v>
      </c>
      <c r="AK136" s="6">
        <v>0.70399999999999996</v>
      </c>
      <c r="AL136" s="8">
        <v>3444.28</v>
      </c>
      <c r="AM136" s="6" t="s">
        <v>68</v>
      </c>
      <c r="AN136" s="6">
        <v>1</v>
      </c>
      <c r="AO136" s="6">
        <v>1</v>
      </c>
      <c r="AP136" s="6">
        <v>0</v>
      </c>
      <c r="AQ136" s="6">
        <v>1</v>
      </c>
      <c r="AR136" s="6">
        <v>0</v>
      </c>
      <c r="AS136" s="6">
        <v>1</v>
      </c>
      <c r="AT136" s="6">
        <v>0</v>
      </c>
      <c r="AU136" s="6">
        <v>2.11</v>
      </c>
      <c r="AV136" s="6">
        <v>1.63</v>
      </c>
      <c r="AW136" s="6">
        <v>148.04</v>
      </c>
      <c r="AX136" s="6">
        <v>26.07</v>
      </c>
      <c r="AY136" s="6">
        <v>101.31</v>
      </c>
      <c r="AZ136" s="6">
        <v>6.8</v>
      </c>
      <c r="BA136" s="6">
        <v>0</v>
      </c>
    </row>
    <row r="137" spans="1:53" x14ac:dyDescent="0.3">
      <c r="A137" s="6">
        <v>587173220</v>
      </c>
      <c r="B137" s="6">
        <v>705397</v>
      </c>
      <c r="C137" s="6">
        <v>5449368</v>
      </c>
      <c r="D137" s="6">
        <v>5859</v>
      </c>
      <c r="E137" s="6" t="s">
        <v>84</v>
      </c>
      <c r="F137" s="6">
        <v>53012</v>
      </c>
      <c r="G137" s="6" t="s">
        <v>98</v>
      </c>
      <c r="H137" s="10">
        <v>45814</v>
      </c>
      <c r="I137" s="10">
        <v>45814</v>
      </c>
      <c r="J137" s="4">
        <v>45814.263888888891</v>
      </c>
      <c r="K137" s="4">
        <v>45814.432638888888</v>
      </c>
      <c r="L137" s="11">
        <v>45814.393750000003</v>
      </c>
      <c r="M137" s="10">
        <v>45814</v>
      </c>
      <c r="N137" s="6" t="s">
        <v>109</v>
      </c>
      <c r="O137" t="s">
        <v>110</v>
      </c>
      <c r="P137" s="6" t="s">
        <v>70</v>
      </c>
      <c r="Q137" t="s">
        <v>72</v>
      </c>
      <c r="R137" t="s">
        <v>73</v>
      </c>
      <c r="S137" s="6">
        <v>719400</v>
      </c>
      <c r="T137" s="6" t="s">
        <v>1</v>
      </c>
      <c r="U137">
        <v>180</v>
      </c>
      <c r="V137" s="6">
        <v>22.2</v>
      </c>
      <c r="W137" s="6">
        <v>16.8</v>
      </c>
      <c r="X137" s="6">
        <v>188.1</v>
      </c>
      <c r="Y137" s="6">
        <v>227.1</v>
      </c>
      <c r="Z137" s="6" t="s">
        <v>2</v>
      </c>
      <c r="AA137" t="s">
        <v>334</v>
      </c>
      <c r="AB137" s="6" t="s">
        <v>97</v>
      </c>
      <c r="AC137" t="s">
        <v>154</v>
      </c>
      <c r="AD137" t="s">
        <v>67</v>
      </c>
      <c r="AE137">
        <v>-56</v>
      </c>
      <c r="AF137">
        <v>0</v>
      </c>
      <c r="AG137">
        <v>0</v>
      </c>
      <c r="AH137" s="6">
        <v>52.9</v>
      </c>
      <c r="AI137" s="6">
        <v>0</v>
      </c>
      <c r="AJ137" s="6">
        <v>0.82499999999999996</v>
      </c>
      <c r="AK137" s="6">
        <v>0.27900000000000003</v>
      </c>
      <c r="AL137" s="8">
        <v>3917.53</v>
      </c>
      <c r="AM137" s="6" t="s">
        <v>68</v>
      </c>
      <c r="AN137" s="6">
        <v>1</v>
      </c>
      <c r="AO137" s="6">
        <v>1</v>
      </c>
      <c r="AP137" s="6">
        <v>0</v>
      </c>
      <c r="AQ137" s="6">
        <v>1</v>
      </c>
      <c r="AR137" s="6">
        <v>0</v>
      </c>
      <c r="AS137" s="6">
        <v>1</v>
      </c>
      <c r="AT137" s="6">
        <v>0</v>
      </c>
      <c r="AU137" s="6">
        <v>2.67</v>
      </c>
      <c r="AV137" s="6">
        <v>1.58</v>
      </c>
      <c r="AW137" s="6">
        <v>207.81</v>
      </c>
      <c r="AX137" s="6">
        <v>31.25</v>
      </c>
      <c r="AY137" s="6">
        <v>148.93</v>
      </c>
      <c r="AZ137" s="6">
        <v>11.4</v>
      </c>
      <c r="BA137" s="6">
        <v>40.5</v>
      </c>
    </row>
    <row r="138" spans="1:53" x14ac:dyDescent="0.3">
      <c r="A138" s="6">
        <v>642831335</v>
      </c>
      <c r="B138" s="6">
        <v>787277</v>
      </c>
      <c r="C138" s="6">
        <v>6022741</v>
      </c>
      <c r="D138" s="6">
        <v>3693</v>
      </c>
      <c r="E138" s="6" t="s">
        <v>106</v>
      </c>
      <c r="F138" s="6">
        <v>55024</v>
      </c>
      <c r="G138" s="6" t="s">
        <v>146</v>
      </c>
      <c r="H138" s="10">
        <v>45838</v>
      </c>
      <c r="I138" s="10">
        <v>45838</v>
      </c>
      <c r="J138" s="4">
        <v>45838.798611111109</v>
      </c>
      <c r="K138" s="4">
        <v>45838.88490740741</v>
      </c>
      <c r="L138" s="11">
        <v>45838.88212962963</v>
      </c>
      <c r="M138" s="10">
        <v>45838</v>
      </c>
      <c r="N138" s="6" t="s">
        <v>150</v>
      </c>
      <c r="O138" t="s">
        <v>311</v>
      </c>
      <c r="P138" s="6" t="s">
        <v>103</v>
      </c>
      <c r="Q138" t="s">
        <v>204</v>
      </c>
      <c r="R138" t="s">
        <v>73</v>
      </c>
      <c r="S138" s="6">
        <v>729083</v>
      </c>
      <c r="T138" s="6" t="s">
        <v>3</v>
      </c>
      <c r="U138">
        <v>77</v>
      </c>
      <c r="V138" s="6">
        <v>33.700000000000003</v>
      </c>
      <c r="W138" s="6">
        <v>2.1</v>
      </c>
      <c r="X138" s="6">
        <v>65.5</v>
      </c>
      <c r="Y138" s="6">
        <v>101.3</v>
      </c>
      <c r="Z138" s="6" t="s">
        <v>63</v>
      </c>
      <c r="AA138" t="s">
        <v>335</v>
      </c>
      <c r="AB138" s="6" t="s">
        <v>65</v>
      </c>
      <c r="AC138" t="s">
        <v>83</v>
      </c>
      <c r="AD138" t="s">
        <v>67</v>
      </c>
      <c r="AE138">
        <v>-4</v>
      </c>
      <c r="AF138">
        <v>10</v>
      </c>
      <c r="AG138">
        <v>0</v>
      </c>
      <c r="AH138" s="6">
        <v>50</v>
      </c>
      <c r="AI138" s="6">
        <v>0</v>
      </c>
      <c r="AJ138" s="6">
        <v>0.71499999999999997</v>
      </c>
      <c r="AK138" s="6">
        <v>0.55000000000000004</v>
      </c>
      <c r="AL138" s="8">
        <v>2502.25</v>
      </c>
      <c r="AM138" s="6" t="s">
        <v>68</v>
      </c>
      <c r="AN138" s="6">
        <v>1</v>
      </c>
      <c r="AO138" s="6">
        <v>1</v>
      </c>
      <c r="AP138" s="6">
        <v>0</v>
      </c>
      <c r="AQ138" s="6">
        <v>1</v>
      </c>
      <c r="AR138" s="6">
        <v>0</v>
      </c>
      <c r="AS138" s="6">
        <v>1</v>
      </c>
      <c r="AT138" s="6">
        <v>0</v>
      </c>
      <c r="AU138" s="6">
        <v>2.33</v>
      </c>
      <c r="AV138" s="6">
        <v>1.49</v>
      </c>
      <c r="AW138" s="6">
        <v>90.87</v>
      </c>
      <c r="AX138" s="6">
        <v>15.62</v>
      </c>
      <c r="AY138" s="6">
        <v>67.55</v>
      </c>
      <c r="AZ138" s="6">
        <v>3.4</v>
      </c>
      <c r="BA138" s="6">
        <v>22</v>
      </c>
    </row>
    <row r="139" spans="1:53" x14ac:dyDescent="0.3">
      <c r="A139" s="6">
        <v>750072069</v>
      </c>
      <c r="B139" s="6">
        <v>331148</v>
      </c>
      <c r="C139" s="6">
        <v>8231838</v>
      </c>
      <c r="D139" s="6">
        <v>8734</v>
      </c>
      <c r="E139" s="6" t="s">
        <v>84</v>
      </c>
      <c r="F139" s="6">
        <v>56264</v>
      </c>
      <c r="G139" s="6" t="s">
        <v>107</v>
      </c>
      <c r="H139" s="10">
        <v>45678</v>
      </c>
      <c r="I139" s="10">
        <v>45678</v>
      </c>
      <c r="J139" s="4">
        <v>45678.697916666664</v>
      </c>
      <c r="K139" s="4">
        <v>45679.377326388887</v>
      </c>
      <c r="L139" s="11">
        <v>45679.395381944443</v>
      </c>
      <c r="M139" s="10">
        <v>45679</v>
      </c>
      <c r="N139" s="6" t="s">
        <v>116</v>
      </c>
      <c r="O139" t="s">
        <v>251</v>
      </c>
      <c r="P139" s="6" t="s">
        <v>116</v>
      </c>
      <c r="Q139" t="s">
        <v>128</v>
      </c>
      <c r="R139" t="s">
        <v>123</v>
      </c>
      <c r="S139" s="6">
        <v>748114</v>
      </c>
      <c r="T139" s="6" t="s">
        <v>140</v>
      </c>
      <c r="U139">
        <v>908</v>
      </c>
      <c r="V139" s="6">
        <v>35.799999999999997</v>
      </c>
      <c r="W139" s="6">
        <v>1.9</v>
      </c>
      <c r="X139" s="6">
        <v>915.4</v>
      </c>
      <c r="Y139" s="6">
        <v>953.1</v>
      </c>
      <c r="Z139" s="6" t="s">
        <v>63</v>
      </c>
      <c r="AA139" t="s">
        <v>336</v>
      </c>
      <c r="AB139" s="6" t="s">
        <v>90</v>
      </c>
      <c r="AC139" t="s">
        <v>66</v>
      </c>
      <c r="AD139" t="s">
        <v>67</v>
      </c>
      <c r="AE139">
        <v>26</v>
      </c>
      <c r="AF139">
        <v>0</v>
      </c>
      <c r="AG139">
        <v>0</v>
      </c>
      <c r="AH139" s="6">
        <v>69.599999999999994</v>
      </c>
      <c r="AI139" s="6">
        <v>0</v>
      </c>
      <c r="AJ139" s="6">
        <v>0.68100000000000005</v>
      </c>
      <c r="AK139" s="6">
        <v>0.60899999999999999</v>
      </c>
      <c r="AL139" s="8">
        <v>11607.91</v>
      </c>
      <c r="AM139" s="6" t="s">
        <v>114</v>
      </c>
      <c r="AN139" s="6">
        <v>1</v>
      </c>
      <c r="AO139" s="6">
        <v>0</v>
      </c>
      <c r="AP139" s="6">
        <v>1</v>
      </c>
      <c r="AQ139" s="6">
        <v>0</v>
      </c>
      <c r="AR139" s="6">
        <v>1</v>
      </c>
      <c r="AS139" s="6">
        <v>0</v>
      </c>
      <c r="AT139" s="6">
        <v>1</v>
      </c>
      <c r="AU139" s="6">
        <v>2.33</v>
      </c>
      <c r="AV139" s="6">
        <v>1.41</v>
      </c>
      <c r="AW139" s="6">
        <v>870.26</v>
      </c>
      <c r="AX139" s="6">
        <v>190.13</v>
      </c>
      <c r="AY139" s="6">
        <v>650.46</v>
      </c>
      <c r="AZ139" s="6">
        <v>5.8</v>
      </c>
      <c r="BA139" s="6">
        <v>10.9</v>
      </c>
    </row>
    <row r="140" spans="1:53" x14ac:dyDescent="0.3">
      <c r="A140" s="6">
        <v>561923010</v>
      </c>
      <c r="B140" s="6">
        <v>724834</v>
      </c>
      <c r="C140" s="6">
        <v>1701771</v>
      </c>
      <c r="D140" s="6">
        <v>6249</v>
      </c>
      <c r="E140" s="6" t="s">
        <v>142</v>
      </c>
      <c r="F140" s="6">
        <v>57973</v>
      </c>
      <c r="G140" s="6" t="s">
        <v>149</v>
      </c>
      <c r="H140" s="10">
        <v>46006</v>
      </c>
      <c r="I140" s="10">
        <v>46006</v>
      </c>
      <c r="J140" s="4">
        <v>46006.552083333336</v>
      </c>
      <c r="K140" s="4">
        <v>46006.665659722225</v>
      </c>
      <c r="L140" s="11">
        <v>46006.666354166664</v>
      </c>
      <c r="M140" s="10">
        <v>46006</v>
      </c>
      <c r="N140" s="6" t="s">
        <v>103</v>
      </c>
      <c r="O140" t="s">
        <v>99</v>
      </c>
      <c r="P140" s="6" t="s">
        <v>132</v>
      </c>
      <c r="Q140" t="s">
        <v>181</v>
      </c>
      <c r="R140" t="s">
        <v>62</v>
      </c>
      <c r="S140" s="6">
        <v>729109</v>
      </c>
      <c r="T140" s="6" t="s">
        <v>3</v>
      </c>
      <c r="U140">
        <v>81</v>
      </c>
      <c r="V140" s="6">
        <v>21</v>
      </c>
      <c r="W140" s="6">
        <v>6.4</v>
      </c>
      <c r="X140" s="6">
        <v>85.8</v>
      </c>
      <c r="Y140" s="6">
        <v>113.2</v>
      </c>
      <c r="Z140" s="6" t="s">
        <v>2</v>
      </c>
      <c r="AA140" t="s">
        <v>337</v>
      </c>
      <c r="AB140" s="6" t="s">
        <v>75</v>
      </c>
      <c r="AC140" t="s">
        <v>83</v>
      </c>
      <c r="AD140" t="s">
        <v>67</v>
      </c>
      <c r="AE140">
        <v>1</v>
      </c>
      <c r="AF140">
        <v>0</v>
      </c>
      <c r="AG140">
        <v>0</v>
      </c>
      <c r="AH140" s="6">
        <v>49.3</v>
      </c>
      <c r="AI140" s="6">
        <v>0</v>
      </c>
      <c r="AJ140" s="6">
        <v>0.73699999999999999</v>
      </c>
      <c r="AK140" s="6">
        <v>0.72199999999999998</v>
      </c>
      <c r="AL140" s="8">
        <v>10704.23</v>
      </c>
      <c r="AM140" s="6" t="s">
        <v>114</v>
      </c>
      <c r="AN140" s="6">
        <v>1</v>
      </c>
      <c r="AO140" s="6">
        <v>1</v>
      </c>
      <c r="AP140" s="6">
        <v>0</v>
      </c>
      <c r="AQ140" s="6">
        <v>1</v>
      </c>
      <c r="AR140" s="6">
        <v>0</v>
      </c>
      <c r="AS140" s="6">
        <v>1</v>
      </c>
      <c r="AT140" s="6">
        <v>0</v>
      </c>
      <c r="AU140" s="6">
        <v>2</v>
      </c>
      <c r="AV140" s="6">
        <v>1.21</v>
      </c>
      <c r="AW140" s="6">
        <v>84.89</v>
      </c>
      <c r="AX140" s="6">
        <v>13.28</v>
      </c>
      <c r="AY140" s="6">
        <v>77.83</v>
      </c>
      <c r="AZ140" s="6">
        <v>4.4000000000000004</v>
      </c>
      <c r="BA140" s="6">
        <v>5.5</v>
      </c>
    </row>
    <row r="141" spans="1:53" x14ac:dyDescent="0.3">
      <c r="A141" s="6">
        <v>206492059</v>
      </c>
      <c r="B141" s="6">
        <v>632323</v>
      </c>
      <c r="C141" s="6">
        <v>4240180</v>
      </c>
      <c r="D141" s="6">
        <v>6759</v>
      </c>
      <c r="E141" s="6" t="s">
        <v>106</v>
      </c>
      <c r="F141" s="6">
        <v>59697</v>
      </c>
      <c r="G141" s="6" t="s">
        <v>127</v>
      </c>
      <c r="H141" s="10">
        <v>45704</v>
      </c>
      <c r="I141" s="10">
        <v>45704</v>
      </c>
      <c r="J141" s="4">
        <v>45704.722222222219</v>
      </c>
      <c r="K141" s="4">
        <v>45704.800069444442</v>
      </c>
      <c r="L141" s="11">
        <v>45704.77784722222</v>
      </c>
      <c r="M141" s="10">
        <v>45704</v>
      </c>
      <c r="N141" s="6" t="s">
        <v>103</v>
      </c>
      <c r="O141" t="s">
        <v>99</v>
      </c>
      <c r="P141" s="6" t="s">
        <v>200</v>
      </c>
      <c r="Q141" t="s">
        <v>338</v>
      </c>
      <c r="R141" t="s">
        <v>62</v>
      </c>
      <c r="S141" s="6">
        <v>717326</v>
      </c>
      <c r="T141" s="6" t="s">
        <v>3</v>
      </c>
      <c r="U141">
        <v>37</v>
      </c>
      <c r="V141" s="6">
        <v>-2.6</v>
      </c>
      <c r="W141" s="6">
        <v>21.1</v>
      </c>
      <c r="X141" s="6">
        <v>34.4</v>
      </c>
      <c r="Y141" s="6">
        <v>55.5</v>
      </c>
      <c r="Z141" s="6" t="s">
        <v>63</v>
      </c>
      <c r="AA141" t="s">
        <v>339</v>
      </c>
      <c r="AB141" s="6" t="s">
        <v>90</v>
      </c>
      <c r="AC141" t="s">
        <v>91</v>
      </c>
      <c r="AD141" t="s">
        <v>67</v>
      </c>
      <c r="AE141">
        <v>-32</v>
      </c>
      <c r="AF141">
        <v>64</v>
      </c>
      <c r="AG141">
        <v>0</v>
      </c>
      <c r="AH141" s="6">
        <v>28.6</v>
      </c>
      <c r="AI141" s="6">
        <v>0</v>
      </c>
      <c r="AJ141" s="6">
        <v>0.83699999999999997</v>
      </c>
      <c r="AK141" s="6">
        <v>0.44700000000000001</v>
      </c>
      <c r="AL141" s="8">
        <v>3815.52</v>
      </c>
      <c r="AM141" s="6" t="s">
        <v>68</v>
      </c>
      <c r="AN141" s="6">
        <v>1</v>
      </c>
      <c r="AO141" s="6">
        <v>1</v>
      </c>
      <c r="AP141" s="6">
        <v>0</v>
      </c>
      <c r="AQ141" s="6">
        <v>1</v>
      </c>
      <c r="AR141" s="6">
        <v>0</v>
      </c>
      <c r="AS141" s="6">
        <v>1</v>
      </c>
      <c r="AT141" s="6">
        <v>0</v>
      </c>
      <c r="AU141" s="6">
        <v>2.31</v>
      </c>
      <c r="AV141" s="6">
        <v>1.54</v>
      </c>
      <c r="AW141" s="6">
        <v>47.74</v>
      </c>
      <c r="AX141" s="6">
        <v>10.210000000000001</v>
      </c>
      <c r="AY141" s="6">
        <v>33.08</v>
      </c>
      <c r="AZ141" s="6">
        <v>1.1000000000000001</v>
      </c>
      <c r="BA141" s="6">
        <v>45.7</v>
      </c>
    </row>
    <row r="142" spans="1:53" x14ac:dyDescent="0.3">
      <c r="A142" s="6">
        <v>951580447</v>
      </c>
      <c r="B142" s="6">
        <v>263032</v>
      </c>
      <c r="C142" s="6">
        <v>4191175</v>
      </c>
      <c r="D142" s="6">
        <v>6486</v>
      </c>
      <c r="E142" s="6" t="s">
        <v>225</v>
      </c>
      <c r="F142" s="6">
        <v>54729</v>
      </c>
      <c r="G142" s="6" t="s">
        <v>127</v>
      </c>
      <c r="H142" s="10">
        <v>45912</v>
      </c>
      <c r="I142" s="10">
        <v>45912</v>
      </c>
      <c r="J142" s="4">
        <v>45912.597222222219</v>
      </c>
      <c r="K142" s="4">
        <v>45912.931157407409</v>
      </c>
      <c r="L142" s="11">
        <v>45912.916574074072</v>
      </c>
      <c r="M142" s="10">
        <v>45912</v>
      </c>
      <c r="N142" s="6" t="s">
        <v>78</v>
      </c>
      <c r="O142" t="s">
        <v>147</v>
      </c>
      <c r="P142" s="6" t="s">
        <v>200</v>
      </c>
      <c r="Q142" t="s">
        <v>275</v>
      </c>
      <c r="R142" t="s">
        <v>62</v>
      </c>
      <c r="S142" s="6">
        <v>744062</v>
      </c>
      <c r="T142" s="6" t="s">
        <v>111</v>
      </c>
      <c r="U142">
        <v>403</v>
      </c>
      <c r="V142" s="6">
        <v>41.3</v>
      </c>
      <c r="W142" s="6">
        <v>1.7</v>
      </c>
      <c r="X142" s="6">
        <v>398.5</v>
      </c>
      <c r="Y142" s="6">
        <v>441.5</v>
      </c>
      <c r="Z142" s="6" t="s">
        <v>215</v>
      </c>
      <c r="AA142" t="s">
        <v>340</v>
      </c>
      <c r="AB142" s="6" t="s">
        <v>90</v>
      </c>
      <c r="AC142" t="s">
        <v>154</v>
      </c>
      <c r="AD142" t="s">
        <v>67</v>
      </c>
      <c r="AE142">
        <v>-21</v>
      </c>
      <c r="AF142">
        <v>0</v>
      </c>
      <c r="AG142">
        <v>0</v>
      </c>
      <c r="AH142" s="6">
        <v>33.700000000000003</v>
      </c>
      <c r="AI142" s="6">
        <v>0</v>
      </c>
      <c r="AJ142" s="6">
        <v>0.70499999999999996</v>
      </c>
      <c r="AK142" s="6">
        <v>0.68200000000000005</v>
      </c>
      <c r="AL142" s="8">
        <v>5219.41</v>
      </c>
      <c r="AM142" s="6" t="s">
        <v>68</v>
      </c>
      <c r="AN142" s="6">
        <v>1</v>
      </c>
      <c r="AO142" s="6">
        <v>1</v>
      </c>
      <c r="AP142" s="6">
        <v>0</v>
      </c>
      <c r="AQ142" s="6">
        <v>1</v>
      </c>
      <c r="AR142" s="6">
        <v>0</v>
      </c>
      <c r="AS142" s="6">
        <v>1</v>
      </c>
      <c r="AT142" s="6">
        <v>0</v>
      </c>
      <c r="AU142" s="6">
        <v>2.77</v>
      </c>
      <c r="AV142" s="6">
        <v>1.7</v>
      </c>
      <c r="AW142" s="6">
        <v>389.12</v>
      </c>
      <c r="AX142" s="6">
        <v>62.84</v>
      </c>
      <c r="AY142" s="6">
        <v>254.33</v>
      </c>
      <c r="AZ142" s="6">
        <v>13.2</v>
      </c>
      <c r="BA142" s="6">
        <v>29.3</v>
      </c>
    </row>
    <row r="143" spans="1:53" x14ac:dyDescent="0.3">
      <c r="A143" s="6">
        <v>853529912</v>
      </c>
      <c r="B143" s="6">
        <v>629903</v>
      </c>
      <c r="C143" s="6">
        <v>9143903</v>
      </c>
      <c r="D143" s="6">
        <v>9666</v>
      </c>
      <c r="E143" s="6" t="s">
        <v>225</v>
      </c>
      <c r="F143" s="6">
        <v>57961</v>
      </c>
      <c r="G143" s="6" t="s">
        <v>115</v>
      </c>
      <c r="H143" s="10">
        <v>45842</v>
      </c>
      <c r="I143" s="10">
        <v>45842</v>
      </c>
      <c r="J143" s="4">
        <v>45842.361111111109</v>
      </c>
      <c r="K143" s="4">
        <v>45842.592094907406</v>
      </c>
      <c r="L143" s="11">
        <v>45842.586539351854</v>
      </c>
      <c r="M143" s="10">
        <v>45842</v>
      </c>
      <c r="N143" s="6" t="s">
        <v>170</v>
      </c>
      <c r="O143" t="s">
        <v>171</v>
      </c>
      <c r="P143" s="6" t="s">
        <v>93</v>
      </c>
      <c r="Q143" t="s">
        <v>144</v>
      </c>
      <c r="R143" t="s">
        <v>73</v>
      </c>
      <c r="S143" s="6">
        <v>710819</v>
      </c>
      <c r="T143" s="6" t="s">
        <v>1</v>
      </c>
      <c r="U143">
        <v>275</v>
      </c>
      <c r="V143" s="6">
        <v>39.9</v>
      </c>
      <c r="W143" s="6">
        <v>7.8</v>
      </c>
      <c r="X143" s="6">
        <v>282.39999999999998</v>
      </c>
      <c r="Y143" s="6">
        <v>330.1</v>
      </c>
      <c r="Z143" s="6" t="s">
        <v>112</v>
      </c>
      <c r="AA143" t="s">
        <v>341</v>
      </c>
      <c r="AB143" s="6" t="s">
        <v>97</v>
      </c>
      <c r="AC143" t="s">
        <v>154</v>
      </c>
      <c r="AD143" t="s">
        <v>67</v>
      </c>
      <c r="AE143">
        <v>-8</v>
      </c>
      <c r="AF143">
        <v>0</v>
      </c>
      <c r="AG143">
        <v>0</v>
      </c>
      <c r="AH143" s="6">
        <v>72.099999999999994</v>
      </c>
      <c r="AI143" s="6">
        <v>0</v>
      </c>
      <c r="AJ143" s="6">
        <v>0.60099999999999998</v>
      </c>
      <c r="AK143" s="6">
        <v>0.73099999999999998</v>
      </c>
      <c r="AL143" s="8">
        <v>20075.04</v>
      </c>
      <c r="AM143" s="6" t="s">
        <v>114</v>
      </c>
      <c r="AN143" s="6">
        <v>1</v>
      </c>
      <c r="AO143" s="6">
        <v>1</v>
      </c>
      <c r="AP143" s="6">
        <v>0</v>
      </c>
      <c r="AQ143" s="6">
        <v>1</v>
      </c>
      <c r="AR143" s="6">
        <v>0</v>
      </c>
      <c r="AS143" s="6">
        <v>1</v>
      </c>
      <c r="AT143" s="6">
        <v>0</v>
      </c>
      <c r="AU143" s="6">
        <v>2.36</v>
      </c>
      <c r="AV143" s="6">
        <v>1.67</v>
      </c>
      <c r="AW143" s="6">
        <v>209.05</v>
      </c>
      <c r="AX143" s="6">
        <v>40.76</v>
      </c>
      <c r="AY143" s="6">
        <v>217.94</v>
      </c>
      <c r="AZ143" s="6">
        <v>10.3</v>
      </c>
      <c r="BA143" s="6">
        <v>17.7</v>
      </c>
    </row>
    <row r="144" spans="1:53" x14ac:dyDescent="0.3">
      <c r="A144" s="6">
        <v>222851168</v>
      </c>
      <c r="B144" s="6">
        <v>106814</v>
      </c>
      <c r="C144" s="6">
        <v>1908841</v>
      </c>
      <c r="D144" s="6">
        <v>9838</v>
      </c>
      <c r="E144" s="6" t="s">
        <v>225</v>
      </c>
      <c r="F144" s="6">
        <v>52819</v>
      </c>
      <c r="G144" s="6" t="s">
        <v>102</v>
      </c>
      <c r="H144" s="10">
        <v>45667</v>
      </c>
      <c r="I144" s="10">
        <v>45667</v>
      </c>
      <c r="J144" s="4">
        <v>45667.368055555555</v>
      </c>
      <c r="K144" s="4">
        <v>45667.837488425925</v>
      </c>
      <c r="L144" s="11">
        <v>45667.846516203703</v>
      </c>
      <c r="M144" s="10">
        <v>45667</v>
      </c>
      <c r="N144" s="6" t="s">
        <v>116</v>
      </c>
      <c r="O144" t="s">
        <v>128</v>
      </c>
      <c r="P144" s="6" t="s">
        <v>129</v>
      </c>
      <c r="Q144" t="s">
        <v>157</v>
      </c>
      <c r="R144" t="s">
        <v>123</v>
      </c>
      <c r="S144" s="6">
        <v>778087</v>
      </c>
      <c r="T144" s="6" t="s">
        <v>111</v>
      </c>
      <c r="U144">
        <v>399</v>
      </c>
      <c r="V144" s="6">
        <v>33.6</v>
      </c>
      <c r="W144" s="6">
        <v>28.6</v>
      </c>
      <c r="X144" s="6">
        <v>409.8</v>
      </c>
      <c r="Y144" s="6">
        <v>472</v>
      </c>
      <c r="Z144" s="6" t="s">
        <v>112</v>
      </c>
      <c r="AA144" t="s">
        <v>342</v>
      </c>
      <c r="AB144" s="6" t="s">
        <v>97</v>
      </c>
      <c r="AC144" t="s">
        <v>154</v>
      </c>
      <c r="AD144" t="s">
        <v>67</v>
      </c>
      <c r="AE144">
        <v>13</v>
      </c>
      <c r="AF144">
        <v>0</v>
      </c>
      <c r="AG144">
        <v>0.8</v>
      </c>
      <c r="AH144" s="6">
        <v>65.7</v>
      </c>
      <c r="AI144" s="6">
        <v>0</v>
      </c>
      <c r="AJ144" s="6">
        <v>0.54500000000000004</v>
      </c>
      <c r="AK144" s="6">
        <v>0.64100000000000001</v>
      </c>
      <c r="AL144" s="8">
        <v>21899.599999999999</v>
      </c>
      <c r="AM144" s="6" t="s">
        <v>114</v>
      </c>
      <c r="AN144" s="6">
        <v>1</v>
      </c>
      <c r="AO144" s="6">
        <v>1</v>
      </c>
      <c r="AP144" s="6">
        <v>0</v>
      </c>
      <c r="AQ144" s="6">
        <v>1</v>
      </c>
      <c r="AR144" s="6">
        <v>0</v>
      </c>
      <c r="AS144" s="6">
        <v>1</v>
      </c>
      <c r="AT144" s="6">
        <v>0</v>
      </c>
      <c r="AU144" s="6">
        <v>2.06</v>
      </c>
      <c r="AV144" s="6">
        <v>1.48</v>
      </c>
      <c r="AW144" s="6">
        <v>330.32</v>
      </c>
      <c r="AX144" s="6">
        <v>66.37</v>
      </c>
      <c r="AY144" s="6">
        <v>291.06</v>
      </c>
      <c r="AZ144" s="6">
        <v>9.1999999999999993</v>
      </c>
      <c r="BA144" s="6">
        <v>58</v>
      </c>
    </row>
    <row r="145" spans="1:53" x14ac:dyDescent="0.3">
      <c r="A145" s="6">
        <v>802992685</v>
      </c>
      <c r="B145" s="6">
        <v>955662</v>
      </c>
      <c r="C145" s="6">
        <v>8315831</v>
      </c>
      <c r="D145" s="6">
        <v>9445</v>
      </c>
      <c r="E145" s="6" t="s">
        <v>84</v>
      </c>
      <c r="F145" s="6">
        <v>56655</v>
      </c>
      <c r="G145" s="6" t="s">
        <v>107</v>
      </c>
      <c r="H145" s="10">
        <v>45995</v>
      </c>
      <c r="I145" s="10">
        <v>45995</v>
      </c>
      <c r="J145" s="4">
        <v>45995.75</v>
      </c>
      <c r="K145" s="4">
        <v>45995.948657407411</v>
      </c>
      <c r="L145" s="11">
        <v>45995.925046296295</v>
      </c>
      <c r="M145" s="10">
        <v>45995</v>
      </c>
      <c r="N145" s="6" t="s">
        <v>170</v>
      </c>
      <c r="O145" t="s">
        <v>171</v>
      </c>
      <c r="P145" s="6" t="s">
        <v>59</v>
      </c>
      <c r="Q145" t="s">
        <v>60</v>
      </c>
      <c r="R145" t="s">
        <v>62</v>
      </c>
      <c r="S145" s="6">
        <v>762371</v>
      </c>
      <c r="T145" s="6" t="s">
        <v>1</v>
      </c>
      <c r="U145">
        <v>220</v>
      </c>
      <c r="V145" s="6">
        <v>31.2</v>
      </c>
      <c r="W145" s="6">
        <v>3.9</v>
      </c>
      <c r="X145" s="6">
        <v>216.3</v>
      </c>
      <c r="Y145" s="6">
        <v>251.4</v>
      </c>
      <c r="Z145" s="6" t="s">
        <v>80</v>
      </c>
      <c r="AA145" t="s">
        <v>343</v>
      </c>
      <c r="AB145" s="6" t="s">
        <v>65</v>
      </c>
      <c r="AC145" t="s">
        <v>137</v>
      </c>
      <c r="AD145" t="s">
        <v>67</v>
      </c>
      <c r="AE145">
        <v>-34</v>
      </c>
      <c r="AF145">
        <v>0</v>
      </c>
      <c r="AG145">
        <v>0</v>
      </c>
      <c r="AH145" s="6">
        <v>62.5</v>
      </c>
      <c r="AI145" s="6">
        <v>0</v>
      </c>
      <c r="AJ145" s="6">
        <v>0.82599999999999996</v>
      </c>
      <c r="AK145" s="6">
        <v>0.64400000000000002</v>
      </c>
      <c r="AL145" s="8">
        <v>1261.8599999999999</v>
      </c>
      <c r="AM145" s="6" t="s">
        <v>68</v>
      </c>
      <c r="AN145" s="6">
        <v>1</v>
      </c>
      <c r="AO145" s="6">
        <v>1</v>
      </c>
      <c r="AP145" s="6">
        <v>0</v>
      </c>
      <c r="AQ145" s="6">
        <v>1</v>
      </c>
      <c r="AR145" s="6">
        <v>0</v>
      </c>
      <c r="AS145" s="6">
        <v>1</v>
      </c>
      <c r="AT145" s="6">
        <v>0</v>
      </c>
      <c r="AU145" s="6">
        <v>2.09</v>
      </c>
      <c r="AV145" s="6">
        <v>1.62</v>
      </c>
      <c r="AW145" s="6">
        <v>222.5</v>
      </c>
      <c r="AX145" s="6">
        <v>41.23</v>
      </c>
      <c r="AY145" s="6">
        <v>178.91</v>
      </c>
      <c r="AZ145" s="6">
        <v>18.100000000000001</v>
      </c>
      <c r="BA145" s="6">
        <v>34.700000000000003</v>
      </c>
    </row>
    <row r="146" spans="1:53" x14ac:dyDescent="0.3">
      <c r="A146" s="6">
        <v>798916441</v>
      </c>
      <c r="B146" s="6">
        <v>321231</v>
      </c>
      <c r="C146" s="6">
        <v>3646552</v>
      </c>
      <c r="D146" s="6">
        <v>5636</v>
      </c>
      <c r="E146" s="6" t="s">
        <v>84</v>
      </c>
      <c r="F146" s="6">
        <v>51184</v>
      </c>
      <c r="G146" s="6" t="s">
        <v>77</v>
      </c>
      <c r="H146" s="10">
        <v>45968</v>
      </c>
      <c r="I146" s="10">
        <v>45968</v>
      </c>
      <c r="J146" s="4">
        <v>45968.288194444445</v>
      </c>
      <c r="K146" s="4">
        <v>45968.507743055554</v>
      </c>
      <c r="L146" s="11">
        <v>45968.488298611112</v>
      </c>
      <c r="M146" s="10">
        <v>45968</v>
      </c>
      <c r="N146" s="6" t="s">
        <v>59</v>
      </c>
      <c r="O146" t="s">
        <v>99</v>
      </c>
      <c r="P146" s="6" t="s">
        <v>78</v>
      </c>
      <c r="Q146" t="s">
        <v>222</v>
      </c>
      <c r="R146" t="s">
        <v>88</v>
      </c>
      <c r="S146" s="6">
        <v>706621</v>
      </c>
      <c r="T146" s="6" t="s">
        <v>1</v>
      </c>
      <c r="U146">
        <v>270</v>
      </c>
      <c r="V146" s="6">
        <v>40.299999999999997</v>
      </c>
      <c r="W146" s="6">
        <v>18.100000000000001</v>
      </c>
      <c r="X146" s="6">
        <v>273.5</v>
      </c>
      <c r="Y146" s="6">
        <v>331.9</v>
      </c>
      <c r="Z146" s="6" t="s">
        <v>63</v>
      </c>
      <c r="AA146" t="s">
        <v>153</v>
      </c>
      <c r="AB146" s="6" t="s">
        <v>97</v>
      </c>
      <c r="AC146" t="s">
        <v>154</v>
      </c>
      <c r="AD146" t="s">
        <v>67</v>
      </c>
      <c r="AE146">
        <v>-28</v>
      </c>
      <c r="AF146">
        <v>0</v>
      </c>
      <c r="AG146">
        <v>0</v>
      </c>
      <c r="AH146" s="6">
        <v>64.5</v>
      </c>
      <c r="AI146" s="6">
        <v>0</v>
      </c>
      <c r="AJ146" s="6">
        <v>0.75800000000000001</v>
      </c>
      <c r="AK146" s="6">
        <v>0.76100000000000001</v>
      </c>
      <c r="AL146" s="8">
        <v>1914.14</v>
      </c>
      <c r="AM146" s="6" t="s">
        <v>68</v>
      </c>
      <c r="AN146" s="6">
        <v>1</v>
      </c>
      <c r="AO146" s="6">
        <v>1</v>
      </c>
      <c r="AP146" s="6">
        <v>0</v>
      </c>
      <c r="AQ146" s="6">
        <v>1</v>
      </c>
      <c r="AR146" s="6">
        <v>0</v>
      </c>
      <c r="AS146" s="6">
        <v>1</v>
      </c>
      <c r="AT146" s="6">
        <v>0</v>
      </c>
      <c r="AU146" s="6">
        <v>2.54</v>
      </c>
      <c r="AV146" s="6">
        <v>1.64</v>
      </c>
      <c r="AW146" s="6">
        <v>244.49</v>
      </c>
      <c r="AX146" s="6">
        <v>69.89</v>
      </c>
      <c r="AY146" s="6">
        <v>189.25</v>
      </c>
      <c r="AZ146" s="6">
        <v>37.799999999999997</v>
      </c>
      <c r="BA146" s="6">
        <v>21.2</v>
      </c>
    </row>
    <row r="147" spans="1:53" x14ac:dyDescent="0.3">
      <c r="A147" s="6">
        <v>925667446</v>
      </c>
      <c r="B147" s="6">
        <v>817870</v>
      </c>
      <c r="C147" s="6">
        <v>2217071</v>
      </c>
      <c r="D147" s="6">
        <v>2484</v>
      </c>
      <c r="E147" s="6" t="s">
        <v>84</v>
      </c>
      <c r="F147" s="6">
        <v>58480</v>
      </c>
      <c r="G147" s="6" t="s">
        <v>203</v>
      </c>
      <c r="H147" s="10">
        <v>45849</v>
      </c>
      <c r="I147" s="10">
        <v>45849</v>
      </c>
      <c r="J147" s="4">
        <v>45849.138888888891</v>
      </c>
      <c r="K147" s="4">
        <v>45849.361342592594</v>
      </c>
      <c r="L147" s="11">
        <v>45849.34814814815</v>
      </c>
      <c r="M147" s="10">
        <v>45849</v>
      </c>
      <c r="N147" s="6" t="s">
        <v>78</v>
      </c>
      <c r="O147" t="s">
        <v>222</v>
      </c>
      <c r="P147" s="6" t="s">
        <v>78</v>
      </c>
      <c r="Q147" t="s">
        <v>147</v>
      </c>
      <c r="R147" t="s">
        <v>88</v>
      </c>
      <c r="S147" s="6">
        <v>739562</v>
      </c>
      <c r="T147" s="6" t="s">
        <v>1</v>
      </c>
      <c r="U147">
        <v>247</v>
      </c>
      <c r="V147" s="6">
        <v>15.8</v>
      </c>
      <c r="W147" s="6">
        <v>21</v>
      </c>
      <c r="X147" s="6">
        <v>252.9</v>
      </c>
      <c r="Y147" s="6">
        <v>289.7</v>
      </c>
      <c r="Z147" s="6" t="s">
        <v>63</v>
      </c>
      <c r="AA147" t="s">
        <v>344</v>
      </c>
      <c r="AB147" s="6" t="s">
        <v>82</v>
      </c>
      <c r="AC147" t="s">
        <v>154</v>
      </c>
      <c r="AD147" t="s">
        <v>67</v>
      </c>
      <c r="AE147">
        <v>-19</v>
      </c>
      <c r="AF147">
        <v>0</v>
      </c>
      <c r="AG147">
        <v>0</v>
      </c>
      <c r="AH147" s="6">
        <v>30.3</v>
      </c>
      <c r="AI147" s="6">
        <v>0</v>
      </c>
      <c r="AJ147" s="6">
        <v>0.55900000000000005</v>
      </c>
      <c r="AK147" s="6">
        <v>0.61599999999999999</v>
      </c>
      <c r="AL147" s="8">
        <v>17683.310000000001</v>
      </c>
      <c r="AM147" s="6" t="s">
        <v>114</v>
      </c>
      <c r="AN147" s="6">
        <v>1</v>
      </c>
      <c r="AO147" s="6">
        <v>1</v>
      </c>
      <c r="AP147" s="6">
        <v>0</v>
      </c>
      <c r="AQ147" s="6">
        <v>1</v>
      </c>
      <c r="AR147" s="6">
        <v>0</v>
      </c>
      <c r="AS147" s="6">
        <v>1</v>
      </c>
      <c r="AT147" s="6">
        <v>0</v>
      </c>
      <c r="AU147" s="6">
        <v>2.12</v>
      </c>
      <c r="AV147" s="6">
        <v>1.37</v>
      </c>
      <c r="AW147" s="6">
        <v>203.83</v>
      </c>
      <c r="AX147" s="6">
        <v>50.81</v>
      </c>
      <c r="AY147" s="6">
        <v>142.04</v>
      </c>
      <c r="AZ147" s="6">
        <v>9.4</v>
      </c>
      <c r="BA147" s="6">
        <v>26.2</v>
      </c>
    </row>
    <row r="148" spans="1:53" x14ac:dyDescent="0.3">
      <c r="A148" s="6">
        <v>691991695</v>
      </c>
      <c r="B148" s="6">
        <v>629903</v>
      </c>
      <c r="C148" s="6">
        <v>9143903</v>
      </c>
      <c r="D148" s="6">
        <v>9666</v>
      </c>
      <c r="E148" s="6" t="s">
        <v>225</v>
      </c>
      <c r="F148" s="6">
        <v>56343</v>
      </c>
      <c r="G148" s="6" t="s">
        <v>115</v>
      </c>
      <c r="H148" s="10">
        <v>45741</v>
      </c>
      <c r="I148" s="10">
        <v>45741</v>
      </c>
      <c r="J148" s="4">
        <v>45741.427083333336</v>
      </c>
      <c r="K148" s="4">
        <v>45741.601689814815</v>
      </c>
      <c r="L148" s="11">
        <v>45741.587106481478</v>
      </c>
      <c r="M148" s="10">
        <v>45741</v>
      </c>
      <c r="N148" s="6" t="s">
        <v>59</v>
      </c>
      <c r="O148" t="s">
        <v>167</v>
      </c>
      <c r="P148" s="6" t="s">
        <v>129</v>
      </c>
      <c r="Q148" t="s">
        <v>162</v>
      </c>
      <c r="R148" t="s">
        <v>123</v>
      </c>
      <c r="S148" s="6">
        <v>794841</v>
      </c>
      <c r="T148" s="6" t="s">
        <v>1</v>
      </c>
      <c r="U148">
        <v>193</v>
      </c>
      <c r="V148" s="6">
        <v>24.5</v>
      </c>
      <c r="W148" s="6">
        <v>3.4</v>
      </c>
      <c r="X148" s="6">
        <v>196.6</v>
      </c>
      <c r="Y148" s="6">
        <v>224.5</v>
      </c>
      <c r="Z148" s="6" t="s">
        <v>112</v>
      </c>
      <c r="AA148" t="s">
        <v>345</v>
      </c>
      <c r="AB148" s="6" t="s">
        <v>75</v>
      </c>
      <c r="AC148" t="s">
        <v>66</v>
      </c>
      <c r="AD148" t="s">
        <v>67</v>
      </c>
      <c r="AE148">
        <v>-21</v>
      </c>
      <c r="AF148">
        <v>0</v>
      </c>
      <c r="AG148">
        <v>0</v>
      </c>
      <c r="AH148" s="6">
        <v>53.9</v>
      </c>
      <c r="AI148" s="6">
        <v>0</v>
      </c>
      <c r="AJ148" s="6">
        <v>0.91800000000000004</v>
      </c>
      <c r="AK148" s="6">
        <v>0.311</v>
      </c>
      <c r="AL148" s="8">
        <v>4155.25</v>
      </c>
      <c r="AM148" s="6" t="s">
        <v>68</v>
      </c>
      <c r="AN148" s="6">
        <v>1</v>
      </c>
      <c r="AO148" s="6">
        <v>1</v>
      </c>
      <c r="AP148" s="6">
        <v>0</v>
      </c>
      <c r="AQ148" s="6">
        <v>1</v>
      </c>
      <c r="AR148" s="6">
        <v>0</v>
      </c>
      <c r="AS148" s="6">
        <v>1</v>
      </c>
      <c r="AT148" s="6">
        <v>0</v>
      </c>
      <c r="AU148" s="6">
        <v>2.75</v>
      </c>
      <c r="AV148" s="6">
        <v>1.74</v>
      </c>
      <c r="AW148" s="6">
        <v>157.56</v>
      </c>
      <c r="AX148" s="6">
        <v>38.799999999999997</v>
      </c>
      <c r="AY148" s="6">
        <v>139.51</v>
      </c>
      <c r="AZ148" s="6">
        <v>10.3</v>
      </c>
      <c r="BA148" s="6">
        <v>5.8</v>
      </c>
    </row>
    <row r="149" spans="1:53" x14ac:dyDescent="0.3">
      <c r="A149" s="6">
        <v>873995963</v>
      </c>
      <c r="B149" s="6">
        <v>757924</v>
      </c>
      <c r="C149" s="6">
        <v>1162230</v>
      </c>
      <c r="D149" s="6">
        <v>2636</v>
      </c>
      <c r="E149" s="6" t="s">
        <v>142</v>
      </c>
      <c r="F149" s="6">
        <v>50527</v>
      </c>
      <c r="G149" s="6" t="s">
        <v>175</v>
      </c>
      <c r="H149" s="10">
        <v>45702</v>
      </c>
      <c r="I149" s="10">
        <v>45702</v>
      </c>
      <c r="J149" s="4">
        <v>45702.708333333336</v>
      </c>
      <c r="K149" s="4">
        <v>45702.955324074072</v>
      </c>
      <c r="L149" s="11">
        <v>45702.954629629632</v>
      </c>
      <c r="M149" s="10">
        <v>45702</v>
      </c>
      <c r="N149" s="6" t="s">
        <v>93</v>
      </c>
      <c r="O149" t="s">
        <v>95</v>
      </c>
      <c r="P149" s="6" t="s">
        <v>93</v>
      </c>
      <c r="Q149" t="s">
        <v>217</v>
      </c>
      <c r="R149" t="s">
        <v>73</v>
      </c>
      <c r="S149" s="6">
        <v>758654</v>
      </c>
      <c r="T149" s="6" t="s">
        <v>1</v>
      </c>
      <c r="U149">
        <v>297</v>
      </c>
      <c r="V149" s="6">
        <v>8.1</v>
      </c>
      <c r="W149" s="6">
        <v>23.7</v>
      </c>
      <c r="X149" s="6">
        <v>297.3</v>
      </c>
      <c r="Y149" s="6">
        <v>329.1</v>
      </c>
      <c r="Z149" s="6" t="s">
        <v>63</v>
      </c>
      <c r="AA149" t="s">
        <v>346</v>
      </c>
      <c r="AB149" s="6" t="s">
        <v>90</v>
      </c>
      <c r="AC149" t="s">
        <v>154</v>
      </c>
      <c r="AD149" t="s">
        <v>67</v>
      </c>
      <c r="AE149">
        <v>-1</v>
      </c>
      <c r="AF149">
        <v>0</v>
      </c>
      <c r="AG149">
        <v>0</v>
      </c>
      <c r="AH149" s="6">
        <v>60.3</v>
      </c>
      <c r="AI149" s="6">
        <v>0</v>
      </c>
      <c r="AJ149" s="6">
        <v>0.67600000000000005</v>
      </c>
      <c r="AK149" s="6">
        <v>0.85399999999999998</v>
      </c>
      <c r="AL149" s="8">
        <v>1496.1</v>
      </c>
      <c r="AM149" s="6" t="s">
        <v>68</v>
      </c>
      <c r="AN149" s="6">
        <v>1</v>
      </c>
      <c r="AO149" s="6">
        <v>1</v>
      </c>
      <c r="AP149" s="6">
        <v>0</v>
      </c>
      <c r="AQ149" s="6">
        <v>1</v>
      </c>
      <c r="AR149" s="6">
        <v>0</v>
      </c>
      <c r="AS149" s="6">
        <v>1</v>
      </c>
      <c r="AT149" s="6">
        <v>0</v>
      </c>
      <c r="AU149" s="6">
        <v>2.2799999999999998</v>
      </c>
      <c r="AV149" s="6">
        <v>1.71</v>
      </c>
      <c r="AW149" s="6">
        <v>241.11</v>
      </c>
      <c r="AX149" s="6">
        <v>37.200000000000003</v>
      </c>
      <c r="AY149" s="6">
        <v>185.89</v>
      </c>
      <c r="AZ149" s="6">
        <v>6.1</v>
      </c>
      <c r="BA149" s="6">
        <v>27.3</v>
      </c>
    </row>
    <row r="150" spans="1:53" x14ac:dyDescent="0.3">
      <c r="A150" s="6">
        <v>330879256</v>
      </c>
      <c r="B150" s="6">
        <v>972064</v>
      </c>
      <c r="C150" s="6">
        <v>2818692</v>
      </c>
      <c r="D150" s="6">
        <v>8158</v>
      </c>
      <c r="E150" s="6" t="s">
        <v>84</v>
      </c>
      <c r="F150" s="6">
        <v>50916</v>
      </c>
      <c r="G150" s="6" t="s">
        <v>235</v>
      </c>
      <c r="H150" s="10">
        <v>45790</v>
      </c>
      <c r="I150" s="10">
        <v>45790</v>
      </c>
      <c r="J150" s="4">
        <v>45790.670138888891</v>
      </c>
      <c r="K150" s="4">
        <v>45790.934641203705</v>
      </c>
      <c r="L150" s="11">
        <v>45790.926307870373</v>
      </c>
      <c r="M150" s="10">
        <v>45790</v>
      </c>
      <c r="N150" s="6" t="s">
        <v>176</v>
      </c>
      <c r="O150" t="s">
        <v>227</v>
      </c>
      <c r="P150" s="6" t="s">
        <v>116</v>
      </c>
      <c r="Q150" t="s">
        <v>251</v>
      </c>
      <c r="R150" t="s">
        <v>123</v>
      </c>
      <c r="S150" s="6">
        <v>774899</v>
      </c>
      <c r="T150" s="6" t="s">
        <v>111</v>
      </c>
      <c r="U150">
        <v>327</v>
      </c>
      <c r="V150" s="6">
        <v>18.8</v>
      </c>
      <c r="W150" s="6">
        <v>17.8</v>
      </c>
      <c r="X150" s="6">
        <v>324.7</v>
      </c>
      <c r="Y150" s="6">
        <v>361.3</v>
      </c>
      <c r="Z150" s="6" t="s">
        <v>2</v>
      </c>
      <c r="AA150" t="s">
        <v>347</v>
      </c>
      <c r="AB150" s="6" t="s">
        <v>90</v>
      </c>
      <c r="AC150" t="s">
        <v>66</v>
      </c>
      <c r="AD150" t="s">
        <v>67</v>
      </c>
      <c r="AE150">
        <v>-12</v>
      </c>
      <c r="AF150">
        <v>42</v>
      </c>
      <c r="AG150">
        <v>0</v>
      </c>
      <c r="AH150" s="6">
        <v>45.3</v>
      </c>
      <c r="AI150" s="6">
        <v>0</v>
      </c>
      <c r="AJ150" s="6">
        <v>0.88300000000000001</v>
      </c>
      <c r="AK150" s="6">
        <v>0.51</v>
      </c>
      <c r="AL150" s="8">
        <v>17768.96</v>
      </c>
      <c r="AM150" s="6" t="s">
        <v>114</v>
      </c>
      <c r="AN150" s="6">
        <v>1</v>
      </c>
      <c r="AO150" s="6">
        <v>1</v>
      </c>
      <c r="AP150" s="6">
        <v>0</v>
      </c>
      <c r="AQ150" s="6">
        <v>1</v>
      </c>
      <c r="AR150" s="6">
        <v>0</v>
      </c>
      <c r="AS150" s="6">
        <v>1</v>
      </c>
      <c r="AT150" s="6">
        <v>0</v>
      </c>
      <c r="AU150" s="6">
        <v>2.48</v>
      </c>
      <c r="AV150" s="6">
        <v>1.67</v>
      </c>
      <c r="AW150" s="6">
        <v>250.45</v>
      </c>
      <c r="AX150" s="6">
        <v>39.590000000000003</v>
      </c>
      <c r="AY150" s="6">
        <v>203.14</v>
      </c>
      <c r="AZ150" s="6">
        <v>10</v>
      </c>
      <c r="BA150" s="6">
        <v>30.9</v>
      </c>
    </row>
    <row r="151" spans="1:53" x14ac:dyDescent="0.3">
      <c r="A151" s="6">
        <v>561784080</v>
      </c>
      <c r="B151" s="6">
        <v>728038</v>
      </c>
      <c r="C151" s="6">
        <v>1463060</v>
      </c>
      <c r="D151" s="6">
        <v>7287</v>
      </c>
      <c r="E151" s="6" t="s">
        <v>57</v>
      </c>
      <c r="F151" s="6">
        <v>59900</v>
      </c>
      <c r="G151" s="6" t="s">
        <v>115</v>
      </c>
      <c r="H151" s="10">
        <v>45751</v>
      </c>
      <c r="I151" s="10">
        <v>45751</v>
      </c>
      <c r="J151" s="4">
        <v>45751.802083333336</v>
      </c>
      <c r="K151" s="4">
        <v>45752.090567129628</v>
      </c>
      <c r="L151" s="11">
        <v>45752.056539351855</v>
      </c>
      <c r="M151" s="10">
        <v>45752</v>
      </c>
      <c r="N151" s="6" t="s">
        <v>59</v>
      </c>
      <c r="O151" t="s">
        <v>85</v>
      </c>
      <c r="P151" s="6" t="s">
        <v>132</v>
      </c>
      <c r="Q151" t="s">
        <v>133</v>
      </c>
      <c r="R151" t="s">
        <v>62</v>
      </c>
      <c r="S151" s="6">
        <v>774922</v>
      </c>
      <c r="T151" s="6" t="s">
        <v>1</v>
      </c>
      <c r="U151">
        <v>319</v>
      </c>
      <c r="V151" s="6">
        <v>56.1</v>
      </c>
      <c r="W151" s="6">
        <v>27.2</v>
      </c>
      <c r="X151" s="6">
        <v>320.7</v>
      </c>
      <c r="Y151" s="6">
        <v>404</v>
      </c>
      <c r="Z151" s="6" t="s">
        <v>63</v>
      </c>
      <c r="AA151" t="s">
        <v>348</v>
      </c>
      <c r="AB151" s="6" t="s">
        <v>65</v>
      </c>
      <c r="AC151" t="s">
        <v>154</v>
      </c>
      <c r="AD151" t="s">
        <v>67</v>
      </c>
      <c r="AE151">
        <v>-49</v>
      </c>
      <c r="AF151">
        <v>0</v>
      </c>
      <c r="AG151">
        <v>0</v>
      </c>
      <c r="AH151" s="6">
        <v>40.700000000000003</v>
      </c>
      <c r="AI151" s="6">
        <v>0</v>
      </c>
      <c r="AJ151" s="6">
        <v>0.61099999999999999</v>
      </c>
      <c r="AK151" s="6">
        <v>0.57099999999999995</v>
      </c>
      <c r="AL151" s="8">
        <v>2913.6</v>
      </c>
      <c r="AM151" s="6" t="s">
        <v>68</v>
      </c>
      <c r="AN151" s="6">
        <v>1</v>
      </c>
      <c r="AO151" s="6">
        <v>1</v>
      </c>
      <c r="AP151" s="6">
        <v>0</v>
      </c>
      <c r="AQ151" s="6">
        <v>1</v>
      </c>
      <c r="AR151" s="6">
        <v>0</v>
      </c>
      <c r="AS151" s="6">
        <v>1</v>
      </c>
      <c r="AT151" s="6">
        <v>0</v>
      </c>
      <c r="AU151" s="6">
        <v>2.4</v>
      </c>
      <c r="AW151" s="6">
        <v>250.89</v>
      </c>
      <c r="AX151" s="6">
        <v>46.68</v>
      </c>
      <c r="AY151" s="6">
        <v>248.66</v>
      </c>
      <c r="AZ151" s="6">
        <v>13.6</v>
      </c>
      <c r="BA151" s="6">
        <v>41.6</v>
      </c>
    </row>
    <row r="152" spans="1:53" x14ac:dyDescent="0.3">
      <c r="A152" s="6">
        <v>584853393</v>
      </c>
      <c r="B152" s="6">
        <v>329974</v>
      </c>
      <c r="C152" s="6">
        <v>5641923</v>
      </c>
      <c r="D152" s="6">
        <v>4304</v>
      </c>
      <c r="E152" s="6" t="s">
        <v>84</v>
      </c>
      <c r="F152" s="6">
        <v>53574</v>
      </c>
      <c r="G152" s="6" t="s">
        <v>77</v>
      </c>
      <c r="H152" s="10">
        <v>45842</v>
      </c>
      <c r="I152" s="10">
        <v>45842</v>
      </c>
      <c r="J152" s="4">
        <v>45842.545138888891</v>
      </c>
      <c r="K152" s="4">
        <v>45842.978703703702</v>
      </c>
      <c r="L152" s="11">
        <v>45842.95648148148</v>
      </c>
      <c r="M152" s="10">
        <v>45842</v>
      </c>
      <c r="N152" s="6" t="s">
        <v>170</v>
      </c>
      <c r="O152" t="s">
        <v>189</v>
      </c>
      <c r="P152" s="6" t="s">
        <v>59</v>
      </c>
      <c r="Q152" t="s">
        <v>85</v>
      </c>
      <c r="R152" t="s">
        <v>62</v>
      </c>
      <c r="S152" s="6">
        <v>762371</v>
      </c>
      <c r="T152" s="6" t="s">
        <v>140</v>
      </c>
      <c r="U152">
        <v>547</v>
      </c>
      <c r="V152" s="6">
        <v>9.1</v>
      </c>
      <c r="W152" s="6">
        <v>14.7</v>
      </c>
      <c r="X152" s="6">
        <v>534.5</v>
      </c>
      <c r="Y152" s="6">
        <v>558.29999999999995</v>
      </c>
      <c r="Z152" s="6" t="s">
        <v>63</v>
      </c>
      <c r="AA152" t="s">
        <v>349</v>
      </c>
      <c r="AB152" s="6" t="s">
        <v>75</v>
      </c>
      <c r="AC152" t="s">
        <v>154</v>
      </c>
      <c r="AD152" t="s">
        <v>67</v>
      </c>
      <c r="AE152">
        <v>-32</v>
      </c>
      <c r="AF152">
        <v>0</v>
      </c>
      <c r="AG152">
        <v>0</v>
      </c>
      <c r="AH152" s="6">
        <v>38.700000000000003</v>
      </c>
      <c r="AI152" s="6">
        <v>0</v>
      </c>
      <c r="AJ152" s="6">
        <v>0.48499999999999999</v>
      </c>
      <c r="AK152" s="6">
        <v>0.64400000000000002</v>
      </c>
      <c r="AL152" s="8">
        <v>5775.67</v>
      </c>
      <c r="AM152" s="6" t="s">
        <v>68</v>
      </c>
      <c r="AN152" s="6">
        <v>1</v>
      </c>
      <c r="AO152" s="6">
        <v>1</v>
      </c>
      <c r="AP152" s="6">
        <v>0</v>
      </c>
      <c r="AQ152" s="6">
        <v>1</v>
      </c>
      <c r="AR152" s="6">
        <v>0</v>
      </c>
      <c r="AS152" s="6">
        <v>1</v>
      </c>
      <c r="AT152" s="6">
        <v>0</v>
      </c>
      <c r="AU152" s="6">
        <v>2.12</v>
      </c>
      <c r="AV152" s="6">
        <v>1.4</v>
      </c>
      <c r="AW152" s="6">
        <v>375.05</v>
      </c>
      <c r="AX152" s="6">
        <v>62.23</v>
      </c>
      <c r="AY152" s="6">
        <v>391.5</v>
      </c>
      <c r="AZ152" s="6">
        <v>28.3</v>
      </c>
      <c r="BA152" s="6">
        <v>55.4</v>
      </c>
    </row>
    <row r="153" spans="1:53" x14ac:dyDescent="0.3">
      <c r="A153" s="6">
        <v>345343109</v>
      </c>
      <c r="B153" s="6">
        <v>198246</v>
      </c>
      <c r="C153" s="6">
        <v>9626108</v>
      </c>
      <c r="D153" s="6">
        <v>5555</v>
      </c>
      <c r="E153" s="6" t="s">
        <v>57</v>
      </c>
      <c r="F153" s="6">
        <v>53319</v>
      </c>
      <c r="G153" s="6" t="s">
        <v>127</v>
      </c>
      <c r="H153" s="10">
        <v>46010</v>
      </c>
      <c r="I153" s="10">
        <v>46010</v>
      </c>
      <c r="J153" s="4">
        <v>46010.326388888891</v>
      </c>
      <c r="K153" s="4">
        <v>46010.388888888891</v>
      </c>
      <c r="L153" s="11">
        <v>46010.366666666669</v>
      </c>
      <c r="M153" s="10">
        <v>46010</v>
      </c>
      <c r="N153" s="6" t="s">
        <v>129</v>
      </c>
      <c r="O153" t="s">
        <v>157</v>
      </c>
      <c r="P153" s="6" t="s">
        <v>200</v>
      </c>
      <c r="Q153" t="s">
        <v>201</v>
      </c>
      <c r="R153" t="s">
        <v>62</v>
      </c>
      <c r="S153" s="6">
        <v>797689</v>
      </c>
      <c r="T153" s="6" t="s">
        <v>3</v>
      </c>
      <c r="U153">
        <v>21</v>
      </c>
      <c r="V153" s="6">
        <v>1</v>
      </c>
      <c r="W153" s="6">
        <v>29.6</v>
      </c>
      <c r="X153" s="6">
        <v>29</v>
      </c>
      <c r="Y153" s="6">
        <v>59.6</v>
      </c>
      <c r="Z153" s="6" t="s">
        <v>80</v>
      </c>
      <c r="AA153" t="s">
        <v>350</v>
      </c>
      <c r="AB153" s="6" t="s">
        <v>97</v>
      </c>
      <c r="AC153" t="s">
        <v>154</v>
      </c>
      <c r="AD153" t="s">
        <v>67</v>
      </c>
      <c r="AE153">
        <v>-32</v>
      </c>
      <c r="AF153">
        <v>0</v>
      </c>
      <c r="AG153">
        <v>0</v>
      </c>
      <c r="AH153" s="6">
        <v>34.700000000000003</v>
      </c>
      <c r="AI153" s="6">
        <v>0</v>
      </c>
      <c r="AJ153" s="6">
        <v>0.82099999999999995</v>
      </c>
      <c r="AK153" s="6">
        <v>0.748</v>
      </c>
      <c r="AL153" s="8">
        <v>19683.89</v>
      </c>
      <c r="AM153" s="6" t="s">
        <v>114</v>
      </c>
      <c r="AN153" s="6">
        <v>1</v>
      </c>
      <c r="AO153" s="6">
        <v>1</v>
      </c>
      <c r="AP153" s="6">
        <v>0</v>
      </c>
      <c r="AQ153" s="6">
        <v>1</v>
      </c>
      <c r="AR153" s="6">
        <v>0</v>
      </c>
      <c r="AS153" s="6">
        <v>1</v>
      </c>
      <c r="AT153" s="6">
        <v>0</v>
      </c>
      <c r="AU153" s="6">
        <v>1.83</v>
      </c>
      <c r="AV153" s="6">
        <v>1.1200000000000001</v>
      </c>
      <c r="AW153" s="6">
        <v>52.73</v>
      </c>
      <c r="AX153" s="6">
        <v>10.08</v>
      </c>
      <c r="AY153" s="6">
        <v>32.43</v>
      </c>
      <c r="AZ153" s="6">
        <v>11.5</v>
      </c>
      <c r="BA153" s="6">
        <v>3.2</v>
      </c>
    </row>
    <row r="154" spans="1:53" x14ac:dyDescent="0.3">
      <c r="A154" s="6">
        <v>544328940</v>
      </c>
      <c r="B154" s="6">
        <v>688508</v>
      </c>
      <c r="C154" s="6">
        <v>8930103</v>
      </c>
      <c r="D154" s="6">
        <v>3047</v>
      </c>
      <c r="E154" s="6" t="s">
        <v>225</v>
      </c>
      <c r="F154" s="6">
        <v>51406</v>
      </c>
      <c r="G154" s="6" t="s">
        <v>146</v>
      </c>
      <c r="H154" s="10">
        <v>45867</v>
      </c>
      <c r="I154" s="10">
        <v>45867</v>
      </c>
      <c r="J154" s="4">
        <v>45867.534722222219</v>
      </c>
      <c r="K154" s="4">
        <v>45867.819930555554</v>
      </c>
      <c r="L154" s="11">
        <v>45867.773402777777</v>
      </c>
      <c r="M154" s="10">
        <v>45867</v>
      </c>
      <c r="N154" s="6" t="s">
        <v>59</v>
      </c>
      <c r="O154" t="s">
        <v>99</v>
      </c>
      <c r="P154" s="6" t="s">
        <v>59</v>
      </c>
      <c r="Q154" t="s">
        <v>99</v>
      </c>
      <c r="R154" t="s">
        <v>62</v>
      </c>
      <c r="S154" s="6">
        <v>797593</v>
      </c>
      <c r="T154" s="6" t="s">
        <v>1</v>
      </c>
      <c r="U154">
        <v>296</v>
      </c>
      <c r="V154" s="6">
        <v>18.5</v>
      </c>
      <c r="W154" s="6">
        <v>24</v>
      </c>
      <c r="X154" s="6">
        <v>285.8</v>
      </c>
      <c r="Y154" s="6">
        <v>328.3</v>
      </c>
      <c r="Z154" s="6" t="s">
        <v>80</v>
      </c>
      <c r="AA154" t="s">
        <v>351</v>
      </c>
      <c r="AB154" s="6" t="s">
        <v>75</v>
      </c>
      <c r="AC154" t="s">
        <v>66</v>
      </c>
      <c r="AD154" t="s">
        <v>67</v>
      </c>
      <c r="AE154">
        <v>-67</v>
      </c>
      <c r="AF154">
        <v>0</v>
      </c>
      <c r="AG154">
        <v>0</v>
      </c>
      <c r="AH154" s="6">
        <v>45.7</v>
      </c>
      <c r="AI154" s="6">
        <v>0</v>
      </c>
      <c r="AJ154" s="6">
        <v>0.50600000000000001</v>
      </c>
      <c r="AK154" s="6">
        <v>0.65400000000000003</v>
      </c>
      <c r="AL154" s="8">
        <v>1180.8599999999999</v>
      </c>
      <c r="AM154" s="6" t="s">
        <v>68</v>
      </c>
      <c r="AN154" s="6">
        <v>1</v>
      </c>
      <c r="AO154" s="6">
        <v>1</v>
      </c>
      <c r="AP154" s="6">
        <v>0</v>
      </c>
      <c r="AQ154" s="6">
        <v>1</v>
      </c>
      <c r="AR154" s="6">
        <v>0</v>
      </c>
      <c r="AS154" s="6">
        <v>1</v>
      </c>
      <c r="AT154" s="6">
        <v>0</v>
      </c>
      <c r="AU154" s="6">
        <v>1.83</v>
      </c>
      <c r="AV154" s="6">
        <v>1.1000000000000001</v>
      </c>
      <c r="AW154" s="6">
        <v>211</v>
      </c>
      <c r="AX154" s="6">
        <v>50.66</v>
      </c>
      <c r="AY154" s="6">
        <v>187.49</v>
      </c>
      <c r="AZ154" s="6">
        <v>4</v>
      </c>
      <c r="BA154" s="6">
        <v>58.1</v>
      </c>
    </row>
    <row r="155" spans="1:53" x14ac:dyDescent="0.3">
      <c r="A155" s="6">
        <v>463925049</v>
      </c>
      <c r="B155" s="6">
        <v>872246</v>
      </c>
      <c r="C155" s="6">
        <v>4860684</v>
      </c>
      <c r="D155" s="6">
        <v>6578</v>
      </c>
      <c r="E155" s="6" t="s">
        <v>126</v>
      </c>
      <c r="F155" s="6">
        <v>51241</v>
      </c>
      <c r="G155" s="6" t="s">
        <v>77</v>
      </c>
      <c r="H155" s="10">
        <v>45982</v>
      </c>
      <c r="I155" s="10">
        <v>45982</v>
      </c>
      <c r="J155" s="4">
        <v>45982.625</v>
      </c>
      <c r="K155" s="4">
        <v>45982.767372685186</v>
      </c>
      <c r="L155" s="11">
        <v>45982.768761574072</v>
      </c>
      <c r="M155" s="10">
        <v>45982</v>
      </c>
      <c r="N155" s="6" t="s">
        <v>109</v>
      </c>
      <c r="O155" t="s">
        <v>198</v>
      </c>
      <c r="P155" s="6" t="s">
        <v>170</v>
      </c>
      <c r="Q155" t="s">
        <v>183</v>
      </c>
      <c r="R155" t="s">
        <v>62</v>
      </c>
      <c r="S155" s="6">
        <v>706463</v>
      </c>
      <c r="T155" s="6" t="s">
        <v>1</v>
      </c>
      <c r="U155">
        <v>157</v>
      </c>
      <c r="V155" s="6">
        <v>14.8</v>
      </c>
      <c r="W155" s="6">
        <v>3</v>
      </c>
      <c r="X155" s="6">
        <v>152</v>
      </c>
      <c r="Y155" s="6">
        <v>169.8</v>
      </c>
      <c r="Z155" s="6" t="s">
        <v>2</v>
      </c>
      <c r="AA155" t="s">
        <v>352</v>
      </c>
      <c r="AB155" s="6" t="s">
        <v>90</v>
      </c>
      <c r="AC155" t="s">
        <v>154</v>
      </c>
      <c r="AD155" t="s">
        <v>67</v>
      </c>
      <c r="AE155">
        <v>2</v>
      </c>
      <c r="AF155">
        <v>0</v>
      </c>
      <c r="AG155">
        <v>0</v>
      </c>
      <c r="AH155" s="6">
        <v>39.299999999999997</v>
      </c>
      <c r="AI155" s="6">
        <v>0</v>
      </c>
      <c r="AJ155" s="6">
        <v>0.29099999999999998</v>
      </c>
      <c r="AK155" s="6">
        <v>0.56100000000000005</v>
      </c>
      <c r="AL155" s="8">
        <v>9457.59</v>
      </c>
      <c r="AM155" s="6" t="s">
        <v>114</v>
      </c>
      <c r="AN155" s="6">
        <v>1</v>
      </c>
      <c r="AO155" s="6">
        <v>1</v>
      </c>
      <c r="AP155" s="6">
        <v>0</v>
      </c>
      <c r="AQ155" s="6">
        <v>1</v>
      </c>
      <c r="AR155" s="6">
        <v>0</v>
      </c>
      <c r="AS155" s="6">
        <v>1</v>
      </c>
      <c r="AT155" s="6">
        <v>0</v>
      </c>
      <c r="AU155" s="6">
        <v>2.39</v>
      </c>
      <c r="AV155" s="6">
        <v>1.84</v>
      </c>
      <c r="AW155" s="6">
        <v>126.31</v>
      </c>
      <c r="AX155" s="6">
        <v>17.079999999999998</v>
      </c>
      <c r="AY155" s="6">
        <v>117.82</v>
      </c>
      <c r="AZ155" s="6">
        <v>41.8</v>
      </c>
      <c r="BA155" s="6">
        <v>10.9</v>
      </c>
    </row>
    <row r="156" spans="1:53" x14ac:dyDescent="0.3">
      <c r="A156" s="6">
        <v>988434627</v>
      </c>
      <c r="B156" s="6">
        <v>581741</v>
      </c>
      <c r="C156" s="6">
        <v>3790237</v>
      </c>
      <c r="D156" s="6">
        <v>1995</v>
      </c>
      <c r="E156" s="6" t="s">
        <v>126</v>
      </c>
      <c r="F156" s="6">
        <v>55206</v>
      </c>
      <c r="G156" s="6" t="s">
        <v>115</v>
      </c>
      <c r="H156" s="10">
        <v>45895</v>
      </c>
      <c r="I156" s="10">
        <v>45895</v>
      </c>
      <c r="J156" s="4">
        <v>45895.329861111109</v>
      </c>
      <c r="K156" s="4">
        <v>45895.974479166667</v>
      </c>
      <c r="L156" s="11">
        <v>45895.964062500003</v>
      </c>
      <c r="M156" s="10">
        <v>45895</v>
      </c>
      <c r="N156" s="6" t="s">
        <v>132</v>
      </c>
      <c r="O156" t="s">
        <v>133</v>
      </c>
      <c r="P156" s="6" t="s">
        <v>103</v>
      </c>
      <c r="Q156" t="s">
        <v>204</v>
      </c>
      <c r="R156" t="s">
        <v>73</v>
      </c>
      <c r="S156" s="6">
        <v>771847</v>
      </c>
      <c r="T156" s="6" t="s">
        <v>140</v>
      </c>
      <c r="U156">
        <v>895</v>
      </c>
      <c r="V156" s="6">
        <v>28.1</v>
      </c>
      <c r="W156" s="6">
        <v>43.7</v>
      </c>
      <c r="X156" s="6">
        <v>893</v>
      </c>
      <c r="Y156" s="6">
        <v>964.8</v>
      </c>
      <c r="Z156" s="6" t="s">
        <v>2</v>
      </c>
      <c r="AA156" t="s">
        <v>353</v>
      </c>
      <c r="AB156" s="6" t="s">
        <v>97</v>
      </c>
      <c r="AC156" t="s">
        <v>66</v>
      </c>
      <c r="AD156" t="s">
        <v>67</v>
      </c>
      <c r="AE156">
        <v>-15</v>
      </c>
      <c r="AF156">
        <v>0</v>
      </c>
      <c r="AG156">
        <v>0</v>
      </c>
      <c r="AH156" s="6">
        <v>40.799999999999997</v>
      </c>
      <c r="AI156" s="6">
        <v>0</v>
      </c>
      <c r="AJ156" s="6">
        <v>0.83899999999999997</v>
      </c>
      <c r="AK156" s="6">
        <v>0.60199999999999998</v>
      </c>
      <c r="AL156" s="8">
        <v>63829.62</v>
      </c>
      <c r="AM156" s="6" t="s">
        <v>155</v>
      </c>
      <c r="AN156" s="6">
        <v>1</v>
      </c>
      <c r="AO156" s="6">
        <v>1</v>
      </c>
      <c r="AP156" s="6">
        <v>0</v>
      </c>
      <c r="AQ156" s="6">
        <v>1</v>
      </c>
      <c r="AR156" s="6">
        <v>0</v>
      </c>
      <c r="AS156" s="6">
        <v>1</v>
      </c>
      <c r="AT156" s="6">
        <v>0</v>
      </c>
      <c r="AU156" s="6">
        <v>2.5099999999999998</v>
      </c>
      <c r="AV156" s="6">
        <v>1.6</v>
      </c>
      <c r="AW156" s="6">
        <v>730.3</v>
      </c>
      <c r="AX156" s="6">
        <v>137.13</v>
      </c>
      <c r="AY156" s="6">
        <v>670.39</v>
      </c>
      <c r="AZ156" s="6">
        <v>17.5</v>
      </c>
      <c r="BA156" s="6">
        <v>29.3</v>
      </c>
    </row>
    <row r="157" spans="1:53" x14ac:dyDescent="0.3">
      <c r="A157" s="6">
        <v>586940738</v>
      </c>
      <c r="B157" s="6">
        <v>331148</v>
      </c>
      <c r="C157" s="6">
        <v>8231838</v>
      </c>
      <c r="D157" s="6">
        <v>8734</v>
      </c>
      <c r="E157" s="6" t="s">
        <v>84</v>
      </c>
      <c r="F157" s="6">
        <v>57249</v>
      </c>
      <c r="G157" s="6" t="s">
        <v>77</v>
      </c>
      <c r="H157" s="10">
        <v>45831</v>
      </c>
      <c r="I157" s="10">
        <v>45831</v>
      </c>
      <c r="J157" s="4">
        <v>45831.253472222219</v>
      </c>
      <c r="K157" s="4">
        <v>45831.378923611112</v>
      </c>
      <c r="L157" s="11">
        <v>45831.358090277776</v>
      </c>
      <c r="M157" s="10">
        <v>45831</v>
      </c>
      <c r="N157" s="6" t="s">
        <v>134</v>
      </c>
      <c r="O157" t="s">
        <v>248</v>
      </c>
      <c r="P157" s="6" t="s">
        <v>134</v>
      </c>
      <c r="Q157" t="s">
        <v>135</v>
      </c>
      <c r="R157" t="s">
        <v>73</v>
      </c>
      <c r="S157" s="6">
        <v>752322</v>
      </c>
      <c r="T157" s="6" t="s">
        <v>3</v>
      </c>
      <c r="U157">
        <v>92</v>
      </c>
      <c r="V157" s="6">
        <v>36.299999999999997</v>
      </c>
      <c r="W157" s="6">
        <v>19.5</v>
      </c>
      <c r="X157" s="6">
        <v>86</v>
      </c>
      <c r="Y157" s="6">
        <v>141.80000000000001</v>
      </c>
      <c r="Z157" s="6" t="s">
        <v>63</v>
      </c>
      <c r="AA157" t="s">
        <v>190</v>
      </c>
      <c r="AB157" s="6" t="s">
        <v>97</v>
      </c>
      <c r="AC157" t="s">
        <v>83</v>
      </c>
      <c r="AD157" t="s">
        <v>67</v>
      </c>
      <c r="AE157">
        <v>-30</v>
      </c>
      <c r="AF157">
        <v>0</v>
      </c>
      <c r="AG157">
        <v>0</v>
      </c>
      <c r="AH157" s="6">
        <v>52.8</v>
      </c>
      <c r="AI157" s="6">
        <v>0</v>
      </c>
      <c r="AJ157" s="6">
        <v>0.55600000000000005</v>
      </c>
      <c r="AK157" s="6">
        <v>0.86299999999999999</v>
      </c>
      <c r="AL157" s="8">
        <v>843.53</v>
      </c>
      <c r="AM157" s="6" t="s">
        <v>68</v>
      </c>
      <c r="AN157" s="6">
        <v>1</v>
      </c>
      <c r="AO157" s="6">
        <v>1</v>
      </c>
      <c r="AP157" s="6">
        <v>0</v>
      </c>
      <c r="AQ157" s="6">
        <v>1</v>
      </c>
      <c r="AR157" s="6">
        <v>0</v>
      </c>
      <c r="AS157" s="6">
        <v>1</v>
      </c>
      <c r="AT157" s="6">
        <v>0</v>
      </c>
      <c r="AU157" s="6">
        <v>2.0299999999999998</v>
      </c>
      <c r="AV157" s="6">
        <v>1.6</v>
      </c>
      <c r="AW157" s="6">
        <v>121.02</v>
      </c>
      <c r="AX157" s="6">
        <v>16.350000000000001</v>
      </c>
      <c r="AY157" s="6">
        <v>76.05</v>
      </c>
      <c r="AZ157" s="6">
        <v>5.8</v>
      </c>
      <c r="BA157" s="6">
        <v>18.8</v>
      </c>
    </row>
    <row r="158" spans="1:53" x14ac:dyDescent="0.3">
      <c r="A158" s="6">
        <v>528133274</v>
      </c>
      <c r="B158" s="6">
        <v>662275</v>
      </c>
      <c r="C158" s="6">
        <v>7818496</v>
      </c>
      <c r="D158" s="6">
        <v>8629</v>
      </c>
      <c r="E158" s="6" t="s">
        <v>106</v>
      </c>
      <c r="F158" s="6">
        <v>53133</v>
      </c>
      <c r="G158" s="6" t="s">
        <v>69</v>
      </c>
      <c r="H158" s="10">
        <v>45969</v>
      </c>
      <c r="I158" s="10">
        <v>45969</v>
      </c>
      <c r="J158" s="4">
        <v>45969.215277777781</v>
      </c>
      <c r="K158" s="4">
        <v>45969.545428240737</v>
      </c>
      <c r="L158" s="11">
        <v>45969.700289351851</v>
      </c>
      <c r="M158" s="10">
        <v>45969</v>
      </c>
      <c r="N158" s="6" t="s">
        <v>116</v>
      </c>
      <c r="O158" t="s">
        <v>212</v>
      </c>
      <c r="P158" s="6" t="s">
        <v>150</v>
      </c>
      <c r="Q158" t="s">
        <v>196</v>
      </c>
      <c r="R158" t="s">
        <v>73</v>
      </c>
      <c r="S158" s="6">
        <v>734413</v>
      </c>
      <c r="T158" s="6" t="s">
        <v>1</v>
      </c>
      <c r="U158">
        <v>289</v>
      </c>
      <c r="V158" s="6">
        <v>15.3</v>
      </c>
      <c r="W158" s="6">
        <v>21</v>
      </c>
      <c r="X158" s="6">
        <v>282.2</v>
      </c>
      <c r="Y158" s="6">
        <v>318.5</v>
      </c>
      <c r="Z158" s="6" t="s">
        <v>112</v>
      </c>
      <c r="AA158" t="s">
        <v>354</v>
      </c>
      <c r="AB158" s="6" t="s">
        <v>82</v>
      </c>
      <c r="AC158" t="s">
        <v>76</v>
      </c>
      <c r="AD158" t="s">
        <v>206</v>
      </c>
      <c r="AE158">
        <v>223</v>
      </c>
      <c r="AF158">
        <v>192</v>
      </c>
      <c r="AG158">
        <v>0</v>
      </c>
      <c r="AH158" s="6">
        <v>66</v>
      </c>
      <c r="AI158" s="6">
        <v>0</v>
      </c>
      <c r="AJ158" s="6">
        <v>0.78700000000000003</v>
      </c>
      <c r="AK158" s="6">
        <v>0.65300000000000002</v>
      </c>
      <c r="AL158" s="8">
        <v>7510.19</v>
      </c>
      <c r="AM158" s="6" t="s">
        <v>114</v>
      </c>
      <c r="AN158" s="6">
        <v>1</v>
      </c>
      <c r="AO158" s="6">
        <v>0</v>
      </c>
      <c r="AP158" s="6">
        <v>1</v>
      </c>
      <c r="AQ158" s="6">
        <v>0</v>
      </c>
      <c r="AR158" s="6">
        <v>1</v>
      </c>
      <c r="AS158" s="6">
        <v>0</v>
      </c>
      <c r="AT158" s="6">
        <v>1</v>
      </c>
      <c r="AU158" s="6">
        <v>2.5</v>
      </c>
      <c r="AV158" s="6">
        <v>1.97</v>
      </c>
      <c r="AW158" s="6">
        <v>221.6</v>
      </c>
      <c r="AX158" s="6">
        <v>69.62</v>
      </c>
      <c r="AY158" s="6">
        <v>206.87</v>
      </c>
      <c r="AZ158" s="6">
        <v>31.4</v>
      </c>
      <c r="BA158" s="6">
        <v>57.9</v>
      </c>
    </row>
    <row r="159" spans="1:53" x14ac:dyDescent="0.3">
      <c r="A159" s="6">
        <v>546665485</v>
      </c>
      <c r="B159" s="6">
        <v>482554</v>
      </c>
      <c r="C159" s="6">
        <v>1954280</v>
      </c>
      <c r="D159" s="6">
        <v>4561</v>
      </c>
      <c r="E159" s="6" t="s">
        <v>84</v>
      </c>
      <c r="F159" s="6">
        <v>50798</v>
      </c>
      <c r="G159" s="6" t="s">
        <v>146</v>
      </c>
      <c r="H159" s="10">
        <v>45830</v>
      </c>
      <c r="I159" s="10">
        <v>45830</v>
      </c>
      <c r="J159" s="4">
        <v>45830.416666666664</v>
      </c>
      <c r="K159" s="4">
        <v>45830.818773148145</v>
      </c>
      <c r="L159" s="11">
        <v>45830.81113425926</v>
      </c>
      <c r="M159" s="10">
        <v>45830</v>
      </c>
      <c r="N159" s="6" t="s">
        <v>70</v>
      </c>
      <c r="O159" t="s">
        <v>152</v>
      </c>
      <c r="P159" s="6" t="s">
        <v>176</v>
      </c>
      <c r="Q159" t="s">
        <v>355</v>
      </c>
      <c r="R159" t="s">
        <v>88</v>
      </c>
      <c r="S159" s="6">
        <v>711151</v>
      </c>
      <c r="T159" s="6" t="s">
        <v>111</v>
      </c>
      <c r="U159">
        <v>518</v>
      </c>
      <c r="V159" s="6">
        <v>62.8</v>
      </c>
      <c r="W159" s="6">
        <v>4.5999999999999996</v>
      </c>
      <c r="X159" s="6">
        <v>526.5</v>
      </c>
      <c r="Y159" s="6">
        <v>593.9</v>
      </c>
      <c r="Z159" s="6" t="s">
        <v>80</v>
      </c>
      <c r="AA159" t="s">
        <v>356</v>
      </c>
      <c r="AB159" s="6" t="s">
        <v>75</v>
      </c>
      <c r="AC159" t="s">
        <v>91</v>
      </c>
      <c r="AD159" t="s">
        <v>67</v>
      </c>
      <c r="AE159">
        <v>-11</v>
      </c>
      <c r="AF159">
        <v>0</v>
      </c>
      <c r="AG159">
        <v>0</v>
      </c>
      <c r="AH159" s="6">
        <v>61.8</v>
      </c>
      <c r="AI159" s="6">
        <v>0</v>
      </c>
      <c r="AJ159" s="6">
        <v>0.44800000000000001</v>
      </c>
      <c r="AK159" s="6">
        <v>0.32300000000000001</v>
      </c>
      <c r="AL159" s="8">
        <v>5649.5</v>
      </c>
      <c r="AM159" s="6" t="s">
        <v>68</v>
      </c>
      <c r="AN159" s="6">
        <v>1</v>
      </c>
      <c r="AO159" s="6">
        <v>1</v>
      </c>
      <c r="AP159" s="6">
        <v>0</v>
      </c>
      <c r="AQ159" s="6">
        <v>1</v>
      </c>
      <c r="AR159" s="6">
        <v>0</v>
      </c>
      <c r="AS159" s="6">
        <v>1</v>
      </c>
      <c r="AT159" s="6">
        <v>0</v>
      </c>
      <c r="AU159" s="6">
        <v>2.15</v>
      </c>
      <c r="AV159" s="6">
        <v>1.47</v>
      </c>
      <c r="AW159" s="6">
        <v>423.39</v>
      </c>
      <c r="AX159" s="6">
        <v>92.18</v>
      </c>
      <c r="AY159" s="6">
        <v>344.3</v>
      </c>
      <c r="AZ159" s="6">
        <v>16.100000000000001</v>
      </c>
      <c r="BA159" s="6">
        <v>42</v>
      </c>
    </row>
    <row r="160" spans="1:53" x14ac:dyDescent="0.3">
      <c r="A160" s="6">
        <v>883415470</v>
      </c>
      <c r="B160" s="6">
        <v>377932</v>
      </c>
      <c r="C160" s="6">
        <v>9508103</v>
      </c>
      <c r="D160" s="6">
        <v>6699</v>
      </c>
      <c r="E160" s="6" t="s">
        <v>92</v>
      </c>
      <c r="F160" s="6">
        <v>51523</v>
      </c>
      <c r="G160" s="6" t="s">
        <v>203</v>
      </c>
      <c r="H160" s="10">
        <v>45975</v>
      </c>
      <c r="I160" s="10">
        <v>45975</v>
      </c>
      <c r="J160" s="4">
        <v>45975.795138888891</v>
      </c>
      <c r="K160" s="4">
        <v>45975.959699074076</v>
      </c>
      <c r="L160" s="11">
        <v>45975.927754629629</v>
      </c>
      <c r="M160" s="10">
        <v>45975</v>
      </c>
      <c r="N160" s="6" t="s">
        <v>170</v>
      </c>
      <c r="O160" t="s">
        <v>189</v>
      </c>
      <c r="P160" s="6" t="s">
        <v>86</v>
      </c>
      <c r="Q160" t="s">
        <v>87</v>
      </c>
      <c r="R160" t="s">
        <v>88</v>
      </c>
      <c r="S160" s="6">
        <v>792123</v>
      </c>
      <c r="T160" s="6" t="s">
        <v>1</v>
      </c>
      <c r="U160">
        <v>168</v>
      </c>
      <c r="V160" s="6">
        <v>44.2</v>
      </c>
      <c r="W160" s="6">
        <v>-0.4</v>
      </c>
      <c r="X160" s="6">
        <v>178.8</v>
      </c>
      <c r="Y160" s="6">
        <v>223</v>
      </c>
      <c r="Z160" s="6" t="s">
        <v>112</v>
      </c>
      <c r="AA160" t="s">
        <v>357</v>
      </c>
      <c r="AB160" s="6" t="s">
        <v>65</v>
      </c>
      <c r="AC160" t="s">
        <v>154</v>
      </c>
      <c r="AD160" t="s">
        <v>67</v>
      </c>
      <c r="AE160">
        <v>-46</v>
      </c>
      <c r="AF160">
        <v>0</v>
      </c>
      <c r="AG160">
        <v>0</v>
      </c>
      <c r="AH160" s="6">
        <v>51.2</v>
      </c>
      <c r="AI160" s="6">
        <v>0</v>
      </c>
      <c r="AJ160" s="6">
        <v>0.53900000000000003</v>
      </c>
      <c r="AK160" s="6">
        <v>0.72099999999999997</v>
      </c>
      <c r="AL160" s="8">
        <v>18678.91</v>
      </c>
      <c r="AM160" s="6" t="s">
        <v>114</v>
      </c>
      <c r="AN160" s="6">
        <v>1</v>
      </c>
      <c r="AO160" s="6">
        <v>1</v>
      </c>
      <c r="AP160" s="6">
        <v>0</v>
      </c>
      <c r="AQ160" s="6">
        <v>1</v>
      </c>
      <c r="AR160" s="6">
        <v>0</v>
      </c>
      <c r="AS160" s="6">
        <v>1</v>
      </c>
      <c r="AT160" s="6">
        <v>0</v>
      </c>
      <c r="AU160" s="6">
        <v>2.4300000000000002</v>
      </c>
      <c r="AV160" s="6">
        <v>1.92</v>
      </c>
      <c r="AW160" s="6">
        <v>139.22</v>
      </c>
      <c r="AX160" s="6">
        <v>33.700000000000003</v>
      </c>
      <c r="AY160" s="6">
        <v>157.13</v>
      </c>
      <c r="AZ160" s="6">
        <v>13.9</v>
      </c>
      <c r="BA160" s="6">
        <v>32.700000000000003</v>
      </c>
    </row>
    <row r="161" spans="1:53" x14ac:dyDescent="0.3">
      <c r="A161" s="6">
        <v>202097643</v>
      </c>
      <c r="B161" s="6">
        <v>883300</v>
      </c>
      <c r="C161" s="6">
        <v>9479356</v>
      </c>
      <c r="D161" s="6">
        <v>5413</v>
      </c>
      <c r="E161" s="6" t="s">
        <v>84</v>
      </c>
      <c r="F161" s="6">
        <v>57209</v>
      </c>
      <c r="G161" s="6" t="s">
        <v>127</v>
      </c>
      <c r="H161" s="10">
        <v>45764</v>
      </c>
      <c r="I161" s="10">
        <v>45764</v>
      </c>
      <c r="J161" s="4">
        <v>45764.6875</v>
      </c>
      <c r="K161" s="4">
        <v>45765.082083333335</v>
      </c>
      <c r="L161" s="11">
        <v>45765.078611111108</v>
      </c>
      <c r="M161" s="10">
        <v>45765</v>
      </c>
      <c r="N161" s="6" t="s">
        <v>132</v>
      </c>
      <c r="O161" t="s">
        <v>181</v>
      </c>
      <c r="P161" s="6" t="s">
        <v>132</v>
      </c>
      <c r="Q161" t="s">
        <v>186</v>
      </c>
      <c r="R161" t="s">
        <v>62</v>
      </c>
      <c r="S161" s="6">
        <v>711807</v>
      </c>
      <c r="T161" s="6" t="s">
        <v>111</v>
      </c>
      <c r="U161">
        <v>453</v>
      </c>
      <c r="V161" s="6">
        <v>8.3000000000000007</v>
      </c>
      <c r="W161" s="6">
        <v>0.2</v>
      </c>
      <c r="X161" s="6">
        <v>462.3</v>
      </c>
      <c r="Y161" s="6">
        <v>470.8</v>
      </c>
      <c r="Z161" s="6" t="s">
        <v>63</v>
      </c>
      <c r="AA161" t="s">
        <v>358</v>
      </c>
      <c r="AB161" s="6" t="s">
        <v>90</v>
      </c>
      <c r="AC161" t="s">
        <v>137</v>
      </c>
      <c r="AD161" t="s">
        <v>67</v>
      </c>
      <c r="AE161">
        <v>-5</v>
      </c>
      <c r="AF161">
        <v>0</v>
      </c>
      <c r="AG161">
        <v>0</v>
      </c>
      <c r="AH161" s="6">
        <v>77.5</v>
      </c>
      <c r="AI161" s="6">
        <v>0</v>
      </c>
      <c r="AJ161" s="6">
        <v>0.68700000000000006</v>
      </c>
      <c r="AK161" s="6">
        <v>0.76200000000000001</v>
      </c>
      <c r="AL161" s="8">
        <v>4298.09</v>
      </c>
      <c r="AM161" s="6" t="s">
        <v>68</v>
      </c>
      <c r="AN161" s="6">
        <v>1</v>
      </c>
      <c r="AO161" s="6">
        <v>1</v>
      </c>
      <c r="AP161" s="6">
        <v>0</v>
      </c>
      <c r="AQ161" s="6">
        <v>1</v>
      </c>
      <c r="AR161" s="6">
        <v>0</v>
      </c>
      <c r="AS161" s="6">
        <v>1</v>
      </c>
      <c r="AT161" s="6">
        <v>0</v>
      </c>
      <c r="AU161" s="6">
        <v>2.0299999999999998</v>
      </c>
      <c r="AV161" s="6">
        <v>1.19</v>
      </c>
      <c r="AW161" s="6">
        <v>419.41</v>
      </c>
      <c r="AX161" s="6">
        <v>83.47</v>
      </c>
      <c r="AY161" s="6">
        <v>308.72000000000003</v>
      </c>
      <c r="AZ161" s="6">
        <v>29.3</v>
      </c>
      <c r="BA161" s="6">
        <v>24</v>
      </c>
    </row>
    <row r="162" spans="1:53" x14ac:dyDescent="0.3">
      <c r="A162" s="6">
        <v>435596237</v>
      </c>
      <c r="B162" s="6">
        <v>439902</v>
      </c>
      <c r="C162" s="6">
        <v>2935113</v>
      </c>
      <c r="D162" s="6">
        <v>9815</v>
      </c>
      <c r="E162" s="6" t="s">
        <v>142</v>
      </c>
      <c r="F162" s="6">
        <v>54928</v>
      </c>
      <c r="G162" s="6" t="s">
        <v>175</v>
      </c>
      <c r="H162" s="10">
        <v>45705</v>
      </c>
      <c r="I162" s="10">
        <v>45705</v>
      </c>
      <c r="J162" s="4">
        <v>45705.878472222219</v>
      </c>
      <c r="K162" s="4">
        <v>45705.940972222219</v>
      </c>
      <c r="L162" s="11">
        <v>45705.949305555558</v>
      </c>
      <c r="M162" s="10">
        <v>45705</v>
      </c>
      <c r="N162" s="6" t="s">
        <v>70</v>
      </c>
      <c r="O162" t="s">
        <v>72</v>
      </c>
      <c r="P162" s="6" t="s">
        <v>59</v>
      </c>
      <c r="Q162" t="s">
        <v>85</v>
      </c>
      <c r="R162" t="s">
        <v>62</v>
      </c>
      <c r="S162" s="6">
        <v>752235</v>
      </c>
      <c r="T162" s="6" t="s">
        <v>3</v>
      </c>
      <c r="U162">
        <v>30</v>
      </c>
      <c r="V162" s="6">
        <v>20.6</v>
      </c>
      <c r="W162" s="6">
        <v>27.9</v>
      </c>
      <c r="X162" s="6">
        <v>35</v>
      </c>
      <c r="Y162" s="6">
        <v>83.5</v>
      </c>
      <c r="Z162" s="6" t="s">
        <v>63</v>
      </c>
      <c r="AA162" t="s">
        <v>359</v>
      </c>
      <c r="AB162" s="6" t="s">
        <v>65</v>
      </c>
      <c r="AC162" t="s">
        <v>83</v>
      </c>
      <c r="AD162" t="s">
        <v>67</v>
      </c>
      <c r="AE162">
        <v>12</v>
      </c>
      <c r="AF162">
        <v>0</v>
      </c>
      <c r="AG162">
        <v>0</v>
      </c>
      <c r="AH162" s="6">
        <v>59.9</v>
      </c>
      <c r="AI162" s="6">
        <v>0</v>
      </c>
      <c r="AJ162" s="6">
        <v>0.64100000000000001</v>
      </c>
      <c r="AK162" s="6">
        <v>0.2</v>
      </c>
      <c r="AL162" s="8">
        <v>5117.2299999999996</v>
      </c>
      <c r="AM162" s="6" t="s">
        <v>68</v>
      </c>
      <c r="AN162" s="6">
        <v>1</v>
      </c>
      <c r="AO162" s="6">
        <v>1</v>
      </c>
      <c r="AP162" s="6">
        <v>0</v>
      </c>
      <c r="AQ162" s="6">
        <v>1</v>
      </c>
      <c r="AR162" s="6">
        <v>0</v>
      </c>
      <c r="AS162" s="6">
        <v>1</v>
      </c>
      <c r="AT162" s="6">
        <v>0</v>
      </c>
      <c r="AU162" s="6">
        <v>2.12</v>
      </c>
      <c r="AV162" s="6">
        <v>1.27</v>
      </c>
      <c r="AW162" s="6">
        <v>68.94</v>
      </c>
      <c r="AX162" s="6">
        <v>11.93</v>
      </c>
      <c r="AY162" s="6">
        <v>49.99</v>
      </c>
      <c r="AZ162" s="6">
        <v>45.7</v>
      </c>
      <c r="BA162" s="6">
        <v>37.799999999999997</v>
      </c>
    </row>
    <row r="163" spans="1:53" x14ac:dyDescent="0.3">
      <c r="A163" s="6">
        <v>558234365</v>
      </c>
      <c r="B163" s="6">
        <v>855731</v>
      </c>
      <c r="C163" s="6">
        <v>2724590</v>
      </c>
      <c r="D163" s="6">
        <v>1202</v>
      </c>
      <c r="E163" s="6" t="s">
        <v>211</v>
      </c>
      <c r="F163" s="6">
        <v>52888</v>
      </c>
      <c r="G163" s="6" t="s">
        <v>207</v>
      </c>
      <c r="H163" s="10">
        <v>45970</v>
      </c>
      <c r="I163" s="10">
        <v>45970</v>
      </c>
      <c r="J163" s="4">
        <v>45970.128472222219</v>
      </c>
      <c r="K163" s="4">
        <v>45970.462962962964</v>
      </c>
      <c r="L163" s="11">
        <v>45970.448379629626</v>
      </c>
      <c r="M163" s="10">
        <v>45970</v>
      </c>
      <c r="N163" s="6" t="s">
        <v>200</v>
      </c>
      <c r="O163" t="s">
        <v>201</v>
      </c>
      <c r="P163" s="6" t="s">
        <v>121</v>
      </c>
      <c r="Q163" t="s">
        <v>237</v>
      </c>
      <c r="R163" t="s">
        <v>123</v>
      </c>
      <c r="S163" s="6">
        <v>746616</v>
      </c>
      <c r="T163" s="6" t="s">
        <v>111</v>
      </c>
      <c r="U163">
        <v>383</v>
      </c>
      <c r="V163" s="6">
        <v>31.5</v>
      </c>
      <c r="W163" s="6">
        <v>38.9</v>
      </c>
      <c r="X163" s="6">
        <v>397.8</v>
      </c>
      <c r="Y163" s="6">
        <v>468.2</v>
      </c>
      <c r="Z163" s="6" t="s">
        <v>63</v>
      </c>
      <c r="AA163" t="s">
        <v>360</v>
      </c>
      <c r="AB163" s="6" t="s">
        <v>82</v>
      </c>
      <c r="AC163" t="s">
        <v>91</v>
      </c>
      <c r="AD163" t="s">
        <v>67</v>
      </c>
      <c r="AE163">
        <v>-21</v>
      </c>
      <c r="AF163">
        <v>0</v>
      </c>
      <c r="AG163">
        <v>0</v>
      </c>
      <c r="AH163" s="6">
        <v>74.5</v>
      </c>
      <c r="AI163" s="6">
        <v>0</v>
      </c>
      <c r="AJ163" s="6">
        <v>0.72599999999999998</v>
      </c>
      <c r="AK163" s="6">
        <v>0.64100000000000001</v>
      </c>
      <c r="AL163" s="8">
        <v>46505.38</v>
      </c>
      <c r="AM163" s="6" t="s">
        <v>155</v>
      </c>
      <c r="AN163" s="6">
        <v>1</v>
      </c>
      <c r="AO163" s="6">
        <v>1</v>
      </c>
      <c r="AP163" s="6">
        <v>0</v>
      </c>
      <c r="AQ163" s="6">
        <v>1</v>
      </c>
      <c r="AR163" s="6">
        <v>0</v>
      </c>
      <c r="AS163" s="6">
        <v>1</v>
      </c>
      <c r="AT163" s="6">
        <v>0</v>
      </c>
      <c r="AU163" s="6">
        <v>1.95</v>
      </c>
      <c r="AV163" s="6">
        <v>1.24</v>
      </c>
      <c r="AW163" s="6">
        <v>327.2</v>
      </c>
      <c r="AX163" s="6">
        <v>87.02</v>
      </c>
      <c r="AY163" s="6">
        <v>316.58999999999997</v>
      </c>
      <c r="AZ163" s="6">
        <v>32.200000000000003</v>
      </c>
      <c r="BA163" s="6">
        <v>61.2</v>
      </c>
    </row>
    <row r="164" spans="1:53" x14ac:dyDescent="0.3">
      <c r="A164" s="6">
        <v>435569630</v>
      </c>
      <c r="B164" s="6">
        <v>688508</v>
      </c>
      <c r="C164" s="6">
        <v>8930103</v>
      </c>
      <c r="D164" s="6">
        <v>3047</v>
      </c>
      <c r="E164" s="6" t="s">
        <v>225</v>
      </c>
      <c r="F164" s="6">
        <v>52690</v>
      </c>
      <c r="G164" s="6" t="s">
        <v>164</v>
      </c>
      <c r="H164" s="10">
        <v>45872</v>
      </c>
      <c r="I164" s="10">
        <v>45872</v>
      </c>
      <c r="J164" s="4">
        <v>45872.756944444445</v>
      </c>
      <c r="K164" s="4">
        <v>45873.402349537035</v>
      </c>
      <c r="L164" s="11">
        <v>45873.389155092591</v>
      </c>
      <c r="M164" s="10">
        <v>45873</v>
      </c>
      <c r="N164" s="6" t="s">
        <v>132</v>
      </c>
      <c r="O164" t="s">
        <v>229</v>
      </c>
      <c r="P164" s="6" t="s">
        <v>59</v>
      </c>
      <c r="Q164" t="s">
        <v>99</v>
      </c>
      <c r="R164" t="s">
        <v>62</v>
      </c>
      <c r="S164" s="6">
        <v>778018</v>
      </c>
      <c r="T164" s="6" t="s">
        <v>140</v>
      </c>
      <c r="U164">
        <v>963</v>
      </c>
      <c r="V164" s="6">
        <v>5.4</v>
      </c>
      <c r="W164" s="6">
        <v>19</v>
      </c>
      <c r="X164" s="6">
        <v>961.4</v>
      </c>
      <c r="Y164" s="6">
        <v>985.8</v>
      </c>
      <c r="Z164" s="6" t="s">
        <v>80</v>
      </c>
      <c r="AA164" t="s">
        <v>361</v>
      </c>
      <c r="AB164" s="6" t="s">
        <v>65</v>
      </c>
      <c r="AC164" t="s">
        <v>91</v>
      </c>
      <c r="AD164" t="s">
        <v>67</v>
      </c>
      <c r="AE164">
        <v>-19</v>
      </c>
      <c r="AF164">
        <v>0</v>
      </c>
      <c r="AG164">
        <v>0</v>
      </c>
      <c r="AH164" s="6">
        <v>45.1</v>
      </c>
      <c r="AI164" s="6">
        <v>0</v>
      </c>
      <c r="AJ164" s="6">
        <v>0.78500000000000003</v>
      </c>
      <c r="AK164" s="6">
        <v>0.42</v>
      </c>
      <c r="AL164" s="8">
        <v>17609.07</v>
      </c>
      <c r="AM164" s="6" t="s">
        <v>114</v>
      </c>
      <c r="AN164" s="6">
        <v>1</v>
      </c>
      <c r="AO164" s="6">
        <v>1</v>
      </c>
      <c r="AP164" s="6">
        <v>0</v>
      </c>
      <c r="AQ164" s="6">
        <v>1</v>
      </c>
      <c r="AR164" s="6">
        <v>0</v>
      </c>
      <c r="AS164" s="6">
        <v>1</v>
      </c>
      <c r="AT164" s="6">
        <v>0</v>
      </c>
      <c r="AU164" s="6">
        <v>2.08</v>
      </c>
      <c r="AV164" s="6">
        <v>1.3</v>
      </c>
      <c r="AW164" s="6">
        <v>873.67</v>
      </c>
      <c r="AX164" s="6">
        <v>205.61</v>
      </c>
      <c r="AY164" s="6">
        <v>709.27</v>
      </c>
      <c r="AZ164" s="6">
        <v>4</v>
      </c>
      <c r="BA164" s="6">
        <v>62</v>
      </c>
    </row>
    <row r="165" spans="1:53" x14ac:dyDescent="0.3">
      <c r="A165" s="6">
        <v>814154134</v>
      </c>
      <c r="B165" s="6">
        <v>456699</v>
      </c>
      <c r="C165" s="6">
        <v>1415846</v>
      </c>
      <c r="D165" s="6">
        <v>1197</v>
      </c>
      <c r="E165" s="6" t="s">
        <v>106</v>
      </c>
      <c r="F165" s="6">
        <v>54091</v>
      </c>
      <c r="G165" s="6" t="s">
        <v>127</v>
      </c>
      <c r="H165" s="10">
        <v>45982</v>
      </c>
      <c r="I165" s="10">
        <v>45982</v>
      </c>
      <c r="J165" s="4">
        <v>45982.677083333336</v>
      </c>
      <c r="K165" s="4">
        <v>45983.000219907408</v>
      </c>
      <c r="L165" s="11">
        <v>45982.989108796297</v>
      </c>
      <c r="M165" s="10">
        <v>45982</v>
      </c>
      <c r="N165" s="6" t="s">
        <v>116</v>
      </c>
      <c r="O165" t="s">
        <v>128</v>
      </c>
      <c r="P165" s="6" t="s">
        <v>129</v>
      </c>
      <c r="Q165" t="s">
        <v>157</v>
      </c>
      <c r="R165" t="s">
        <v>123</v>
      </c>
      <c r="S165" s="6">
        <v>778087</v>
      </c>
      <c r="T165" s="6" t="s">
        <v>111</v>
      </c>
      <c r="U165">
        <v>374</v>
      </c>
      <c r="V165" s="6">
        <v>15.2</v>
      </c>
      <c r="W165" s="6">
        <v>16.3</v>
      </c>
      <c r="X165" s="6">
        <v>371.8</v>
      </c>
      <c r="Y165" s="6">
        <v>403.3</v>
      </c>
      <c r="Z165" s="6" t="s">
        <v>2</v>
      </c>
      <c r="AA165" t="s">
        <v>362</v>
      </c>
      <c r="AB165" s="6" t="s">
        <v>90</v>
      </c>
      <c r="AC165" t="s">
        <v>154</v>
      </c>
      <c r="AD165" t="s">
        <v>67</v>
      </c>
      <c r="AE165">
        <v>-16</v>
      </c>
      <c r="AF165">
        <v>0</v>
      </c>
      <c r="AG165">
        <v>0</v>
      </c>
      <c r="AH165" s="6">
        <v>53</v>
      </c>
      <c r="AI165" s="6">
        <v>0</v>
      </c>
      <c r="AJ165" s="6">
        <v>0.63300000000000001</v>
      </c>
      <c r="AK165" s="6">
        <v>0.73599999999999999</v>
      </c>
      <c r="AL165" s="8">
        <v>5942.86</v>
      </c>
      <c r="AM165" s="6" t="s">
        <v>68</v>
      </c>
      <c r="AN165" s="6">
        <v>1</v>
      </c>
      <c r="AO165" s="6">
        <v>1</v>
      </c>
      <c r="AP165" s="6">
        <v>0</v>
      </c>
      <c r="AQ165" s="6">
        <v>1</v>
      </c>
      <c r="AR165" s="6">
        <v>0</v>
      </c>
      <c r="AS165" s="6">
        <v>1</v>
      </c>
      <c r="AT165" s="6">
        <v>0</v>
      </c>
      <c r="AU165" s="6">
        <v>2.5099999999999998</v>
      </c>
      <c r="AV165" s="6">
        <v>1.6</v>
      </c>
      <c r="AW165" s="6">
        <v>260.52</v>
      </c>
      <c r="AX165" s="6">
        <v>64.47</v>
      </c>
      <c r="AY165" s="6">
        <v>236.85</v>
      </c>
      <c r="AZ165" s="6">
        <v>15.2</v>
      </c>
      <c r="BA165" s="6">
        <v>26.7</v>
      </c>
    </row>
    <row r="166" spans="1:53" x14ac:dyDescent="0.3">
      <c r="A166" s="6">
        <v>373685835</v>
      </c>
      <c r="B166" s="6">
        <v>496922</v>
      </c>
      <c r="C166" s="6">
        <v>9075854</v>
      </c>
      <c r="D166" s="6">
        <v>8869</v>
      </c>
      <c r="E166" s="6" t="s">
        <v>84</v>
      </c>
      <c r="F166" s="6">
        <v>57282</v>
      </c>
      <c r="G166" s="6" t="s">
        <v>207</v>
      </c>
      <c r="H166" s="10">
        <v>46000</v>
      </c>
      <c r="I166" s="10">
        <v>46000</v>
      </c>
      <c r="J166" s="4">
        <v>46000.305555555555</v>
      </c>
      <c r="K166" s="4">
        <v>46000.535960648151</v>
      </c>
      <c r="L166" s="11">
        <v>46000.504710648151</v>
      </c>
      <c r="M166" s="10">
        <v>46000</v>
      </c>
      <c r="N166" s="6" t="s">
        <v>93</v>
      </c>
      <c r="O166" t="s">
        <v>95</v>
      </c>
      <c r="P166" s="6" t="s">
        <v>93</v>
      </c>
      <c r="Q166" t="s">
        <v>290</v>
      </c>
      <c r="R166" t="s">
        <v>73</v>
      </c>
      <c r="S166" s="6">
        <v>758654</v>
      </c>
      <c r="T166" s="6" t="s">
        <v>1</v>
      </c>
      <c r="U166">
        <v>232</v>
      </c>
      <c r="V166" s="6">
        <v>56.7</v>
      </c>
      <c r="W166" s="6">
        <v>28.5</v>
      </c>
      <c r="X166" s="6">
        <v>232.1</v>
      </c>
      <c r="Y166" s="6">
        <v>317.3</v>
      </c>
      <c r="Z166" s="6" t="s">
        <v>112</v>
      </c>
      <c r="AA166" t="s">
        <v>363</v>
      </c>
      <c r="AB166" s="6" t="s">
        <v>97</v>
      </c>
      <c r="AC166" t="s">
        <v>66</v>
      </c>
      <c r="AD166" t="s">
        <v>67</v>
      </c>
      <c r="AE166">
        <v>-45</v>
      </c>
      <c r="AF166">
        <v>0</v>
      </c>
      <c r="AG166">
        <v>0</v>
      </c>
      <c r="AH166" s="6">
        <v>54.8</v>
      </c>
      <c r="AI166" s="6">
        <v>0</v>
      </c>
      <c r="AJ166" s="6">
        <v>0.152</v>
      </c>
      <c r="AK166" s="6">
        <v>0.65500000000000003</v>
      </c>
      <c r="AL166" s="8">
        <v>19578.36</v>
      </c>
      <c r="AM166" s="6" t="s">
        <v>114</v>
      </c>
      <c r="AN166" s="6">
        <v>1</v>
      </c>
      <c r="AO166" s="6">
        <v>1</v>
      </c>
      <c r="AP166" s="6">
        <v>0</v>
      </c>
      <c r="AQ166" s="6">
        <v>1</v>
      </c>
      <c r="AR166" s="6">
        <v>0</v>
      </c>
      <c r="AS166" s="6">
        <v>1</v>
      </c>
      <c r="AT166" s="6">
        <v>0</v>
      </c>
      <c r="AU166" s="6">
        <v>2.1800000000000002</v>
      </c>
      <c r="AV166" s="6">
        <v>1.48</v>
      </c>
      <c r="AW166" s="6">
        <v>231.79</v>
      </c>
      <c r="AX166" s="6">
        <v>46.31</v>
      </c>
      <c r="AY166" s="6">
        <v>180.75</v>
      </c>
      <c r="AZ166" s="6">
        <v>9.3000000000000007</v>
      </c>
      <c r="BA166" s="6">
        <v>34.799999999999997</v>
      </c>
    </row>
    <row r="167" spans="1:53" x14ac:dyDescent="0.3">
      <c r="A167" s="6">
        <v>501902658</v>
      </c>
      <c r="B167" s="6">
        <v>245051</v>
      </c>
      <c r="C167" s="6">
        <v>1739653</v>
      </c>
      <c r="D167" s="6">
        <v>4763</v>
      </c>
      <c r="E167" s="6" t="s">
        <v>185</v>
      </c>
      <c r="F167" s="6">
        <v>59433</v>
      </c>
      <c r="G167" s="6" t="s">
        <v>235</v>
      </c>
      <c r="H167" s="10">
        <v>45677</v>
      </c>
      <c r="I167" s="10">
        <v>45677</v>
      </c>
      <c r="J167" s="4">
        <v>45677.944444444445</v>
      </c>
      <c r="K167" s="4">
        <v>45678.032696759263</v>
      </c>
      <c r="L167" s="11">
        <v>45678.022280092591</v>
      </c>
      <c r="M167" s="10">
        <v>45678</v>
      </c>
      <c r="N167" s="6" t="s">
        <v>70</v>
      </c>
      <c r="O167" t="s">
        <v>322</v>
      </c>
      <c r="P167" s="6" t="s">
        <v>121</v>
      </c>
      <c r="Q167" t="s">
        <v>143</v>
      </c>
      <c r="R167" t="s">
        <v>123</v>
      </c>
      <c r="S167" s="6">
        <v>737287</v>
      </c>
      <c r="T167" s="6" t="s">
        <v>3</v>
      </c>
      <c r="U167">
        <v>65</v>
      </c>
      <c r="V167" s="6">
        <v>2.1</v>
      </c>
      <c r="W167" s="6">
        <v>34.299999999999997</v>
      </c>
      <c r="X167" s="6">
        <v>73.599999999999994</v>
      </c>
      <c r="Y167" s="6">
        <v>110</v>
      </c>
      <c r="Z167" s="6" t="s">
        <v>63</v>
      </c>
      <c r="AA167" t="s">
        <v>364</v>
      </c>
      <c r="AB167" s="6" t="s">
        <v>65</v>
      </c>
      <c r="AC167" t="s">
        <v>83</v>
      </c>
      <c r="AD167" t="s">
        <v>67</v>
      </c>
      <c r="AE167">
        <v>-15</v>
      </c>
      <c r="AF167">
        <v>31</v>
      </c>
      <c r="AG167">
        <v>0</v>
      </c>
      <c r="AH167" s="6">
        <v>76.3</v>
      </c>
      <c r="AI167" s="6">
        <v>0</v>
      </c>
      <c r="AJ167" s="6">
        <v>0.71799999999999997</v>
      </c>
      <c r="AK167" s="6">
        <v>0.54</v>
      </c>
      <c r="AL167" s="8">
        <v>2269.9699999999998</v>
      </c>
      <c r="AM167" s="6" t="s">
        <v>68</v>
      </c>
      <c r="AN167" s="6">
        <v>1</v>
      </c>
      <c r="AO167" s="6">
        <v>1</v>
      </c>
      <c r="AP167" s="6">
        <v>0</v>
      </c>
      <c r="AQ167" s="6">
        <v>1</v>
      </c>
      <c r="AR167" s="6">
        <v>0</v>
      </c>
      <c r="AS167" s="6">
        <v>1</v>
      </c>
      <c r="AT167" s="6">
        <v>0</v>
      </c>
      <c r="AU167" s="6">
        <v>2.2599999999999998</v>
      </c>
      <c r="AV167" s="6">
        <v>1.34</v>
      </c>
      <c r="AW167" s="6">
        <v>86.8</v>
      </c>
      <c r="AX167" s="6">
        <v>17.89</v>
      </c>
      <c r="AY167" s="6">
        <v>68.83</v>
      </c>
      <c r="AZ167" s="6">
        <v>12.9</v>
      </c>
      <c r="BA167" s="6">
        <v>68.900000000000006</v>
      </c>
    </row>
    <row r="168" spans="1:53" x14ac:dyDescent="0.3">
      <c r="A168" s="6">
        <v>263894795</v>
      </c>
      <c r="B168" s="6">
        <v>403445</v>
      </c>
      <c r="C168" s="6">
        <v>4652414</v>
      </c>
      <c r="D168" s="6">
        <v>9006</v>
      </c>
      <c r="E168" s="6" t="s">
        <v>57</v>
      </c>
      <c r="F168" s="6">
        <v>56249</v>
      </c>
      <c r="G168" s="6" t="s">
        <v>115</v>
      </c>
      <c r="H168" s="10">
        <v>45840</v>
      </c>
      <c r="I168" s="10">
        <v>45840</v>
      </c>
      <c r="J168" s="4">
        <v>45840.329861111109</v>
      </c>
      <c r="K168" s="4">
        <v>45841.01358796296</v>
      </c>
      <c r="L168" s="11">
        <v>45840.987199074072</v>
      </c>
      <c r="M168" s="10">
        <v>45840</v>
      </c>
      <c r="N168" s="6" t="s">
        <v>103</v>
      </c>
      <c r="O168" t="s">
        <v>285</v>
      </c>
      <c r="P168" s="6" t="s">
        <v>103</v>
      </c>
      <c r="Q168" t="s">
        <v>232</v>
      </c>
      <c r="R168" t="s">
        <v>73</v>
      </c>
      <c r="S168" s="6">
        <v>783084</v>
      </c>
      <c r="T168" s="6" t="s">
        <v>140</v>
      </c>
      <c r="U168">
        <v>848</v>
      </c>
      <c r="V168" s="6">
        <v>41.9</v>
      </c>
      <c r="W168" s="6">
        <v>5.3</v>
      </c>
      <c r="X168" s="6">
        <v>851.5</v>
      </c>
      <c r="Y168" s="6">
        <v>898.7</v>
      </c>
      <c r="Z168" s="6" t="s">
        <v>63</v>
      </c>
      <c r="AA168" t="s">
        <v>365</v>
      </c>
      <c r="AB168" s="6" t="s">
        <v>97</v>
      </c>
      <c r="AC168" t="s">
        <v>125</v>
      </c>
      <c r="AD168" t="s">
        <v>67</v>
      </c>
      <c r="AE168">
        <v>-38</v>
      </c>
      <c r="AF168">
        <v>0</v>
      </c>
      <c r="AG168">
        <v>0</v>
      </c>
      <c r="AH168" s="6">
        <v>51.1</v>
      </c>
      <c r="AI168" s="6">
        <v>0</v>
      </c>
      <c r="AJ168" s="6">
        <v>0.68799999999999994</v>
      </c>
      <c r="AK168" s="6">
        <v>0.33500000000000002</v>
      </c>
      <c r="AL168" s="8">
        <v>18219.45</v>
      </c>
      <c r="AM168" s="6" t="s">
        <v>114</v>
      </c>
      <c r="AN168" s="6">
        <v>1</v>
      </c>
      <c r="AO168" s="6">
        <v>1</v>
      </c>
      <c r="AP168" s="6">
        <v>0</v>
      </c>
      <c r="AQ168" s="6">
        <v>1</v>
      </c>
      <c r="AR168" s="6">
        <v>0</v>
      </c>
      <c r="AS168" s="6">
        <v>1</v>
      </c>
      <c r="AT168" s="6">
        <v>0</v>
      </c>
      <c r="AU168" s="6">
        <v>2.27</v>
      </c>
      <c r="AV168" s="6">
        <v>1.59</v>
      </c>
      <c r="AW168" s="6">
        <v>693.49</v>
      </c>
      <c r="AX168" s="6">
        <v>154.96</v>
      </c>
      <c r="AY168" s="6">
        <v>578.71</v>
      </c>
      <c r="AZ168" s="6">
        <v>12.6</v>
      </c>
      <c r="BA168" s="6">
        <v>22.9</v>
      </c>
    </row>
    <row r="169" spans="1:53" x14ac:dyDescent="0.3">
      <c r="A169" s="6">
        <v>837468465</v>
      </c>
      <c r="B169" s="6">
        <v>559381</v>
      </c>
      <c r="C169" s="6">
        <v>4526280</v>
      </c>
      <c r="D169" s="6">
        <v>9754</v>
      </c>
      <c r="E169" s="6" t="s">
        <v>126</v>
      </c>
      <c r="F169" s="6">
        <v>50690</v>
      </c>
      <c r="G169" s="6" t="s">
        <v>69</v>
      </c>
      <c r="H169" s="10">
        <v>45794</v>
      </c>
      <c r="I169" s="10">
        <v>45794</v>
      </c>
      <c r="J169" s="4">
        <v>45794.777777777781</v>
      </c>
      <c r="K169" s="4">
        <v>45795.068668981483</v>
      </c>
      <c r="L169" s="11">
        <v>45795.056168981479</v>
      </c>
      <c r="M169" s="10">
        <v>45795</v>
      </c>
      <c r="N169" s="6" t="s">
        <v>129</v>
      </c>
      <c r="O169" t="s">
        <v>162</v>
      </c>
      <c r="P169" s="6" t="s">
        <v>116</v>
      </c>
      <c r="Q169" t="s">
        <v>117</v>
      </c>
      <c r="R169" t="s">
        <v>123</v>
      </c>
      <c r="S169" s="6">
        <v>778005</v>
      </c>
      <c r="T169" s="6" t="s">
        <v>1</v>
      </c>
      <c r="U169">
        <v>314</v>
      </c>
      <c r="V169" s="6">
        <v>34.6</v>
      </c>
      <c r="W169" s="6">
        <v>37.799999999999997</v>
      </c>
      <c r="X169" s="6">
        <v>324.39999999999998</v>
      </c>
      <c r="Y169" s="6">
        <v>396.8</v>
      </c>
      <c r="Z169" s="6" t="s">
        <v>2</v>
      </c>
      <c r="AA169" t="s">
        <v>366</v>
      </c>
      <c r="AB169" s="6" t="s">
        <v>65</v>
      </c>
      <c r="AC169" t="s">
        <v>76</v>
      </c>
      <c r="AD169" t="s">
        <v>67</v>
      </c>
      <c r="AE169">
        <v>-18</v>
      </c>
      <c r="AF169">
        <v>0</v>
      </c>
      <c r="AG169">
        <v>0</v>
      </c>
      <c r="AH169" s="6">
        <v>48.6</v>
      </c>
      <c r="AI169" s="6">
        <v>0</v>
      </c>
      <c r="AJ169" s="6">
        <v>0.38700000000000001</v>
      </c>
      <c r="AK169" s="6">
        <v>0.83199999999999996</v>
      </c>
      <c r="AL169" s="8">
        <v>106892</v>
      </c>
      <c r="AM169" s="6" t="s">
        <v>155</v>
      </c>
      <c r="AN169" s="6">
        <v>1</v>
      </c>
      <c r="AO169" s="6">
        <v>1</v>
      </c>
      <c r="AP169" s="6">
        <v>0</v>
      </c>
      <c r="AQ169" s="6">
        <v>1</v>
      </c>
      <c r="AR169" s="6">
        <v>0</v>
      </c>
      <c r="AS169" s="6">
        <v>1</v>
      </c>
      <c r="AT169" s="6">
        <v>0</v>
      </c>
      <c r="AU169" s="6">
        <v>2.37</v>
      </c>
      <c r="AV169" s="6">
        <v>1.54</v>
      </c>
      <c r="AW169" s="6">
        <v>323.98</v>
      </c>
      <c r="AX169" s="6">
        <v>80.040000000000006</v>
      </c>
      <c r="AY169" s="6">
        <v>257.55</v>
      </c>
      <c r="AZ169" s="6">
        <v>25</v>
      </c>
      <c r="BA169" s="6">
        <v>0</v>
      </c>
    </row>
    <row r="170" spans="1:53" x14ac:dyDescent="0.3">
      <c r="A170" s="6">
        <v>609241268</v>
      </c>
      <c r="B170" s="6">
        <v>662275</v>
      </c>
      <c r="C170" s="6">
        <v>7818496</v>
      </c>
      <c r="D170" s="6">
        <v>8629</v>
      </c>
      <c r="E170" s="6" t="s">
        <v>106</v>
      </c>
      <c r="F170" s="6">
        <v>58719</v>
      </c>
      <c r="G170" s="6" t="s">
        <v>115</v>
      </c>
      <c r="H170" s="10">
        <v>45886</v>
      </c>
      <c r="I170" s="10">
        <v>45886</v>
      </c>
      <c r="J170" s="4">
        <v>45886.951388888891</v>
      </c>
      <c r="K170" s="4">
        <v>45887.026226851849</v>
      </c>
      <c r="L170" s="11">
        <v>45887.097060185188</v>
      </c>
      <c r="M170" s="10">
        <v>45887</v>
      </c>
      <c r="N170" s="6" t="s">
        <v>170</v>
      </c>
      <c r="O170" t="s">
        <v>221</v>
      </c>
      <c r="P170" s="6" t="s">
        <v>132</v>
      </c>
      <c r="Q170" t="s">
        <v>186</v>
      </c>
      <c r="R170" t="s">
        <v>62</v>
      </c>
      <c r="S170" s="6">
        <v>765774</v>
      </c>
      <c r="T170" s="6" t="s">
        <v>3</v>
      </c>
      <c r="U170">
        <v>25</v>
      </c>
      <c r="V170" s="6">
        <v>7.3</v>
      </c>
      <c r="W170" s="6">
        <v>9.6999999999999993</v>
      </c>
      <c r="X170" s="6">
        <v>25.4</v>
      </c>
      <c r="Y170" s="6">
        <v>42.4</v>
      </c>
      <c r="Z170" s="6" t="s">
        <v>112</v>
      </c>
      <c r="AA170" t="s">
        <v>367</v>
      </c>
      <c r="AB170" s="6" t="s">
        <v>65</v>
      </c>
      <c r="AC170" t="s">
        <v>91</v>
      </c>
      <c r="AD170" t="s">
        <v>192</v>
      </c>
      <c r="AE170">
        <v>102</v>
      </c>
      <c r="AF170">
        <v>0</v>
      </c>
      <c r="AG170">
        <v>0</v>
      </c>
      <c r="AH170" s="6">
        <v>36</v>
      </c>
      <c r="AI170" s="6">
        <v>0</v>
      </c>
      <c r="AJ170" s="6">
        <v>0.54300000000000004</v>
      </c>
      <c r="AK170" s="6">
        <v>0.82</v>
      </c>
      <c r="AL170" s="8">
        <v>14784.11</v>
      </c>
      <c r="AM170" s="6" t="s">
        <v>114</v>
      </c>
      <c r="AN170" s="6">
        <v>1</v>
      </c>
      <c r="AO170" s="6">
        <v>0</v>
      </c>
      <c r="AP170" s="6">
        <v>1</v>
      </c>
      <c r="AQ170" s="6">
        <v>0</v>
      </c>
      <c r="AR170" s="6">
        <v>1</v>
      </c>
      <c r="AS170" s="6">
        <v>0</v>
      </c>
      <c r="AT170" s="6">
        <v>1</v>
      </c>
      <c r="AU170" s="6">
        <v>2.23</v>
      </c>
      <c r="AV170" s="6">
        <v>1.33</v>
      </c>
      <c r="AW170" s="6">
        <v>30.07</v>
      </c>
      <c r="AX170" s="6">
        <v>6.25</v>
      </c>
      <c r="AY170" s="6">
        <v>25.17</v>
      </c>
      <c r="AZ170" s="6">
        <v>31.4</v>
      </c>
      <c r="BA170" s="6">
        <v>56.7</v>
      </c>
    </row>
    <row r="171" spans="1:53" x14ac:dyDescent="0.3">
      <c r="A171" s="6">
        <v>172083844</v>
      </c>
      <c r="B171" s="6">
        <v>678856</v>
      </c>
      <c r="C171" s="6">
        <v>7728339</v>
      </c>
      <c r="D171" s="6">
        <v>8892</v>
      </c>
      <c r="E171" s="6" t="s">
        <v>57</v>
      </c>
      <c r="F171" s="6">
        <v>51495</v>
      </c>
      <c r="G171" s="6" t="s">
        <v>146</v>
      </c>
      <c r="H171" s="10">
        <v>45947</v>
      </c>
      <c r="I171" s="10">
        <v>45947</v>
      </c>
      <c r="J171" s="4">
        <v>45947.746527777781</v>
      </c>
      <c r="K171" s="4">
        <v>45948.225243055553</v>
      </c>
      <c r="L171" s="11">
        <v>45948.36204861111</v>
      </c>
      <c r="M171" s="10">
        <v>45948</v>
      </c>
      <c r="N171" s="6" t="s">
        <v>176</v>
      </c>
      <c r="O171" t="s">
        <v>316</v>
      </c>
      <c r="P171" s="6" t="s">
        <v>116</v>
      </c>
      <c r="Q171" t="s">
        <v>212</v>
      </c>
      <c r="R171" t="s">
        <v>123</v>
      </c>
      <c r="S171" s="6">
        <v>774899</v>
      </c>
      <c r="T171" s="6" t="s">
        <v>111</v>
      </c>
      <c r="U171">
        <v>422</v>
      </c>
      <c r="V171" s="6">
        <v>57.3</v>
      </c>
      <c r="W171" s="6">
        <v>30.2</v>
      </c>
      <c r="X171" s="6">
        <v>413</v>
      </c>
      <c r="Y171" s="6">
        <v>500.5</v>
      </c>
      <c r="Z171" s="6" t="s">
        <v>2</v>
      </c>
      <c r="AA171" t="s">
        <v>368</v>
      </c>
      <c r="AB171" s="6" t="s">
        <v>90</v>
      </c>
      <c r="AC171" t="s">
        <v>154</v>
      </c>
      <c r="AD171" t="s">
        <v>206</v>
      </c>
      <c r="AE171">
        <v>197</v>
      </c>
      <c r="AF171">
        <v>84</v>
      </c>
      <c r="AG171">
        <v>0</v>
      </c>
      <c r="AH171" s="6">
        <v>31.5</v>
      </c>
      <c r="AI171" s="6">
        <v>0</v>
      </c>
      <c r="AJ171" s="6">
        <v>0.623</v>
      </c>
      <c r="AK171" s="6">
        <v>0.47199999999999998</v>
      </c>
      <c r="AL171" s="8">
        <v>14488.99</v>
      </c>
      <c r="AM171" s="6" t="s">
        <v>114</v>
      </c>
      <c r="AN171" s="6">
        <v>1</v>
      </c>
      <c r="AO171" s="6">
        <v>0</v>
      </c>
      <c r="AP171" s="6">
        <v>1</v>
      </c>
      <c r="AQ171" s="6">
        <v>0</v>
      </c>
      <c r="AR171" s="6">
        <v>1</v>
      </c>
      <c r="AS171" s="6">
        <v>0</v>
      </c>
      <c r="AT171" s="6">
        <v>1</v>
      </c>
      <c r="AU171" s="6">
        <v>2.34</v>
      </c>
      <c r="AV171" s="6">
        <v>1.74</v>
      </c>
      <c r="AW171" s="6">
        <v>424.1</v>
      </c>
      <c r="AX171" s="6">
        <v>53.14</v>
      </c>
      <c r="AY171" s="6">
        <v>280.16000000000003</v>
      </c>
      <c r="AZ171" s="6">
        <v>8.5</v>
      </c>
      <c r="BA171" s="6">
        <v>0</v>
      </c>
    </row>
    <row r="172" spans="1:53" x14ac:dyDescent="0.3">
      <c r="A172" s="6">
        <v>197951867</v>
      </c>
      <c r="B172" s="6">
        <v>234628</v>
      </c>
      <c r="C172" s="6">
        <v>2173965</v>
      </c>
      <c r="D172" s="6">
        <v>5973</v>
      </c>
      <c r="E172" s="6" t="s">
        <v>126</v>
      </c>
      <c r="F172" s="6">
        <v>50892</v>
      </c>
      <c r="G172" s="6" t="s">
        <v>115</v>
      </c>
      <c r="H172" s="10">
        <v>45760</v>
      </c>
      <c r="I172" s="10">
        <v>45760</v>
      </c>
      <c r="J172" s="4">
        <v>45760.454861111109</v>
      </c>
      <c r="K172" s="4">
        <v>45760.6952662037</v>
      </c>
      <c r="L172" s="11">
        <v>45760.691099537034</v>
      </c>
      <c r="M172" s="10">
        <v>45760</v>
      </c>
      <c r="N172" s="6" t="s">
        <v>93</v>
      </c>
      <c r="O172" t="s">
        <v>144</v>
      </c>
      <c r="P172" s="6" t="s">
        <v>86</v>
      </c>
      <c r="Q172" t="s">
        <v>253</v>
      </c>
      <c r="R172" t="s">
        <v>88</v>
      </c>
      <c r="S172" s="6">
        <v>756949</v>
      </c>
      <c r="T172" s="6" t="s">
        <v>1</v>
      </c>
      <c r="U172">
        <v>290</v>
      </c>
      <c r="V172" s="6">
        <v>23.2</v>
      </c>
      <c r="W172" s="6">
        <v>7</v>
      </c>
      <c r="X172" s="6">
        <v>286</v>
      </c>
      <c r="Y172" s="6">
        <v>316.2</v>
      </c>
      <c r="Z172" s="6" t="s">
        <v>63</v>
      </c>
      <c r="AA172" t="s">
        <v>369</v>
      </c>
      <c r="AB172" s="6" t="s">
        <v>75</v>
      </c>
      <c r="AC172" t="s">
        <v>91</v>
      </c>
      <c r="AD172" t="s">
        <v>67</v>
      </c>
      <c r="AE172">
        <v>-6</v>
      </c>
      <c r="AF172">
        <v>0</v>
      </c>
      <c r="AG172">
        <v>0</v>
      </c>
      <c r="AH172" s="6">
        <v>48.8</v>
      </c>
      <c r="AI172" s="6">
        <v>0</v>
      </c>
      <c r="AJ172" s="6">
        <v>0.68899999999999995</v>
      </c>
      <c r="AK172" s="6">
        <v>0.219</v>
      </c>
      <c r="AL172" s="8">
        <v>21178.44</v>
      </c>
      <c r="AM172" s="6" t="s">
        <v>114</v>
      </c>
      <c r="AN172" s="6">
        <v>1</v>
      </c>
      <c r="AO172" s="6">
        <v>1</v>
      </c>
      <c r="AP172" s="6">
        <v>0</v>
      </c>
      <c r="AQ172" s="6">
        <v>1</v>
      </c>
      <c r="AR172" s="6">
        <v>0</v>
      </c>
      <c r="AS172" s="6">
        <v>1</v>
      </c>
      <c r="AT172" s="6">
        <v>0</v>
      </c>
      <c r="AU172" s="6">
        <v>1.98</v>
      </c>
      <c r="AV172" s="6">
        <v>1.43</v>
      </c>
      <c r="AW172" s="6">
        <v>234.5</v>
      </c>
      <c r="AX172" s="6">
        <v>55.55</v>
      </c>
      <c r="AY172" s="6">
        <v>214.15</v>
      </c>
      <c r="AZ172" s="6">
        <v>6.2</v>
      </c>
      <c r="BA172" s="6">
        <v>22.8</v>
      </c>
    </row>
    <row r="173" spans="1:53" x14ac:dyDescent="0.3">
      <c r="A173" s="6">
        <v>993108266</v>
      </c>
      <c r="B173" s="6">
        <v>334053</v>
      </c>
      <c r="C173" s="6">
        <v>6672134</v>
      </c>
      <c r="D173" s="6">
        <v>1466</v>
      </c>
      <c r="E173" s="6" t="s">
        <v>126</v>
      </c>
      <c r="F173" s="6">
        <v>58578</v>
      </c>
      <c r="G173" s="6" t="s">
        <v>69</v>
      </c>
      <c r="H173" s="10">
        <v>45861</v>
      </c>
      <c r="I173" s="10">
        <v>45861</v>
      </c>
      <c r="J173" s="4">
        <v>45861.40625</v>
      </c>
      <c r="K173" s="4">
        <v>45861.536493055559</v>
      </c>
      <c r="L173" s="11">
        <v>45861.510104166664</v>
      </c>
      <c r="M173" s="10">
        <v>45861</v>
      </c>
      <c r="N173" s="6" t="s">
        <v>103</v>
      </c>
      <c r="O173" t="s">
        <v>204</v>
      </c>
      <c r="P173" s="6" t="s">
        <v>103</v>
      </c>
      <c r="Q173" t="s">
        <v>285</v>
      </c>
      <c r="R173" t="s">
        <v>73</v>
      </c>
      <c r="S173" s="6">
        <v>783084</v>
      </c>
      <c r="T173" s="6" t="s">
        <v>3</v>
      </c>
      <c r="U173">
        <v>63</v>
      </c>
      <c r="V173" s="6">
        <v>24.5</v>
      </c>
      <c r="W173" s="6">
        <v>29.5</v>
      </c>
      <c r="X173" s="6">
        <v>69.099999999999994</v>
      </c>
      <c r="Y173" s="6">
        <v>123.1</v>
      </c>
      <c r="Z173" s="6" t="s">
        <v>63</v>
      </c>
      <c r="AA173" t="s">
        <v>370</v>
      </c>
      <c r="AB173" s="6" t="s">
        <v>97</v>
      </c>
      <c r="AC173" t="s">
        <v>125</v>
      </c>
      <c r="AD173" t="s">
        <v>67</v>
      </c>
      <c r="AE173">
        <v>-38</v>
      </c>
      <c r="AF173">
        <v>0</v>
      </c>
      <c r="AG173">
        <v>0</v>
      </c>
      <c r="AH173" s="6">
        <v>62.7</v>
      </c>
      <c r="AI173" s="6">
        <v>0</v>
      </c>
      <c r="AJ173" s="6">
        <v>0.89</v>
      </c>
      <c r="AK173" s="6">
        <v>0.83399999999999996</v>
      </c>
      <c r="AL173" s="8">
        <v>8703.51</v>
      </c>
      <c r="AM173" s="6" t="s">
        <v>114</v>
      </c>
      <c r="AN173" s="6">
        <v>1</v>
      </c>
      <c r="AO173" s="6">
        <v>1</v>
      </c>
      <c r="AP173" s="6">
        <v>0</v>
      </c>
      <c r="AQ173" s="6">
        <v>1</v>
      </c>
      <c r="AR173" s="6">
        <v>0</v>
      </c>
      <c r="AS173" s="6">
        <v>1</v>
      </c>
      <c r="AT173" s="6">
        <v>0</v>
      </c>
      <c r="AU173" s="6">
        <v>2.37</v>
      </c>
      <c r="AW173" s="6">
        <v>80.95</v>
      </c>
      <c r="AX173" s="6">
        <v>26.89</v>
      </c>
      <c r="AY173" s="6">
        <v>87.4</v>
      </c>
      <c r="AZ173" s="6">
        <v>28.7</v>
      </c>
      <c r="BA173" s="6">
        <v>47.2</v>
      </c>
    </row>
    <row r="174" spans="1:53" x14ac:dyDescent="0.3">
      <c r="A174" s="6">
        <v>191659287</v>
      </c>
      <c r="B174" s="6">
        <v>654816</v>
      </c>
      <c r="C174" s="6">
        <v>7117837</v>
      </c>
      <c r="D174" s="6">
        <v>2707</v>
      </c>
      <c r="E174" s="6" t="s">
        <v>84</v>
      </c>
      <c r="F174" s="6">
        <v>59441</v>
      </c>
      <c r="G174" s="6" t="s">
        <v>102</v>
      </c>
      <c r="H174" s="10">
        <v>45916</v>
      </c>
      <c r="I174" s="10">
        <v>45916</v>
      </c>
      <c r="J174" s="4">
        <v>45916.46875</v>
      </c>
      <c r="K174" s="4">
        <v>45916.566250000003</v>
      </c>
      <c r="L174" s="11">
        <v>45916.556527777779</v>
      </c>
      <c r="M174" s="10">
        <v>45916</v>
      </c>
      <c r="N174" s="6" t="s">
        <v>121</v>
      </c>
      <c r="O174" t="s">
        <v>143</v>
      </c>
      <c r="P174" s="6" t="s">
        <v>59</v>
      </c>
      <c r="Q174" t="s">
        <v>85</v>
      </c>
      <c r="R174" t="s">
        <v>62</v>
      </c>
      <c r="S174" s="6">
        <v>702844</v>
      </c>
      <c r="T174" s="6" t="s">
        <v>1</v>
      </c>
      <c r="U174">
        <v>121</v>
      </c>
      <c r="V174" s="6">
        <v>5.7</v>
      </c>
      <c r="W174" s="6">
        <v>5.0999999999999996</v>
      </c>
      <c r="X174" s="6">
        <v>118</v>
      </c>
      <c r="Y174" s="6">
        <v>128.80000000000001</v>
      </c>
      <c r="Z174" s="6" t="s">
        <v>63</v>
      </c>
      <c r="AA174" t="s">
        <v>371</v>
      </c>
      <c r="AB174" s="6" t="s">
        <v>75</v>
      </c>
      <c r="AC174" t="s">
        <v>66</v>
      </c>
      <c r="AD174" t="s">
        <v>67</v>
      </c>
      <c r="AE174">
        <v>-14</v>
      </c>
      <c r="AF174">
        <v>0</v>
      </c>
      <c r="AG174">
        <v>0</v>
      </c>
      <c r="AH174" s="6">
        <v>6.5</v>
      </c>
      <c r="AI174" s="6">
        <v>0</v>
      </c>
      <c r="AJ174" s="6">
        <v>0.629</v>
      </c>
      <c r="AK174" s="6">
        <v>0.81299999999999994</v>
      </c>
      <c r="AL174" s="8">
        <v>25554.76</v>
      </c>
      <c r="AM174" s="6" t="s">
        <v>155</v>
      </c>
      <c r="AN174" s="6">
        <v>1</v>
      </c>
      <c r="AO174" s="6">
        <v>1</v>
      </c>
      <c r="AP174" s="6">
        <v>0</v>
      </c>
      <c r="AQ174" s="6">
        <v>1</v>
      </c>
      <c r="AR174" s="6">
        <v>0</v>
      </c>
      <c r="AS174" s="6">
        <v>1</v>
      </c>
      <c r="AT174" s="6">
        <v>0</v>
      </c>
      <c r="AU174" s="6">
        <v>1.89</v>
      </c>
      <c r="AV174" s="6">
        <v>1.49</v>
      </c>
      <c r="AW174" s="6">
        <v>108.47</v>
      </c>
      <c r="AX174" s="6">
        <v>26.08</v>
      </c>
      <c r="AY174" s="6">
        <v>88.53</v>
      </c>
      <c r="AZ174" s="6">
        <v>8.9</v>
      </c>
      <c r="BA174" s="6">
        <v>9.1999999999999993</v>
      </c>
    </row>
    <row r="175" spans="1:53" x14ac:dyDescent="0.3">
      <c r="A175" s="6">
        <v>200105056</v>
      </c>
      <c r="B175" s="6">
        <v>814825</v>
      </c>
      <c r="C175" s="6">
        <v>7817881</v>
      </c>
      <c r="D175" s="6">
        <v>9958</v>
      </c>
      <c r="E175" s="6" t="s">
        <v>84</v>
      </c>
      <c r="F175" s="6">
        <v>55873</v>
      </c>
      <c r="G175" s="6" t="s">
        <v>146</v>
      </c>
      <c r="H175" s="10">
        <v>45707</v>
      </c>
      <c r="I175" s="10">
        <v>45707</v>
      </c>
      <c r="J175" s="4">
        <v>45707.451388888891</v>
      </c>
      <c r="K175" s="4">
        <v>45707.513888888891</v>
      </c>
      <c r="L175" s="11">
        <v>45707.515972222223</v>
      </c>
      <c r="M175" s="10">
        <v>45707</v>
      </c>
      <c r="N175" s="6" t="s">
        <v>116</v>
      </c>
      <c r="O175" t="s">
        <v>139</v>
      </c>
      <c r="P175" s="6" t="s">
        <v>176</v>
      </c>
      <c r="Q175" t="s">
        <v>316</v>
      </c>
      <c r="R175" t="s">
        <v>88</v>
      </c>
      <c r="S175" s="6">
        <v>791471</v>
      </c>
      <c r="T175" s="6" t="s">
        <v>3</v>
      </c>
      <c r="U175">
        <v>70</v>
      </c>
      <c r="V175" s="6">
        <v>16</v>
      </c>
      <c r="W175" s="6">
        <v>40.200000000000003</v>
      </c>
      <c r="X175" s="6">
        <v>70.599999999999994</v>
      </c>
      <c r="Y175" s="6">
        <v>126.8</v>
      </c>
      <c r="Z175" s="6" t="s">
        <v>63</v>
      </c>
      <c r="AA175" t="s">
        <v>372</v>
      </c>
      <c r="AB175" s="6" t="s">
        <v>75</v>
      </c>
      <c r="AC175" t="s">
        <v>125</v>
      </c>
      <c r="AD175" t="s">
        <v>67</v>
      </c>
      <c r="AE175">
        <v>3</v>
      </c>
      <c r="AF175">
        <v>0</v>
      </c>
      <c r="AG175">
        <v>0</v>
      </c>
      <c r="AH175" s="6">
        <v>37.1</v>
      </c>
      <c r="AI175" s="6">
        <v>0</v>
      </c>
      <c r="AJ175" s="6">
        <v>0.86499999999999999</v>
      </c>
      <c r="AK175" s="6">
        <v>0.46200000000000002</v>
      </c>
      <c r="AL175" s="8">
        <v>1731.53</v>
      </c>
      <c r="AM175" s="6" t="s">
        <v>68</v>
      </c>
      <c r="AN175" s="6">
        <v>1</v>
      </c>
      <c r="AO175" s="6">
        <v>1</v>
      </c>
      <c r="AP175" s="6">
        <v>0</v>
      </c>
      <c r="AQ175" s="6">
        <v>1</v>
      </c>
      <c r="AR175" s="6">
        <v>0</v>
      </c>
      <c r="AS175" s="6">
        <v>1</v>
      </c>
      <c r="AT175" s="6">
        <v>0</v>
      </c>
      <c r="AU175" s="6">
        <v>2.2999999999999998</v>
      </c>
      <c r="AV175" s="6">
        <v>1.63</v>
      </c>
      <c r="AW175" s="6">
        <v>113.31</v>
      </c>
      <c r="AX175" s="6">
        <v>24.22</v>
      </c>
      <c r="AY175" s="6">
        <v>81.63</v>
      </c>
      <c r="AZ175" s="6">
        <v>11.6</v>
      </c>
      <c r="BA175" s="6">
        <v>27.5</v>
      </c>
    </row>
    <row r="176" spans="1:53" x14ac:dyDescent="0.3">
      <c r="A176" s="6">
        <v>563723880</v>
      </c>
      <c r="B176" s="6">
        <v>439902</v>
      </c>
      <c r="C176" s="6">
        <v>2935113</v>
      </c>
      <c r="D176" s="6">
        <v>9815</v>
      </c>
      <c r="E176" s="6" t="s">
        <v>142</v>
      </c>
      <c r="F176" s="6">
        <v>54503</v>
      </c>
      <c r="G176" s="6" t="s">
        <v>164</v>
      </c>
      <c r="H176" s="10">
        <v>45955</v>
      </c>
      <c r="I176" s="10">
        <v>45955</v>
      </c>
      <c r="J176" s="4">
        <v>45955.663194444445</v>
      </c>
      <c r="K176" s="4">
        <v>45955.788194444445</v>
      </c>
      <c r="L176" s="11">
        <v>45955.758333333331</v>
      </c>
      <c r="M176" s="10">
        <v>45955</v>
      </c>
      <c r="N176" s="6" t="s">
        <v>109</v>
      </c>
      <c r="O176" t="s">
        <v>198</v>
      </c>
      <c r="P176" s="6" t="s">
        <v>78</v>
      </c>
      <c r="Q176" t="s">
        <v>147</v>
      </c>
      <c r="R176" t="s">
        <v>88</v>
      </c>
      <c r="S176" s="6">
        <v>717088</v>
      </c>
      <c r="T176" s="6" t="s">
        <v>1</v>
      </c>
      <c r="U176">
        <v>176</v>
      </c>
      <c r="V176" s="6">
        <v>17.600000000000001</v>
      </c>
      <c r="W176" s="6">
        <v>27.8</v>
      </c>
      <c r="X176" s="6">
        <v>177.5</v>
      </c>
      <c r="Y176" s="6">
        <v>222.9</v>
      </c>
      <c r="Z176" s="6" t="s">
        <v>63</v>
      </c>
      <c r="AA176" t="s">
        <v>373</v>
      </c>
      <c r="AB176" s="6" t="s">
        <v>90</v>
      </c>
      <c r="AC176" t="s">
        <v>76</v>
      </c>
      <c r="AD176" t="s">
        <v>67</v>
      </c>
      <c r="AE176">
        <v>-43</v>
      </c>
      <c r="AF176">
        <v>0</v>
      </c>
      <c r="AG176">
        <v>0</v>
      </c>
      <c r="AH176" s="6">
        <v>34.1</v>
      </c>
      <c r="AI176" s="6">
        <v>0</v>
      </c>
      <c r="AJ176" s="6">
        <v>0.68899999999999995</v>
      </c>
      <c r="AK176" s="6">
        <v>0.52400000000000002</v>
      </c>
      <c r="AL176" s="8">
        <v>4353.96</v>
      </c>
      <c r="AM176" s="6" t="s">
        <v>68</v>
      </c>
      <c r="AN176" s="6">
        <v>1</v>
      </c>
      <c r="AO176" s="6">
        <v>1</v>
      </c>
      <c r="AP176" s="6">
        <v>0</v>
      </c>
      <c r="AQ176" s="6">
        <v>1</v>
      </c>
      <c r="AR176" s="6">
        <v>0</v>
      </c>
      <c r="AS176" s="6">
        <v>1</v>
      </c>
      <c r="AT176" s="6">
        <v>0</v>
      </c>
      <c r="AU176" s="6">
        <v>1.9</v>
      </c>
      <c r="AV176" s="6">
        <v>1.43</v>
      </c>
      <c r="AW176" s="6">
        <v>162.57</v>
      </c>
      <c r="AX176" s="6">
        <v>27.01</v>
      </c>
      <c r="AY176" s="6">
        <v>126.26</v>
      </c>
      <c r="AZ176" s="6">
        <v>45.7</v>
      </c>
      <c r="BA176" s="6">
        <v>25.6</v>
      </c>
    </row>
    <row r="177" spans="1:53" x14ac:dyDescent="0.3">
      <c r="A177" s="6">
        <v>203685265</v>
      </c>
      <c r="B177" s="6">
        <v>847581</v>
      </c>
      <c r="C177" s="6">
        <v>3919694</v>
      </c>
      <c r="D177" s="6">
        <v>9050</v>
      </c>
      <c r="E177" s="6" t="s">
        <v>185</v>
      </c>
      <c r="F177" s="6">
        <v>50897</v>
      </c>
      <c r="G177" s="6" t="s">
        <v>164</v>
      </c>
      <c r="H177" s="10">
        <v>45879</v>
      </c>
      <c r="I177" s="10">
        <v>45879</v>
      </c>
      <c r="J177" s="4">
        <v>45879.621527777781</v>
      </c>
      <c r="K177" s="4">
        <v>45879.812152777777</v>
      </c>
      <c r="L177" s="11">
        <v>45879.826041666667</v>
      </c>
      <c r="M177" s="10">
        <v>45879</v>
      </c>
      <c r="N177" s="6" t="s">
        <v>134</v>
      </c>
      <c r="O177" t="s">
        <v>172</v>
      </c>
      <c r="P177" s="6" t="s">
        <v>150</v>
      </c>
      <c r="Q177" t="s">
        <v>265</v>
      </c>
      <c r="R177" t="s">
        <v>73</v>
      </c>
      <c r="S177" s="6">
        <v>797999</v>
      </c>
      <c r="T177" s="6" t="s">
        <v>1</v>
      </c>
      <c r="U177">
        <v>138</v>
      </c>
      <c r="V177" s="6">
        <v>45.4</v>
      </c>
      <c r="W177" s="6">
        <v>7</v>
      </c>
      <c r="X177" s="6">
        <v>148.80000000000001</v>
      </c>
      <c r="Y177" s="6">
        <v>201.2</v>
      </c>
      <c r="Z177" s="6" t="s">
        <v>63</v>
      </c>
      <c r="AA177" t="s">
        <v>374</v>
      </c>
      <c r="AB177" s="6" t="s">
        <v>90</v>
      </c>
      <c r="AC177" t="s">
        <v>91</v>
      </c>
      <c r="AD177" t="s">
        <v>67</v>
      </c>
      <c r="AE177">
        <v>20</v>
      </c>
      <c r="AF177">
        <v>0</v>
      </c>
      <c r="AG177">
        <v>0</v>
      </c>
      <c r="AH177" s="6">
        <v>54.8</v>
      </c>
      <c r="AI177" s="6">
        <v>0</v>
      </c>
      <c r="AJ177" s="6">
        <v>0.78800000000000003</v>
      </c>
      <c r="AK177" s="6">
        <v>0.59699999999999998</v>
      </c>
      <c r="AL177" s="8">
        <v>18623.14</v>
      </c>
      <c r="AM177" s="6" t="s">
        <v>114</v>
      </c>
      <c r="AN177" s="6">
        <v>1</v>
      </c>
      <c r="AO177" s="6">
        <v>0</v>
      </c>
      <c r="AP177" s="6">
        <v>1</v>
      </c>
      <c r="AQ177" s="6">
        <v>0</v>
      </c>
      <c r="AR177" s="6">
        <v>1</v>
      </c>
      <c r="AS177" s="6">
        <v>0</v>
      </c>
      <c r="AT177" s="6">
        <v>1</v>
      </c>
      <c r="AU177" s="6">
        <v>2.42</v>
      </c>
      <c r="AV177" s="6">
        <v>1.51</v>
      </c>
      <c r="AW177" s="6">
        <v>160.34</v>
      </c>
      <c r="AX177" s="6">
        <v>38.19</v>
      </c>
      <c r="AY177" s="6">
        <v>126.63</v>
      </c>
      <c r="AZ177" s="6">
        <v>12.5</v>
      </c>
      <c r="BA177" s="6">
        <v>23.9</v>
      </c>
    </row>
    <row r="178" spans="1:53" x14ac:dyDescent="0.3">
      <c r="A178" s="6">
        <v>899496315</v>
      </c>
      <c r="B178" s="6">
        <v>847581</v>
      </c>
      <c r="C178" s="6">
        <v>3919694</v>
      </c>
      <c r="D178" s="6">
        <v>9050</v>
      </c>
      <c r="E178" s="6" t="s">
        <v>185</v>
      </c>
      <c r="F178" s="6">
        <v>50710</v>
      </c>
      <c r="G178" s="6" t="s">
        <v>146</v>
      </c>
      <c r="H178" s="10">
        <v>46004</v>
      </c>
      <c r="I178" s="10">
        <v>46004</v>
      </c>
      <c r="J178" s="4">
        <v>46004.840277777781</v>
      </c>
      <c r="K178" s="4">
        <v>46005.085914351854</v>
      </c>
      <c r="L178" s="11">
        <v>46005.058831018519</v>
      </c>
      <c r="M178" s="10">
        <v>46005</v>
      </c>
      <c r="N178" s="6" t="s">
        <v>93</v>
      </c>
      <c r="O178" t="s">
        <v>290</v>
      </c>
      <c r="P178" s="6" t="s">
        <v>93</v>
      </c>
      <c r="Q178" t="s">
        <v>290</v>
      </c>
      <c r="R178" t="s">
        <v>73</v>
      </c>
      <c r="S178" s="6">
        <v>758654</v>
      </c>
      <c r="T178" s="6" t="s">
        <v>1</v>
      </c>
      <c r="U178">
        <v>287</v>
      </c>
      <c r="V178" s="6">
        <v>11.5</v>
      </c>
      <c r="W178" s="6">
        <v>32.9</v>
      </c>
      <c r="X178" s="6">
        <v>292.3</v>
      </c>
      <c r="Y178" s="6">
        <v>336.7</v>
      </c>
      <c r="Z178" s="6" t="s">
        <v>63</v>
      </c>
      <c r="AA178" t="s">
        <v>375</v>
      </c>
      <c r="AB178" s="6" t="s">
        <v>65</v>
      </c>
      <c r="AC178" t="s">
        <v>76</v>
      </c>
      <c r="AD178" t="s">
        <v>67</v>
      </c>
      <c r="AE178">
        <v>-39</v>
      </c>
      <c r="AF178">
        <v>0</v>
      </c>
      <c r="AG178">
        <v>0</v>
      </c>
      <c r="AH178" s="6">
        <v>36</v>
      </c>
      <c r="AI178" s="6">
        <v>0</v>
      </c>
      <c r="AJ178" s="6">
        <v>0.56899999999999995</v>
      </c>
      <c r="AK178" s="6">
        <v>0.78600000000000003</v>
      </c>
      <c r="AL178" s="8">
        <v>92249.1</v>
      </c>
      <c r="AM178" s="6" t="s">
        <v>155</v>
      </c>
      <c r="AN178" s="6">
        <v>1</v>
      </c>
      <c r="AO178" s="6">
        <v>1</v>
      </c>
      <c r="AP178" s="6">
        <v>0</v>
      </c>
      <c r="AQ178" s="6">
        <v>1</v>
      </c>
      <c r="AR178" s="6">
        <v>0</v>
      </c>
      <c r="AS178" s="6">
        <v>1</v>
      </c>
      <c r="AT178" s="6">
        <v>0</v>
      </c>
      <c r="AU178" s="6">
        <v>2.25</v>
      </c>
      <c r="AV178" s="6">
        <v>1.51</v>
      </c>
      <c r="AW178" s="6">
        <v>278.23</v>
      </c>
      <c r="AX178" s="6">
        <v>36.96</v>
      </c>
      <c r="AY178" s="6">
        <v>169.79</v>
      </c>
      <c r="AZ178" s="6">
        <v>12.5</v>
      </c>
      <c r="BA178" s="6">
        <v>24.7</v>
      </c>
    </row>
    <row r="179" spans="1:53" x14ac:dyDescent="0.3">
      <c r="A179" s="6">
        <v>893276164</v>
      </c>
      <c r="B179" s="6">
        <v>719176</v>
      </c>
      <c r="C179" s="6">
        <v>2130789</v>
      </c>
      <c r="D179" s="6">
        <v>6311</v>
      </c>
      <c r="E179" s="6" t="s">
        <v>211</v>
      </c>
      <c r="F179" s="6">
        <v>53695</v>
      </c>
      <c r="G179" s="6" t="s">
        <v>127</v>
      </c>
      <c r="H179" s="10">
        <v>45781</v>
      </c>
      <c r="I179" s="10">
        <v>45781</v>
      </c>
      <c r="J179" s="4">
        <v>45781.104166666664</v>
      </c>
      <c r="K179" s="4">
        <v>45781.43546296296</v>
      </c>
      <c r="L179" s="11">
        <v>45781.447962962964</v>
      </c>
      <c r="M179" s="10">
        <v>45781</v>
      </c>
      <c r="N179" s="6" t="s">
        <v>86</v>
      </c>
      <c r="O179" t="s">
        <v>108</v>
      </c>
      <c r="P179" s="6" t="s">
        <v>170</v>
      </c>
      <c r="Q179" t="s">
        <v>171</v>
      </c>
      <c r="R179" t="s">
        <v>62</v>
      </c>
      <c r="S179" s="6">
        <v>743829</v>
      </c>
      <c r="T179" s="6" t="s">
        <v>111</v>
      </c>
      <c r="U179">
        <v>409</v>
      </c>
      <c r="V179" s="6">
        <v>24.6</v>
      </c>
      <c r="W179" s="6">
        <v>1.3</v>
      </c>
      <c r="X179" s="6">
        <v>413.1</v>
      </c>
      <c r="Y179" s="6">
        <v>439</v>
      </c>
      <c r="Z179" s="6" t="s">
        <v>63</v>
      </c>
      <c r="AA179" t="s">
        <v>376</v>
      </c>
      <c r="AB179" s="6" t="s">
        <v>82</v>
      </c>
      <c r="AC179" t="s">
        <v>91</v>
      </c>
      <c r="AD179" t="s">
        <v>67</v>
      </c>
      <c r="AE179">
        <v>18</v>
      </c>
      <c r="AF179">
        <v>0</v>
      </c>
      <c r="AG179">
        <v>0.3</v>
      </c>
      <c r="AH179" s="6">
        <v>25.9</v>
      </c>
      <c r="AI179" s="6">
        <v>0</v>
      </c>
      <c r="AJ179" s="6">
        <v>0.624</v>
      </c>
      <c r="AK179" s="6">
        <v>0.54100000000000004</v>
      </c>
      <c r="AL179" s="8">
        <v>2983.31</v>
      </c>
      <c r="AM179" s="6" t="s">
        <v>68</v>
      </c>
      <c r="AN179" s="6">
        <v>1</v>
      </c>
      <c r="AO179" s="6">
        <v>0</v>
      </c>
      <c r="AP179" s="6">
        <v>1</v>
      </c>
      <c r="AQ179" s="6">
        <v>0</v>
      </c>
      <c r="AR179" s="6">
        <v>1</v>
      </c>
      <c r="AS179" s="6">
        <v>0</v>
      </c>
      <c r="AT179" s="6">
        <v>1</v>
      </c>
      <c r="AU179" s="6">
        <v>2.08</v>
      </c>
      <c r="AV179" s="6">
        <v>1.45</v>
      </c>
      <c r="AW179" s="6">
        <v>381.69</v>
      </c>
      <c r="AX179" s="6">
        <v>69.92</v>
      </c>
      <c r="AY179" s="6">
        <v>266.97000000000003</v>
      </c>
      <c r="AZ179" s="6">
        <v>17</v>
      </c>
      <c r="BA179" s="6">
        <v>51.9</v>
      </c>
    </row>
    <row r="180" spans="1:53" x14ac:dyDescent="0.3">
      <c r="A180" s="6">
        <v>500126515</v>
      </c>
      <c r="B180" s="6">
        <v>656116</v>
      </c>
      <c r="C180" s="6">
        <v>9996207</v>
      </c>
      <c r="D180" s="6">
        <v>5061</v>
      </c>
      <c r="E180" s="6" t="s">
        <v>92</v>
      </c>
      <c r="F180" s="6">
        <v>52686</v>
      </c>
      <c r="G180" s="6" t="s">
        <v>127</v>
      </c>
      <c r="H180" s="10">
        <v>45697</v>
      </c>
      <c r="I180" s="10">
        <v>45697</v>
      </c>
      <c r="J180" s="4">
        <v>45697.645833333336</v>
      </c>
      <c r="K180" s="4">
        <v>45698.12699074074</v>
      </c>
      <c r="L180" s="11">
        <v>45698.099907407406</v>
      </c>
      <c r="M180" s="10">
        <v>45698</v>
      </c>
      <c r="N180" s="6" t="s">
        <v>116</v>
      </c>
      <c r="O180" t="s">
        <v>212</v>
      </c>
      <c r="P180" s="6" t="s">
        <v>86</v>
      </c>
      <c r="Q180" t="s">
        <v>253</v>
      </c>
      <c r="R180" t="s">
        <v>88</v>
      </c>
      <c r="S180" s="6">
        <v>741275</v>
      </c>
      <c r="T180" s="6" t="s">
        <v>111</v>
      </c>
      <c r="U180">
        <v>504</v>
      </c>
      <c r="V180" s="6">
        <v>37.200000000000003</v>
      </c>
      <c r="W180" s="6">
        <v>42.4</v>
      </c>
      <c r="X180" s="6">
        <v>504.9</v>
      </c>
      <c r="Y180" s="6">
        <v>584.5</v>
      </c>
      <c r="Z180" s="6" t="s">
        <v>63</v>
      </c>
      <c r="AA180" t="s">
        <v>377</v>
      </c>
      <c r="AB180" s="6" t="s">
        <v>90</v>
      </c>
      <c r="AC180" t="s">
        <v>91</v>
      </c>
      <c r="AD180" t="s">
        <v>67</v>
      </c>
      <c r="AE180">
        <v>-39</v>
      </c>
      <c r="AF180">
        <v>0</v>
      </c>
      <c r="AG180">
        <v>0</v>
      </c>
      <c r="AH180" s="6">
        <v>37</v>
      </c>
      <c r="AI180" s="6">
        <v>0</v>
      </c>
      <c r="AJ180" s="6">
        <v>0.61799999999999999</v>
      </c>
      <c r="AK180" s="6">
        <v>0.74299999999999999</v>
      </c>
      <c r="AL180" s="8">
        <v>21481.18</v>
      </c>
      <c r="AM180" s="6" t="s">
        <v>114</v>
      </c>
      <c r="AN180" s="6">
        <v>1</v>
      </c>
      <c r="AO180" s="6">
        <v>1</v>
      </c>
      <c r="AP180" s="6">
        <v>0</v>
      </c>
      <c r="AQ180" s="6">
        <v>1</v>
      </c>
      <c r="AR180" s="6">
        <v>0</v>
      </c>
      <c r="AS180" s="6">
        <v>1</v>
      </c>
      <c r="AT180" s="6">
        <v>0</v>
      </c>
      <c r="AU180" s="6">
        <v>2.4</v>
      </c>
      <c r="AV180" s="6">
        <v>1.68</v>
      </c>
      <c r="AW180" s="6">
        <v>397.11</v>
      </c>
      <c r="AX180" s="6">
        <v>84.46</v>
      </c>
      <c r="AY180" s="6">
        <v>390.15</v>
      </c>
      <c r="AZ180" s="6">
        <v>0.1</v>
      </c>
      <c r="BA180" s="6">
        <v>9.6999999999999993</v>
      </c>
    </row>
    <row r="181" spans="1:53" x14ac:dyDescent="0.3">
      <c r="A181" s="6">
        <v>971630639</v>
      </c>
      <c r="B181" s="6">
        <v>892495</v>
      </c>
      <c r="C181" s="6">
        <v>5394880</v>
      </c>
      <c r="D181" s="6">
        <v>2291</v>
      </c>
      <c r="E181" s="6" t="s">
        <v>142</v>
      </c>
      <c r="F181" s="6">
        <v>57188</v>
      </c>
      <c r="G181" s="6" t="s">
        <v>107</v>
      </c>
      <c r="H181" s="10">
        <v>45842</v>
      </c>
      <c r="I181" s="10">
        <v>45842</v>
      </c>
      <c r="J181" s="4">
        <v>45842.930555555555</v>
      </c>
      <c r="K181" s="4">
        <v>45843.142685185187</v>
      </c>
      <c r="L181" s="11">
        <v>45843.129490740743</v>
      </c>
      <c r="M181" s="10">
        <v>45843</v>
      </c>
      <c r="N181" s="6" t="s">
        <v>86</v>
      </c>
      <c r="O181" t="s">
        <v>87</v>
      </c>
      <c r="P181" s="6" t="s">
        <v>176</v>
      </c>
      <c r="Q181" t="s">
        <v>316</v>
      </c>
      <c r="R181" t="s">
        <v>88</v>
      </c>
      <c r="S181" s="6">
        <v>788294</v>
      </c>
      <c r="T181" s="6" t="s">
        <v>1</v>
      </c>
      <c r="U181">
        <v>278</v>
      </c>
      <c r="V181" s="6">
        <v>44.3</v>
      </c>
      <c r="W181" s="6">
        <v>18.3</v>
      </c>
      <c r="X181" s="6">
        <v>273</v>
      </c>
      <c r="Y181" s="6">
        <v>335.6</v>
      </c>
      <c r="Z181" s="6" t="s">
        <v>80</v>
      </c>
      <c r="AA181" t="s">
        <v>378</v>
      </c>
      <c r="AB181" s="6" t="s">
        <v>65</v>
      </c>
      <c r="AC181" t="s">
        <v>154</v>
      </c>
      <c r="AD181" t="s">
        <v>67</v>
      </c>
      <c r="AE181">
        <v>-19</v>
      </c>
      <c r="AF181">
        <v>0</v>
      </c>
      <c r="AG181">
        <v>0</v>
      </c>
      <c r="AH181" s="6">
        <v>34.200000000000003</v>
      </c>
      <c r="AI181" s="6">
        <v>0</v>
      </c>
      <c r="AJ181" s="6">
        <v>0.81599999999999995</v>
      </c>
      <c r="AK181" s="6">
        <v>0.45600000000000002</v>
      </c>
      <c r="AL181" s="8">
        <v>13108.83</v>
      </c>
      <c r="AM181" s="6" t="s">
        <v>114</v>
      </c>
      <c r="AN181" s="6">
        <v>1</v>
      </c>
      <c r="AO181" s="6">
        <v>1</v>
      </c>
      <c r="AP181" s="6">
        <v>0</v>
      </c>
      <c r="AQ181" s="6">
        <v>1</v>
      </c>
      <c r="AR181" s="6">
        <v>0</v>
      </c>
      <c r="AS181" s="6">
        <v>1</v>
      </c>
      <c r="AT181" s="6">
        <v>0</v>
      </c>
      <c r="AU181" s="6">
        <v>2.25</v>
      </c>
      <c r="AV181" s="6">
        <v>1.66</v>
      </c>
      <c r="AW181" s="6">
        <v>265.45999999999998</v>
      </c>
      <c r="AX181" s="6">
        <v>70.02</v>
      </c>
      <c r="AY181" s="6">
        <v>181.31</v>
      </c>
      <c r="AZ181" s="6">
        <v>8.6</v>
      </c>
      <c r="BA181" s="6">
        <v>33.6</v>
      </c>
    </row>
    <row r="182" spans="1:53" x14ac:dyDescent="0.3">
      <c r="A182" s="6">
        <v>239710404</v>
      </c>
      <c r="B182" s="6">
        <v>214975</v>
      </c>
      <c r="C182" s="6">
        <v>8412769</v>
      </c>
      <c r="D182" s="6">
        <v>8554</v>
      </c>
      <c r="E182" s="6" t="s">
        <v>84</v>
      </c>
      <c r="F182" s="6">
        <v>55778</v>
      </c>
      <c r="G182" s="6" t="s">
        <v>127</v>
      </c>
      <c r="H182" s="10">
        <v>45689</v>
      </c>
      <c r="I182" s="10">
        <v>45689</v>
      </c>
      <c r="J182" s="4">
        <v>45689.652777777781</v>
      </c>
      <c r="K182" s="4">
        <v>45689.733622685184</v>
      </c>
      <c r="L182" s="11">
        <v>45689.718344907407</v>
      </c>
      <c r="M182" s="10">
        <v>45689</v>
      </c>
      <c r="N182" s="6" t="s">
        <v>176</v>
      </c>
      <c r="O182" t="s">
        <v>177</v>
      </c>
      <c r="P182" s="6" t="s">
        <v>93</v>
      </c>
      <c r="Q182" t="s">
        <v>217</v>
      </c>
      <c r="R182" t="s">
        <v>73</v>
      </c>
      <c r="S182" s="6">
        <v>799881</v>
      </c>
      <c r="T182" s="6" t="s">
        <v>3</v>
      </c>
      <c r="U182">
        <v>82</v>
      </c>
      <c r="V182" s="6">
        <v>40.299999999999997</v>
      </c>
      <c r="W182" s="6">
        <v>2.4</v>
      </c>
      <c r="X182" s="6">
        <v>83.5</v>
      </c>
      <c r="Y182" s="6">
        <v>126.2</v>
      </c>
      <c r="Z182" s="6" t="s">
        <v>2</v>
      </c>
      <c r="AA182" t="s">
        <v>379</v>
      </c>
      <c r="AB182" s="6" t="s">
        <v>90</v>
      </c>
      <c r="AC182" t="s">
        <v>76</v>
      </c>
      <c r="AD182" t="s">
        <v>67</v>
      </c>
      <c r="AE182">
        <v>-22</v>
      </c>
      <c r="AF182">
        <v>73</v>
      </c>
      <c r="AG182">
        <v>0</v>
      </c>
      <c r="AH182" s="6">
        <v>48.2</v>
      </c>
      <c r="AI182" s="6">
        <v>0</v>
      </c>
      <c r="AJ182" s="6">
        <v>0.66400000000000003</v>
      </c>
      <c r="AK182" s="6">
        <v>0.69699999999999995</v>
      </c>
      <c r="AL182" s="8">
        <v>8176.9</v>
      </c>
      <c r="AM182" s="6" t="s">
        <v>68</v>
      </c>
      <c r="AN182" s="6">
        <v>1</v>
      </c>
      <c r="AO182" s="6">
        <v>1</v>
      </c>
      <c r="AP182" s="6">
        <v>0</v>
      </c>
      <c r="AQ182" s="6">
        <v>1</v>
      </c>
      <c r="AR182" s="6">
        <v>0</v>
      </c>
      <c r="AS182" s="6">
        <v>1</v>
      </c>
      <c r="AT182" s="6">
        <v>0</v>
      </c>
      <c r="AU182" s="6">
        <v>2.4500000000000002</v>
      </c>
      <c r="AV182" s="6">
        <v>1.85</v>
      </c>
      <c r="AW182" s="6">
        <v>106.27</v>
      </c>
      <c r="AX182" s="6">
        <v>15.04</v>
      </c>
      <c r="AY182" s="6">
        <v>75.77</v>
      </c>
      <c r="AZ182" s="6">
        <v>18.2</v>
      </c>
      <c r="BA182" s="6">
        <v>38.4</v>
      </c>
    </row>
    <row r="183" spans="1:53" x14ac:dyDescent="0.3">
      <c r="A183" s="6">
        <v>697398528</v>
      </c>
      <c r="B183" s="6">
        <v>781453</v>
      </c>
      <c r="C183" s="6">
        <v>7829332</v>
      </c>
      <c r="D183" s="6">
        <v>3734</v>
      </c>
      <c r="E183" s="6" t="s">
        <v>106</v>
      </c>
      <c r="F183" s="6">
        <v>57768</v>
      </c>
      <c r="G183" s="6" t="s">
        <v>207</v>
      </c>
      <c r="H183" s="10">
        <v>46011</v>
      </c>
      <c r="I183" s="10">
        <v>46011</v>
      </c>
      <c r="J183" s="4">
        <v>46011.385416666664</v>
      </c>
      <c r="K183" s="4">
        <v>46011.674062500002</v>
      </c>
      <c r="L183" s="11">
        <v>46011.640729166669</v>
      </c>
      <c r="M183" s="10">
        <v>46011</v>
      </c>
      <c r="N183" s="6" t="s">
        <v>103</v>
      </c>
      <c r="O183" t="s">
        <v>232</v>
      </c>
      <c r="P183" s="6" t="s">
        <v>78</v>
      </c>
      <c r="Q183" t="s">
        <v>222</v>
      </c>
      <c r="R183" t="s">
        <v>88</v>
      </c>
      <c r="S183" s="6">
        <v>717677</v>
      </c>
      <c r="T183" s="6" t="s">
        <v>111</v>
      </c>
      <c r="U183">
        <v>291</v>
      </c>
      <c r="V183" s="6">
        <v>24.5</v>
      </c>
      <c r="W183" s="6">
        <v>2.6</v>
      </c>
      <c r="X183" s="6">
        <v>304.10000000000002</v>
      </c>
      <c r="Y183" s="6">
        <v>331.2</v>
      </c>
      <c r="Z183" s="6" t="s">
        <v>63</v>
      </c>
      <c r="AA183" t="s">
        <v>380</v>
      </c>
      <c r="AB183" s="6" t="s">
        <v>97</v>
      </c>
      <c r="AC183" t="s">
        <v>76</v>
      </c>
      <c r="AD183" t="s">
        <v>67</v>
      </c>
      <c r="AE183">
        <v>-48</v>
      </c>
      <c r="AF183">
        <v>0</v>
      </c>
      <c r="AG183">
        <v>0</v>
      </c>
      <c r="AH183" s="6">
        <v>44.1</v>
      </c>
      <c r="AI183" s="6">
        <v>0</v>
      </c>
      <c r="AJ183" s="6">
        <v>0.77700000000000002</v>
      </c>
      <c r="AK183" s="6">
        <v>0.58799999999999997</v>
      </c>
      <c r="AL183" s="8">
        <v>5574.21</v>
      </c>
      <c r="AM183" s="6" t="s">
        <v>68</v>
      </c>
      <c r="AN183" s="6">
        <v>1</v>
      </c>
      <c r="AO183" s="6">
        <v>1</v>
      </c>
      <c r="AP183" s="6">
        <v>0</v>
      </c>
      <c r="AQ183" s="6">
        <v>1</v>
      </c>
      <c r="AR183" s="6">
        <v>0</v>
      </c>
      <c r="AS183" s="6">
        <v>1</v>
      </c>
      <c r="AT183" s="6">
        <v>0</v>
      </c>
      <c r="AU183" s="6">
        <v>2.2400000000000002</v>
      </c>
      <c r="AV183" s="6">
        <v>1.63</v>
      </c>
      <c r="AW183" s="6">
        <v>225.13</v>
      </c>
      <c r="AX183" s="6">
        <v>64.47</v>
      </c>
      <c r="AY183" s="6">
        <v>164.8</v>
      </c>
      <c r="AZ183" s="6">
        <v>25.9</v>
      </c>
      <c r="BA183" s="6">
        <v>84.9</v>
      </c>
    </row>
    <row r="184" spans="1:53" x14ac:dyDescent="0.3">
      <c r="A184" s="6">
        <v>164404084</v>
      </c>
      <c r="B184" s="6">
        <v>930555</v>
      </c>
      <c r="C184" s="6">
        <v>2262382</v>
      </c>
      <c r="D184" s="6">
        <v>1698</v>
      </c>
      <c r="E184" s="6" t="s">
        <v>57</v>
      </c>
      <c r="F184" s="6">
        <v>55013</v>
      </c>
      <c r="G184" s="6" t="s">
        <v>149</v>
      </c>
      <c r="H184" s="10">
        <v>45672</v>
      </c>
      <c r="I184" s="10">
        <v>45672</v>
      </c>
      <c r="J184" s="4">
        <v>45672.298611111109</v>
      </c>
      <c r="K184" s="4">
        <v>45672.463125000002</v>
      </c>
      <c r="L184" s="11">
        <v>45672.461041666669</v>
      </c>
      <c r="M184" s="10">
        <v>45672</v>
      </c>
      <c r="N184" s="6" t="s">
        <v>170</v>
      </c>
      <c r="O184" t="s">
        <v>183</v>
      </c>
      <c r="P184" s="6" t="s">
        <v>200</v>
      </c>
      <c r="Q184" t="s">
        <v>201</v>
      </c>
      <c r="R184" t="s">
        <v>62</v>
      </c>
      <c r="S184" s="6">
        <v>763035</v>
      </c>
      <c r="T184" s="6" t="s">
        <v>1</v>
      </c>
      <c r="U184">
        <v>196</v>
      </c>
      <c r="V184" s="6">
        <v>20.3</v>
      </c>
      <c r="W184" s="6">
        <v>69.599999999999994</v>
      </c>
      <c r="X184" s="6">
        <v>199.1</v>
      </c>
      <c r="Y184" s="6">
        <v>289</v>
      </c>
      <c r="Z184" s="6" t="s">
        <v>2</v>
      </c>
      <c r="AA184" t="s">
        <v>381</v>
      </c>
      <c r="AB184" s="6" t="s">
        <v>97</v>
      </c>
      <c r="AC184" t="s">
        <v>125</v>
      </c>
      <c r="AD184" t="s">
        <v>67</v>
      </c>
      <c r="AE184">
        <v>-3</v>
      </c>
      <c r="AF184">
        <v>0</v>
      </c>
      <c r="AG184">
        <v>0</v>
      </c>
      <c r="AH184" s="6">
        <v>56</v>
      </c>
      <c r="AI184" s="6">
        <v>0</v>
      </c>
      <c r="AJ184" s="6">
        <v>0.82199999999999995</v>
      </c>
      <c r="AK184" s="6">
        <v>0.76600000000000001</v>
      </c>
      <c r="AL184" s="8">
        <v>3952.52</v>
      </c>
      <c r="AM184" s="6" t="s">
        <v>68</v>
      </c>
      <c r="AN184" s="6">
        <v>1</v>
      </c>
      <c r="AO184" s="6">
        <v>1</v>
      </c>
      <c r="AP184" s="6">
        <v>0</v>
      </c>
      <c r="AQ184" s="6">
        <v>1</v>
      </c>
      <c r="AR184" s="6">
        <v>0</v>
      </c>
      <c r="AS184" s="6">
        <v>1</v>
      </c>
      <c r="AT184" s="6">
        <v>0</v>
      </c>
      <c r="AU184" s="6">
        <v>2.39</v>
      </c>
      <c r="AV184" s="6">
        <v>1.41</v>
      </c>
      <c r="AW184" s="6">
        <v>220.14</v>
      </c>
      <c r="AX184" s="6">
        <v>30.58</v>
      </c>
      <c r="AY184" s="6">
        <v>196.88</v>
      </c>
      <c r="AZ184" s="6">
        <v>25.4</v>
      </c>
      <c r="BA184" s="6">
        <v>36.200000000000003</v>
      </c>
    </row>
    <row r="185" spans="1:53" x14ac:dyDescent="0.3">
      <c r="A185" s="6">
        <v>729712082</v>
      </c>
      <c r="B185" s="6">
        <v>518373</v>
      </c>
      <c r="C185" s="6">
        <v>7812810</v>
      </c>
      <c r="D185" s="6">
        <v>2045</v>
      </c>
      <c r="E185" s="6" t="s">
        <v>106</v>
      </c>
      <c r="F185" s="6">
        <v>54512</v>
      </c>
      <c r="G185" s="6" t="s">
        <v>69</v>
      </c>
      <c r="H185" s="10">
        <v>45933</v>
      </c>
      <c r="I185" s="10">
        <v>45933</v>
      </c>
      <c r="J185" s="4">
        <v>45933.135416666664</v>
      </c>
      <c r="K185" s="4">
        <v>45933.332743055558</v>
      </c>
      <c r="L185" s="11">
        <v>45933.331354166665</v>
      </c>
      <c r="M185" s="10">
        <v>45933</v>
      </c>
      <c r="N185" s="6" t="s">
        <v>116</v>
      </c>
      <c r="O185" t="s">
        <v>128</v>
      </c>
      <c r="P185" s="6" t="s">
        <v>132</v>
      </c>
      <c r="Q185" t="s">
        <v>181</v>
      </c>
      <c r="R185" t="s">
        <v>62</v>
      </c>
      <c r="S185" s="6">
        <v>773308</v>
      </c>
      <c r="T185" s="6" t="s">
        <v>1</v>
      </c>
      <c r="U185">
        <v>147</v>
      </c>
      <c r="V185" s="6">
        <v>9</v>
      </c>
      <c r="W185" s="6">
        <v>47.3</v>
      </c>
      <c r="X185" s="6">
        <v>143.69999999999999</v>
      </c>
      <c r="Y185" s="6">
        <v>200</v>
      </c>
      <c r="Z185" s="6" t="s">
        <v>63</v>
      </c>
      <c r="AA185" t="s">
        <v>382</v>
      </c>
      <c r="AB185" s="6" t="s">
        <v>82</v>
      </c>
      <c r="AC185" t="s">
        <v>154</v>
      </c>
      <c r="AD185" t="s">
        <v>67</v>
      </c>
      <c r="AE185">
        <v>-2</v>
      </c>
      <c r="AF185">
        <v>0</v>
      </c>
      <c r="AG185">
        <v>0</v>
      </c>
      <c r="AH185" s="6">
        <v>47.9</v>
      </c>
      <c r="AI185" s="6">
        <v>0</v>
      </c>
      <c r="AJ185" s="6">
        <v>0.84299999999999997</v>
      </c>
      <c r="AK185" s="6">
        <v>0.45100000000000001</v>
      </c>
      <c r="AL185" s="8">
        <v>1637.24</v>
      </c>
      <c r="AM185" s="6" t="s">
        <v>68</v>
      </c>
      <c r="AN185" s="6">
        <v>1</v>
      </c>
      <c r="AO185" s="6">
        <v>1</v>
      </c>
      <c r="AP185" s="6">
        <v>0</v>
      </c>
      <c r="AQ185" s="6">
        <v>1</v>
      </c>
      <c r="AR185" s="6">
        <v>0</v>
      </c>
      <c r="AS185" s="6">
        <v>1</v>
      </c>
      <c r="AT185" s="6">
        <v>0</v>
      </c>
      <c r="AU185" s="6">
        <v>2.41</v>
      </c>
      <c r="AV185" s="6">
        <v>1.58</v>
      </c>
      <c r="AW185" s="6">
        <v>151.86000000000001</v>
      </c>
      <c r="AX185" s="6">
        <v>36.840000000000003</v>
      </c>
      <c r="AY185" s="6">
        <v>112.81</v>
      </c>
      <c r="AZ185" s="6">
        <v>21.7</v>
      </c>
      <c r="BA185" s="6">
        <v>16.600000000000001</v>
      </c>
    </row>
    <row r="186" spans="1:53" x14ac:dyDescent="0.3">
      <c r="A186" s="6">
        <v>702998820</v>
      </c>
      <c r="B186" s="6">
        <v>903035</v>
      </c>
      <c r="C186" s="6">
        <v>7110622</v>
      </c>
      <c r="D186" s="6">
        <v>3200</v>
      </c>
      <c r="E186" s="6" t="s">
        <v>92</v>
      </c>
      <c r="F186" s="6">
        <v>50415</v>
      </c>
      <c r="G186" s="6" t="s">
        <v>164</v>
      </c>
      <c r="H186" s="10">
        <v>45849</v>
      </c>
      <c r="I186" s="10">
        <v>45849</v>
      </c>
      <c r="J186" s="4">
        <v>45849.708333333336</v>
      </c>
      <c r="K186" s="4">
        <v>45850.172754629632</v>
      </c>
      <c r="L186" s="11">
        <v>45850.169976851852</v>
      </c>
      <c r="M186" s="10">
        <v>45850</v>
      </c>
      <c r="N186" s="6" t="s">
        <v>200</v>
      </c>
      <c r="O186" t="s">
        <v>338</v>
      </c>
      <c r="P186" s="6" t="s">
        <v>200</v>
      </c>
      <c r="Q186" t="s">
        <v>171</v>
      </c>
      <c r="R186" t="s">
        <v>62</v>
      </c>
      <c r="S186" s="6">
        <v>725966</v>
      </c>
      <c r="T186" s="6" t="s">
        <v>111</v>
      </c>
      <c r="U186">
        <v>499</v>
      </c>
      <c r="V186" s="6">
        <v>1.4</v>
      </c>
      <c r="W186" s="6">
        <v>12.1</v>
      </c>
      <c r="X186" s="6">
        <v>496.5</v>
      </c>
      <c r="Y186" s="6">
        <v>510</v>
      </c>
      <c r="Z186" s="6" t="s">
        <v>2</v>
      </c>
      <c r="AA186" t="s">
        <v>383</v>
      </c>
      <c r="AB186" s="6" t="s">
        <v>90</v>
      </c>
      <c r="AC186" t="s">
        <v>154</v>
      </c>
      <c r="AD186" t="s">
        <v>67</v>
      </c>
      <c r="AE186">
        <v>-4</v>
      </c>
      <c r="AF186">
        <v>57</v>
      </c>
      <c r="AG186">
        <v>0</v>
      </c>
      <c r="AH186" s="6">
        <v>66.3</v>
      </c>
      <c r="AI186" s="6">
        <v>0</v>
      </c>
      <c r="AJ186" s="6">
        <v>0.77500000000000002</v>
      </c>
      <c r="AK186" s="6">
        <v>0.56899999999999995</v>
      </c>
      <c r="AL186" s="8">
        <v>9468.9500000000007</v>
      </c>
      <c r="AM186" s="6" t="s">
        <v>114</v>
      </c>
      <c r="AN186" s="6">
        <v>1</v>
      </c>
      <c r="AO186" s="6">
        <v>1</v>
      </c>
      <c r="AP186" s="6">
        <v>0</v>
      </c>
      <c r="AQ186" s="6">
        <v>1</v>
      </c>
      <c r="AR186" s="6">
        <v>0</v>
      </c>
      <c r="AS186" s="6">
        <v>1</v>
      </c>
      <c r="AT186" s="6">
        <v>0</v>
      </c>
      <c r="AU186" s="6">
        <v>2.35</v>
      </c>
      <c r="AV186" s="6">
        <v>1.66</v>
      </c>
      <c r="AW186" s="6">
        <v>444.62</v>
      </c>
      <c r="AX186" s="6">
        <v>68.98</v>
      </c>
      <c r="AY186" s="6">
        <v>316.06</v>
      </c>
      <c r="AZ186" s="6">
        <v>26.8</v>
      </c>
      <c r="BA186" s="6">
        <v>5.3</v>
      </c>
    </row>
    <row r="187" spans="1:53" x14ac:dyDescent="0.3">
      <c r="A187" s="6">
        <v>703102938</v>
      </c>
      <c r="B187" s="6">
        <v>765822</v>
      </c>
      <c r="C187" s="6">
        <v>8033426</v>
      </c>
      <c r="D187" s="6">
        <v>9110</v>
      </c>
      <c r="E187" s="6" t="s">
        <v>126</v>
      </c>
      <c r="F187" s="6">
        <v>59663</v>
      </c>
      <c r="G187" s="6" t="s">
        <v>146</v>
      </c>
      <c r="H187" s="10">
        <v>45792</v>
      </c>
      <c r="I187" s="10">
        <v>45792</v>
      </c>
      <c r="J187" s="4">
        <v>45792.611111111109</v>
      </c>
      <c r="K187" s="4">
        <v>45792.761724537035</v>
      </c>
      <c r="L187" s="11">
        <v>45792.745752314811</v>
      </c>
      <c r="M187" s="10">
        <v>45792</v>
      </c>
      <c r="N187" s="6" t="s">
        <v>59</v>
      </c>
      <c r="O187" t="s">
        <v>167</v>
      </c>
      <c r="P187" s="6" t="s">
        <v>86</v>
      </c>
      <c r="Q187" t="s">
        <v>243</v>
      </c>
      <c r="R187" t="s">
        <v>88</v>
      </c>
      <c r="S187" s="6">
        <v>759297</v>
      </c>
      <c r="T187" s="6" t="s">
        <v>1</v>
      </c>
      <c r="U187">
        <v>142</v>
      </c>
      <c r="V187" s="6">
        <v>10.7</v>
      </c>
      <c r="W187" s="6">
        <v>25</v>
      </c>
      <c r="X187" s="6">
        <v>150.5</v>
      </c>
      <c r="Y187" s="6">
        <v>186.2</v>
      </c>
      <c r="Z187" s="6" t="s">
        <v>63</v>
      </c>
      <c r="AA187" t="s">
        <v>384</v>
      </c>
      <c r="AB187" s="6" t="s">
        <v>90</v>
      </c>
      <c r="AC187" t="s">
        <v>137</v>
      </c>
      <c r="AD187" t="s">
        <v>67</v>
      </c>
      <c r="AE187">
        <v>-23</v>
      </c>
      <c r="AF187">
        <v>0</v>
      </c>
      <c r="AG187">
        <v>0</v>
      </c>
      <c r="AH187" s="6">
        <v>39.9</v>
      </c>
      <c r="AI187" s="6">
        <v>0</v>
      </c>
      <c r="AJ187" s="6">
        <v>0.53100000000000003</v>
      </c>
      <c r="AK187" s="6">
        <v>0.50700000000000001</v>
      </c>
      <c r="AL187" s="8">
        <v>3563.67</v>
      </c>
      <c r="AM187" s="6" t="s">
        <v>68</v>
      </c>
      <c r="AN187" s="6">
        <v>1</v>
      </c>
      <c r="AO187" s="6">
        <v>1</v>
      </c>
      <c r="AP187" s="6">
        <v>0</v>
      </c>
      <c r="AQ187" s="6">
        <v>1</v>
      </c>
      <c r="AR187" s="6">
        <v>0</v>
      </c>
      <c r="AS187" s="6">
        <v>1</v>
      </c>
      <c r="AT187" s="6">
        <v>0</v>
      </c>
      <c r="AU187" s="6">
        <v>2.17</v>
      </c>
      <c r="AV187" s="6">
        <v>1.5</v>
      </c>
      <c r="AW187" s="6">
        <v>158.86000000000001</v>
      </c>
      <c r="AX187" s="6">
        <v>40.43</v>
      </c>
      <c r="AY187" s="6">
        <v>106.29</v>
      </c>
      <c r="AZ187" s="6">
        <v>9.5</v>
      </c>
      <c r="BA187" s="6">
        <v>32.4</v>
      </c>
    </row>
    <row r="188" spans="1:53" x14ac:dyDescent="0.3">
      <c r="A188" s="6">
        <v>453954673</v>
      </c>
      <c r="B188" s="6">
        <v>246316</v>
      </c>
      <c r="C188" s="6">
        <v>1352896</v>
      </c>
      <c r="D188" s="6">
        <v>5426</v>
      </c>
      <c r="E188" s="6" t="s">
        <v>185</v>
      </c>
      <c r="F188" s="6">
        <v>54180</v>
      </c>
      <c r="G188" s="6" t="s">
        <v>107</v>
      </c>
      <c r="H188" s="10">
        <v>45682</v>
      </c>
      <c r="I188" s="10">
        <v>45682</v>
      </c>
      <c r="J188" s="4">
        <v>45682.878472222219</v>
      </c>
      <c r="K188" s="4">
        <v>45683.416643518518</v>
      </c>
      <c r="L188" s="11">
        <v>45683.393726851849</v>
      </c>
      <c r="M188" s="10">
        <v>45683</v>
      </c>
      <c r="N188" s="6" t="s">
        <v>132</v>
      </c>
      <c r="O188" t="s">
        <v>181</v>
      </c>
      <c r="P188" s="6" t="s">
        <v>129</v>
      </c>
      <c r="Q188" t="s">
        <v>156</v>
      </c>
      <c r="R188" t="s">
        <v>123</v>
      </c>
      <c r="S188" s="6">
        <v>763944</v>
      </c>
      <c r="T188" s="6" t="s">
        <v>140</v>
      </c>
      <c r="U188">
        <v>643</v>
      </c>
      <c r="V188" s="6">
        <v>15.2</v>
      </c>
      <c r="W188" s="6">
        <v>31.8</v>
      </c>
      <c r="X188" s="6">
        <v>639.79999999999995</v>
      </c>
      <c r="Y188" s="6">
        <v>686.8</v>
      </c>
      <c r="Z188" s="6" t="s">
        <v>63</v>
      </c>
      <c r="AA188" t="s">
        <v>385</v>
      </c>
      <c r="AB188" s="6" t="s">
        <v>65</v>
      </c>
      <c r="AC188" t="s">
        <v>76</v>
      </c>
      <c r="AD188" t="s">
        <v>67</v>
      </c>
      <c r="AE188">
        <v>-33</v>
      </c>
      <c r="AF188">
        <v>117</v>
      </c>
      <c r="AG188">
        <v>0</v>
      </c>
      <c r="AH188" s="6">
        <v>71.2</v>
      </c>
      <c r="AI188" s="6">
        <v>0</v>
      </c>
      <c r="AJ188" s="6">
        <v>0.72</v>
      </c>
      <c r="AK188" s="6">
        <v>0.63800000000000001</v>
      </c>
      <c r="AL188" s="8">
        <v>96794.38</v>
      </c>
      <c r="AM188" s="6" t="s">
        <v>155</v>
      </c>
      <c r="AN188" s="6">
        <v>1</v>
      </c>
      <c r="AO188" s="6">
        <v>1</v>
      </c>
      <c r="AP188" s="6">
        <v>0</v>
      </c>
      <c r="AQ188" s="6">
        <v>1</v>
      </c>
      <c r="AR188" s="6">
        <v>0</v>
      </c>
      <c r="AS188" s="6">
        <v>1</v>
      </c>
      <c r="AT188" s="6">
        <v>0</v>
      </c>
      <c r="AU188" s="6">
        <v>2.5099999999999998</v>
      </c>
      <c r="AV188" s="6">
        <v>1.48</v>
      </c>
      <c r="AW188" s="6">
        <v>473.6</v>
      </c>
      <c r="AX188" s="6">
        <v>124.04</v>
      </c>
      <c r="AY188" s="6">
        <v>428.17</v>
      </c>
      <c r="AZ188" s="6">
        <v>28.1</v>
      </c>
      <c r="BA188" s="6">
        <v>5.5</v>
      </c>
    </row>
    <row r="189" spans="1:53" x14ac:dyDescent="0.3">
      <c r="A189" s="6">
        <v>819421270</v>
      </c>
      <c r="B189" s="6">
        <v>766563</v>
      </c>
      <c r="C189" s="6">
        <v>9910817</v>
      </c>
      <c r="D189" s="6">
        <v>1391</v>
      </c>
      <c r="E189" s="6" t="s">
        <v>185</v>
      </c>
      <c r="F189" s="6">
        <v>54262</v>
      </c>
      <c r="G189" s="6" t="s">
        <v>149</v>
      </c>
      <c r="H189" s="10">
        <v>45885</v>
      </c>
      <c r="I189" s="10">
        <v>45885</v>
      </c>
      <c r="J189" s="4">
        <v>45885.520833333336</v>
      </c>
      <c r="K189" s="4">
        <v>45885.583333333336</v>
      </c>
      <c r="L189" s="11">
        <v>45885.587500000001</v>
      </c>
      <c r="M189" s="10">
        <v>45885</v>
      </c>
      <c r="N189" s="6" t="s">
        <v>78</v>
      </c>
      <c r="O189" t="s">
        <v>79</v>
      </c>
      <c r="P189" s="6" t="s">
        <v>129</v>
      </c>
      <c r="Q189" t="s">
        <v>156</v>
      </c>
      <c r="R189" t="s">
        <v>123</v>
      </c>
      <c r="S189" s="6">
        <v>751815</v>
      </c>
      <c r="T189" s="6" t="s">
        <v>3</v>
      </c>
      <c r="U189">
        <v>66</v>
      </c>
      <c r="V189" s="6">
        <v>20.100000000000001</v>
      </c>
      <c r="W189" s="6">
        <v>3.1</v>
      </c>
      <c r="X189" s="6">
        <v>64.8</v>
      </c>
      <c r="Y189" s="6">
        <v>88</v>
      </c>
      <c r="Z189" s="6" t="s">
        <v>80</v>
      </c>
      <c r="AA189" t="s">
        <v>386</v>
      </c>
      <c r="AB189" s="6" t="s">
        <v>75</v>
      </c>
      <c r="AC189" t="s">
        <v>76</v>
      </c>
      <c r="AD189" t="s">
        <v>67</v>
      </c>
      <c r="AE189">
        <v>6</v>
      </c>
      <c r="AF189">
        <v>0</v>
      </c>
      <c r="AG189">
        <v>0</v>
      </c>
      <c r="AH189" s="6">
        <v>65.7</v>
      </c>
      <c r="AI189" s="6">
        <v>0</v>
      </c>
      <c r="AJ189" s="6">
        <v>0.72399999999999998</v>
      </c>
      <c r="AK189" s="6">
        <v>0.623</v>
      </c>
      <c r="AL189" s="8">
        <v>1715.45</v>
      </c>
      <c r="AM189" s="6" t="s">
        <v>68</v>
      </c>
      <c r="AN189" s="6">
        <v>1</v>
      </c>
      <c r="AO189" s="6">
        <v>1</v>
      </c>
      <c r="AP189" s="6">
        <v>0</v>
      </c>
      <c r="AQ189" s="6">
        <v>1</v>
      </c>
      <c r="AR189" s="6">
        <v>0</v>
      </c>
      <c r="AS189" s="6">
        <v>1</v>
      </c>
      <c r="AT189" s="6">
        <v>0</v>
      </c>
      <c r="AU189" s="6">
        <v>2.11</v>
      </c>
      <c r="AV189" s="6">
        <v>1.68</v>
      </c>
      <c r="AW189" s="6">
        <v>60.71</v>
      </c>
      <c r="AX189" s="6">
        <v>12.06</v>
      </c>
      <c r="AY189" s="6">
        <v>57.96</v>
      </c>
      <c r="AZ189" s="6">
        <v>10</v>
      </c>
      <c r="BA189" s="6">
        <v>23.1</v>
      </c>
    </row>
    <row r="190" spans="1:53" x14ac:dyDescent="0.3">
      <c r="A190" s="6">
        <v>231244840</v>
      </c>
      <c r="B190" s="6">
        <v>728038</v>
      </c>
      <c r="C190" s="6">
        <v>1463060</v>
      </c>
      <c r="D190" s="6">
        <v>7287</v>
      </c>
      <c r="E190" s="6" t="s">
        <v>57</v>
      </c>
      <c r="F190" s="6">
        <v>52515</v>
      </c>
      <c r="G190" s="6" t="s">
        <v>207</v>
      </c>
      <c r="H190" s="10">
        <v>45871</v>
      </c>
      <c r="I190" s="10">
        <v>45871</v>
      </c>
      <c r="J190" s="4">
        <v>45871.388888888891</v>
      </c>
      <c r="K190" s="4">
        <v>45871.617754629631</v>
      </c>
      <c r="L190" s="11">
        <v>45871.608726851853</v>
      </c>
      <c r="M190" s="10">
        <v>45871</v>
      </c>
      <c r="N190" s="6" t="s">
        <v>176</v>
      </c>
      <c r="O190" t="s">
        <v>227</v>
      </c>
      <c r="P190" s="6" t="s">
        <v>134</v>
      </c>
      <c r="Q190" t="s">
        <v>278</v>
      </c>
      <c r="R190" t="s">
        <v>73</v>
      </c>
      <c r="S190" s="6">
        <v>785491</v>
      </c>
      <c r="T190" s="6" t="s">
        <v>111</v>
      </c>
      <c r="U190">
        <v>350</v>
      </c>
      <c r="V190" s="6">
        <v>21.4</v>
      </c>
      <c r="W190" s="6">
        <v>24.7</v>
      </c>
      <c r="X190" s="6">
        <v>343.1</v>
      </c>
      <c r="Y190" s="6">
        <v>389.2</v>
      </c>
      <c r="Z190" s="6" t="s">
        <v>63</v>
      </c>
      <c r="AA190" t="s">
        <v>387</v>
      </c>
      <c r="AB190" s="6" t="s">
        <v>97</v>
      </c>
      <c r="AC190" t="s">
        <v>76</v>
      </c>
      <c r="AD190" t="s">
        <v>67</v>
      </c>
      <c r="AE190">
        <v>-13</v>
      </c>
      <c r="AF190">
        <v>0</v>
      </c>
      <c r="AG190">
        <v>0</v>
      </c>
      <c r="AH190" s="6">
        <v>42.7</v>
      </c>
      <c r="AI190" s="6">
        <v>0</v>
      </c>
      <c r="AJ190" s="6">
        <v>0.72399999999999998</v>
      </c>
      <c r="AK190" s="6">
        <v>0.47799999999999998</v>
      </c>
      <c r="AL190" s="8">
        <v>2454.6999999999998</v>
      </c>
      <c r="AM190" s="6" t="s">
        <v>68</v>
      </c>
      <c r="AN190" s="6">
        <v>1</v>
      </c>
      <c r="AO190" s="6">
        <v>1</v>
      </c>
      <c r="AP190" s="6">
        <v>0</v>
      </c>
      <c r="AQ190" s="6">
        <v>1</v>
      </c>
      <c r="AR190" s="6">
        <v>0</v>
      </c>
      <c r="AS190" s="6">
        <v>1</v>
      </c>
      <c r="AT190" s="6">
        <v>0</v>
      </c>
      <c r="AU190" s="6">
        <v>2.35</v>
      </c>
      <c r="AV190" s="6">
        <v>1.86</v>
      </c>
      <c r="AW190" s="6">
        <v>325.76</v>
      </c>
      <c r="AX190" s="6">
        <v>49.92</v>
      </c>
      <c r="AY190" s="6">
        <v>217.34</v>
      </c>
      <c r="AZ190" s="6">
        <v>13.6</v>
      </c>
      <c r="BA190" s="6">
        <v>26.8</v>
      </c>
    </row>
    <row r="191" spans="1:53" x14ac:dyDescent="0.3">
      <c r="A191" s="6">
        <v>541102414</v>
      </c>
      <c r="B191" s="6">
        <v>680099</v>
      </c>
      <c r="C191" s="6">
        <v>7003042</v>
      </c>
      <c r="D191" s="6">
        <v>6535</v>
      </c>
      <c r="E191" s="6" t="s">
        <v>101</v>
      </c>
      <c r="F191" s="6">
        <v>59287</v>
      </c>
      <c r="G191" s="6" t="s">
        <v>127</v>
      </c>
      <c r="H191" s="10">
        <v>45760</v>
      </c>
      <c r="I191" s="10">
        <v>45760</v>
      </c>
      <c r="J191" s="4">
        <v>45760.663194444445</v>
      </c>
      <c r="K191" s="4">
        <v>45760.725694444445</v>
      </c>
      <c r="L191" s="11">
        <v>45760.701388888891</v>
      </c>
      <c r="M191" s="10">
        <v>45760</v>
      </c>
      <c r="N191" s="6" t="s">
        <v>86</v>
      </c>
      <c r="O191" t="s">
        <v>87</v>
      </c>
      <c r="P191" s="6" t="s">
        <v>200</v>
      </c>
      <c r="Q191" t="s">
        <v>171</v>
      </c>
      <c r="R191" t="s">
        <v>62</v>
      </c>
      <c r="S191" s="6">
        <v>739948</v>
      </c>
      <c r="T191" s="6" t="s">
        <v>3</v>
      </c>
      <c r="U191">
        <v>38</v>
      </c>
      <c r="V191" s="6">
        <v>17.100000000000001</v>
      </c>
      <c r="W191" s="6">
        <v>28.8</v>
      </c>
      <c r="X191" s="6">
        <v>36.299999999999997</v>
      </c>
      <c r="Y191" s="6">
        <v>82.2</v>
      </c>
      <c r="Z191" s="6" t="s">
        <v>2</v>
      </c>
      <c r="AA191" t="s">
        <v>388</v>
      </c>
      <c r="AB191" s="6" t="s">
        <v>90</v>
      </c>
      <c r="AC191" t="s">
        <v>91</v>
      </c>
      <c r="AD191" t="s">
        <v>67</v>
      </c>
      <c r="AE191">
        <v>-35</v>
      </c>
      <c r="AF191">
        <v>0</v>
      </c>
      <c r="AG191">
        <v>0</v>
      </c>
      <c r="AH191" s="6">
        <v>60.4</v>
      </c>
      <c r="AI191" s="6">
        <v>0</v>
      </c>
      <c r="AJ191" s="6">
        <v>0.59099999999999997</v>
      </c>
      <c r="AK191" s="6">
        <v>0.91600000000000004</v>
      </c>
      <c r="AL191" s="8">
        <v>5487.81</v>
      </c>
      <c r="AM191" s="6" t="s">
        <v>68</v>
      </c>
      <c r="AN191" s="6">
        <v>1</v>
      </c>
      <c r="AO191" s="6">
        <v>1</v>
      </c>
      <c r="AP191" s="6">
        <v>0</v>
      </c>
      <c r="AQ191" s="6">
        <v>1</v>
      </c>
      <c r="AR191" s="6">
        <v>0</v>
      </c>
      <c r="AS191" s="6">
        <v>1</v>
      </c>
      <c r="AT191" s="6">
        <v>0</v>
      </c>
      <c r="AU191" s="6">
        <v>2.5099999999999998</v>
      </c>
      <c r="AV191" s="6">
        <v>1.88</v>
      </c>
      <c r="AW191" s="6">
        <v>69.2</v>
      </c>
      <c r="AX191" s="6">
        <v>14.53</v>
      </c>
      <c r="AY191" s="6">
        <v>49.7</v>
      </c>
      <c r="AZ191" s="6">
        <v>28.3</v>
      </c>
      <c r="BA191" s="6">
        <v>34.799999999999997</v>
      </c>
    </row>
    <row r="192" spans="1:53" x14ac:dyDescent="0.3">
      <c r="A192" s="6">
        <v>479673044</v>
      </c>
      <c r="B192" s="6">
        <v>584714</v>
      </c>
      <c r="C192" s="6">
        <v>5004485</v>
      </c>
      <c r="D192" s="6">
        <v>7938</v>
      </c>
      <c r="E192" s="6" t="s">
        <v>84</v>
      </c>
      <c r="F192" s="6">
        <v>59001</v>
      </c>
      <c r="G192" s="6" t="s">
        <v>102</v>
      </c>
      <c r="H192" s="10">
        <v>45990</v>
      </c>
      <c r="I192" s="10">
        <v>45990</v>
      </c>
      <c r="J192" s="4">
        <v>45990.729166666664</v>
      </c>
      <c r="K192" s="4">
        <v>45991.265787037039</v>
      </c>
      <c r="L192" s="11">
        <v>45991.25675925926</v>
      </c>
      <c r="M192" s="10">
        <v>45991</v>
      </c>
      <c r="N192" s="6" t="s">
        <v>78</v>
      </c>
      <c r="O192" t="s">
        <v>222</v>
      </c>
      <c r="P192" s="6" t="s">
        <v>59</v>
      </c>
      <c r="Q192" t="s">
        <v>99</v>
      </c>
      <c r="R192" t="s">
        <v>62</v>
      </c>
      <c r="S192" s="6">
        <v>752047</v>
      </c>
      <c r="T192" s="6" t="s">
        <v>140</v>
      </c>
      <c r="U192">
        <v>821</v>
      </c>
      <c r="V192" s="6">
        <v>28.5</v>
      </c>
      <c r="W192" s="6">
        <v>20.100000000000001</v>
      </c>
      <c r="X192" s="6">
        <v>823.8</v>
      </c>
      <c r="Y192" s="6">
        <v>872.4</v>
      </c>
      <c r="Z192" s="6" t="s">
        <v>63</v>
      </c>
      <c r="AA192" t="s">
        <v>389</v>
      </c>
      <c r="AB192" s="6" t="s">
        <v>90</v>
      </c>
      <c r="AC192" t="s">
        <v>76</v>
      </c>
      <c r="AD192" t="s">
        <v>67</v>
      </c>
      <c r="AE192">
        <v>-13</v>
      </c>
      <c r="AF192">
        <v>0</v>
      </c>
      <c r="AG192">
        <v>0</v>
      </c>
      <c r="AH192" s="6">
        <v>33.6</v>
      </c>
      <c r="AI192" s="6">
        <v>0</v>
      </c>
      <c r="AJ192" s="6">
        <v>0.54</v>
      </c>
      <c r="AK192" s="6">
        <v>0.84499999999999997</v>
      </c>
      <c r="AL192" s="8">
        <v>67165.09</v>
      </c>
      <c r="AM192" s="6" t="s">
        <v>155</v>
      </c>
      <c r="AN192" s="6">
        <v>1</v>
      </c>
      <c r="AO192" s="6">
        <v>1</v>
      </c>
      <c r="AP192" s="6">
        <v>0</v>
      </c>
      <c r="AQ192" s="6">
        <v>1</v>
      </c>
      <c r="AR192" s="6">
        <v>0</v>
      </c>
      <c r="AS192" s="6">
        <v>1</v>
      </c>
      <c r="AT192" s="6">
        <v>0</v>
      </c>
      <c r="AU192" s="6">
        <v>2.74</v>
      </c>
      <c r="AV192" s="6">
        <v>1.62</v>
      </c>
      <c r="AW192" s="6">
        <v>587.71</v>
      </c>
      <c r="AX192" s="6">
        <v>115.79</v>
      </c>
      <c r="AY192" s="6">
        <v>585.17999999999995</v>
      </c>
      <c r="AZ192" s="6">
        <v>0.2</v>
      </c>
      <c r="BA192" s="6">
        <v>47.8</v>
      </c>
    </row>
    <row r="193" spans="1:53" x14ac:dyDescent="0.3">
      <c r="A193" s="6">
        <v>814403943</v>
      </c>
      <c r="B193" s="6">
        <v>876646</v>
      </c>
      <c r="C193" s="6">
        <v>2191066</v>
      </c>
      <c r="D193" s="6">
        <v>1769</v>
      </c>
      <c r="E193" s="6" t="s">
        <v>84</v>
      </c>
      <c r="F193" s="6">
        <v>55640</v>
      </c>
      <c r="G193" s="6" t="s">
        <v>164</v>
      </c>
      <c r="H193" s="10">
        <v>45769</v>
      </c>
      <c r="I193" s="10">
        <v>45769</v>
      </c>
      <c r="J193" s="4">
        <v>45769.909722222219</v>
      </c>
      <c r="K193" s="4">
        <v>45769.977870370371</v>
      </c>
      <c r="L193" s="11">
        <v>45769.939675925925</v>
      </c>
      <c r="M193" s="10">
        <v>45769</v>
      </c>
      <c r="N193" s="6" t="s">
        <v>150</v>
      </c>
      <c r="O193" t="s">
        <v>196</v>
      </c>
      <c r="P193" s="6" t="s">
        <v>109</v>
      </c>
      <c r="Q193" t="s">
        <v>198</v>
      </c>
      <c r="R193" t="s">
        <v>88</v>
      </c>
      <c r="S193" s="6">
        <v>718141</v>
      </c>
      <c r="T193" s="6" t="s">
        <v>3</v>
      </c>
      <c r="U193">
        <v>28</v>
      </c>
      <c r="V193" s="6">
        <v>13.7</v>
      </c>
      <c r="W193" s="6">
        <v>42.5</v>
      </c>
      <c r="X193" s="6">
        <v>26.2</v>
      </c>
      <c r="Y193" s="6">
        <v>82.4</v>
      </c>
      <c r="Z193" s="6" t="s">
        <v>215</v>
      </c>
      <c r="AA193" t="s">
        <v>390</v>
      </c>
      <c r="AB193" s="6" t="s">
        <v>65</v>
      </c>
      <c r="AC193" t="s">
        <v>66</v>
      </c>
      <c r="AD193" t="s">
        <v>67</v>
      </c>
      <c r="AE193">
        <v>-55</v>
      </c>
      <c r="AF193">
        <v>0</v>
      </c>
      <c r="AG193">
        <v>0</v>
      </c>
      <c r="AH193" s="6">
        <v>70.3</v>
      </c>
      <c r="AI193" s="6">
        <v>0</v>
      </c>
      <c r="AJ193" s="6">
        <v>0.50900000000000001</v>
      </c>
      <c r="AK193" s="6">
        <v>0.58499999999999996</v>
      </c>
      <c r="AL193" s="8">
        <v>3940.11</v>
      </c>
      <c r="AM193" s="6" t="s">
        <v>68</v>
      </c>
      <c r="AN193" s="6">
        <v>1</v>
      </c>
      <c r="AO193" s="6">
        <v>1</v>
      </c>
      <c r="AP193" s="6">
        <v>0</v>
      </c>
      <c r="AQ193" s="6">
        <v>1</v>
      </c>
      <c r="AR193" s="6">
        <v>0</v>
      </c>
      <c r="AS193" s="6">
        <v>1</v>
      </c>
      <c r="AT193" s="6">
        <v>0</v>
      </c>
      <c r="AU193" s="6">
        <v>2.5299999999999998</v>
      </c>
      <c r="AV193" s="6">
        <v>1.71</v>
      </c>
      <c r="AW193" s="6">
        <v>61.25</v>
      </c>
      <c r="AX193" s="6">
        <v>10.09</v>
      </c>
      <c r="AY193" s="6">
        <v>53.15</v>
      </c>
      <c r="AZ193" s="6">
        <v>17.2</v>
      </c>
      <c r="BA193" s="6">
        <v>14.1</v>
      </c>
    </row>
    <row r="194" spans="1:53" x14ac:dyDescent="0.3">
      <c r="A194" s="6">
        <v>905611583</v>
      </c>
      <c r="B194" s="6">
        <v>779514</v>
      </c>
      <c r="C194" s="6">
        <v>5130808</v>
      </c>
      <c r="D194" s="6">
        <v>3731</v>
      </c>
      <c r="E194" s="6" t="s">
        <v>106</v>
      </c>
      <c r="F194" s="6">
        <v>56616</v>
      </c>
      <c r="G194" s="6" t="s">
        <v>77</v>
      </c>
      <c r="H194" s="10">
        <v>45822</v>
      </c>
      <c r="I194" s="10">
        <v>45822</v>
      </c>
      <c r="J194" s="4">
        <v>45822.701388888891</v>
      </c>
      <c r="K194" s="4">
        <v>45822.763888888891</v>
      </c>
      <c r="L194" s="11">
        <v>45822.75277777778</v>
      </c>
      <c r="M194" s="10">
        <v>45822</v>
      </c>
      <c r="N194" s="6" t="s">
        <v>86</v>
      </c>
      <c r="O194" t="s">
        <v>243</v>
      </c>
      <c r="P194" s="6" t="s">
        <v>59</v>
      </c>
      <c r="Q194" t="s">
        <v>85</v>
      </c>
      <c r="R194" t="s">
        <v>62</v>
      </c>
      <c r="S194" s="6">
        <v>774885</v>
      </c>
      <c r="T194" s="6" t="s">
        <v>3</v>
      </c>
      <c r="U194">
        <v>25</v>
      </c>
      <c r="V194" s="6">
        <v>37.1</v>
      </c>
      <c r="W194" s="6">
        <v>17.100000000000001</v>
      </c>
      <c r="X194" s="6">
        <v>25.1</v>
      </c>
      <c r="Y194" s="6">
        <v>79.3</v>
      </c>
      <c r="Z194" s="6" t="s">
        <v>63</v>
      </c>
      <c r="AA194" t="s">
        <v>391</v>
      </c>
      <c r="AB194" s="6" t="s">
        <v>90</v>
      </c>
      <c r="AC194" t="s">
        <v>76</v>
      </c>
      <c r="AD194" t="s">
        <v>67</v>
      </c>
      <c r="AE194">
        <v>-16</v>
      </c>
      <c r="AF194">
        <v>0</v>
      </c>
      <c r="AG194">
        <v>0</v>
      </c>
      <c r="AH194" s="6">
        <v>34</v>
      </c>
      <c r="AI194" s="6">
        <v>0</v>
      </c>
      <c r="AJ194" s="6">
        <v>0.86199999999999999</v>
      </c>
      <c r="AK194" s="6">
        <v>0.34499999999999997</v>
      </c>
      <c r="AL194" s="8">
        <v>16821.88</v>
      </c>
      <c r="AM194" s="6" t="s">
        <v>114</v>
      </c>
      <c r="AN194" s="6">
        <v>1</v>
      </c>
      <c r="AO194" s="6">
        <v>1</v>
      </c>
      <c r="AP194" s="6">
        <v>0</v>
      </c>
      <c r="AQ194" s="6">
        <v>1</v>
      </c>
      <c r="AR194" s="6">
        <v>0</v>
      </c>
      <c r="AS194" s="6">
        <v>1</v>
      </c>
      <c r="AT194" s="6">
        <v>0</v>
      </c>
      <c r="AU194" s="6">
        <v>2.2599999999999998</v>
      </c>
      <c r="AV194" s="6">
        <v>1.51</v>
      </c>
      <c r="AW194" s="6">
        <v>68.81</v>
      </c>
      <c r="AX194" s="6">
        <v>14.09</v>
      </c>
      <c r="AY194" s="6">
        <v>39.15</v>
      </c>
      <c r="AZ194" s="6">
        <v>38.9</v>
      </c>
      <c r="BA194" s="6">
        <v>69.5</v>
      </c>
    </row>
    <row r="195" spans="1:53" x14ac:dyDescent="0.3">
      <c r="A195" s="6">
        <v>554124989</v>
      </c>
      <c r="B195" s="6">
        <v>817870</v>
      </c>
      <c r="C195" s="6">
        <v>2217071</v>
      </c>
      <c r="D195" s="6">
        <v>2484</v>
      </c>
      <c r="E195" s="6" t="s">
        <v>84</v>
      </c>
      <c r="F195" s="6">
        <v>50992</v>
      </c>
      <c r="G195" s="6" t="s">
        <v>127</v>
      </c>
      <c r="H195" s="10">
        <v>45856</v>
      </c>
      <c r="I195" s="10">
        <v>45856</v>
      </c>
      <c r="J195" s="4">
        <v>45856.4375</v>
      </c>
      <c r="K195" s="4">
        <v>45856.601504629631</v>
      </c>
      <c r="L195" s="11">
        <v>45856.598726851851</v>
      </c>
      <c r="M195" s="10">
        <v>45856</v>
      </c>
      <c r="N195" s="6" t="s">
        <v>59</v>
      </c>
      <c r="O195" t="s">
        <v>60</v>
      </c>
      <c r="P195" s="6" t="s">
        <v>59</v>
      </c>
      <c r="Q195" t="s">
        <v>99</v>
      </c>
      <c r="R195" t="s">
        <v>62</v>
      </c>
      <c r="S195" s="6">
        <v>797593</v>
      </c>
      <c r="T195" s="6" t="s">
        <v>1</v>
      </c>
      <c r="U195">
        <v>185</v>
      </c>
      <c r="V195" s="6">
        <v>26.1</v>
      </c>
      <c r="W195" s="6">
        <v>30.5</v>
      </c>
      <c r="X195" s="6">
        <v>178.1</v>
      </c>
      <c r="Y195" s="6">
        <v>234.7</v>
      </c>
      <c r="Z195" s="6" t="s">
        <v>63</v>
      </c>
      <c r="AA195" t="s">
        <v>392</v>
      </c>
      <c r="AB195" s="6" t="s">
        <v>75</v>
      </c>
      <c r="AC195" t="s">
        <v>154</v>
      </c>
      <c r="AD195" t="s">
        <v>67</v>
      </c>
      <c r="AE195">
        <v>-4</v>
      </c>
      <c r="AF195">
        <v>0</v>
      </c>
      <c r="AG195">
        <v>0</v>
      </c>
      <c r="AH195" s="6">
        <v>23.9</v>
      </c>
      <c r="AI195" s="6">
        <v>0</v>
      </c>
      <c r="AJ195" s="6">
        <v>0.91300000000000003</v>
      </c>
      <c r="AK195" s="6">
        <v>0.59699999999999998</v>
      </c>
      <c r="AL195" s="8">
        <v>2779.61</v>
      </c>
      <c r="AM195" s="6" t="s">
        <v>68</v>
      </c>
      <c r="AN195" s="6">
        <v>1</v>
      </c>
      <c r="AO195" s="6">
        <v>1</v>
      </c>
      <c r="AP195" s="6">
        <v>0</v>
      </c>
      <c r="AQ195" s="6">
        <v>1</v>
      </c>
      <c r="AR195" s="6">
        <v>0</v>
      </c>
      <c r="AS195" s="6">
        <v>1</v>
      </c>
      <c r="AT195" s="6">
        <v>0</v>
      </c>
      <c r="AU195" s="6">
        <v>2.23</v>
      </c>
      <c r="AV195" s="6">
        <v>1.57</v>
      </c>
      <c r="AW195" s="6">
        <v>151.11000000000001</v>
      </c>
      <c r="AX195" s="6">
        <v>43.87</v>
      </c>
      <c r="AY195" s="6">
        <v>144.69</v>
      </c>
      <c r="AZ195" s="6">
        <v>9.4</v>
      </c>
      <c r="BA195" s="6">
        <v>29.8</v>
      </c>
    </row>
    <row r="196" spans="1:53" x14ac:dyDescent="0.3">
      <c r="A196" s="6">
        <v>874233009</v>
      </c>
      <c r="B196" s="6">
        <v>903035</v>
      </c>
      <c r="C196" s="6">
        <v>7110622</v>
      </c>
      <c r="D196" s="6">
        <v>3200</v>
      </c>
      <c r="E196" s="6" t="s">
        <v>92</v>
      </c>
      <c r="F196" s="6">
        <v>59473</v>
      </c>
      <c r="G196" s="6" t="s">
        <v>115</v>
      </c>
      <c r="H196" s="10">
        <v>45694</v>
      </c>
      <c r="I196" s="10">
        <v>45694</v>
      </c>
      <c r="J196" s="4">
        <v>45694.743055555555</v>
      </c>
      <c r="K196" s="4">
        <v>45694.945162037038</v>
      </c>
      <c r="L196" s="11">
        <v>45694.929884259262</v>
      </c>
      <c r="M196" s="10">
        <v>45694</v>
      </c>
      <c r="N196" s="6" t="s">
        <v>176</v>
      </c>
      <c r="O196" t="s">
        <v>355</v>
      </c>
      <c r="P196" s="6" t="s">
        <v>70</v>
      </c>
      <c r="Q196" t="s">
        <v>152</v>
      </c>
      <c r="R196" t="s">
        <v>73</v>
      </c>
      <c r="S196" s="6">
        <v>715799</v>
      </c>
      <c r="T196" s="6" t="s">
        <v>1</v>
      </c>
      <c r="U196">
        <v>259</v>
      </c>
      <c r="V196" s="6">
        <v>13.3</v>
      </c>
      <c r="W196" s="6">
        <v>18.3</v>
      </c>
      <c r="X196" s="6">
        <v>255.7</v>
      </c>
      <c r="Y196" s="6">
        <v>287.3</v>
      </c>
      <c r="Z196" s="6" t="s">
        <v>2</v>
      </c>
      <c r="AA196" t="s">
        <v>310</v>
      </c>
      <c r="AB196" s="6" t="s">
        <v>90</v>
      </c>
      <c r="AC196" t="s">
        <v>137</v>
      </c>
      <c r="AD196" t="s">
        <v>67</v>
      </c>
      <c r="AE196">
        <v>-22</v>
      </c>
      <c r="AF196">
        <v>0</v>
      </c>
      <c r="AG196">
        <v>0</v>
      </c>
      <c r="AH196" s="6">
        <v>22.5</v>
      </c>
      <c r="AI196" s="6">
        <v>0</v>
      </c>
      <c r="AJ196" s="6">
        <v>0.80800000000000005</v>
      </c>
      <c r="AK196" s="6">
        <v>0.69699999999999995</v>
      </c>
      <c r="AL196" s="8">
        <v>6486.44</v>
      </c>
      <c r="AM196" s="6" t="s">
        <v>68</v>
      </c>
      <c r="AN196" s="6">
        <v>1</v>
      </c>
      <c r="AO196" s="6">
        <v>1</v>
      </c>
      <c r="AP196" s="6">
        <v>0</v>
      </c>
      <c r="AQ196" s="6">
        <v>1</v>
      </c>
      <c r="AR196" s="6">
        <v>0</v>
      </c>
      <c r="AS196" s="6">
        <v>1</v>
      </c>
      <c r="AT196" s="6">
        <v>0</v>
      </c>
      <c r="AU196" s="6">
        <v>2.5</v>
      </c>
      <c r="AV196" s="6">
        <v>1.48</v>
      </c>
      <c r="AW196" s="6">
        <v>210.35</v>
      </c>
      <c r="AX196" s="6">
        <v>36.94</v>
      </c>
      <c r="AY196" s="6">
        <v>163.85</v>
      </c>
      <c r="AZ196" s="6">
        <v>26.8</v>
      </c>
      <c r="BA196" s="6">
        <v>17.600000000000001</v>
      </c>
    </row>
    <row r="197" spans="1:53" x14ac:dyDescent="0.3">
      <c r="A197" s="6">
        <v>155239803</v>
      </c>
      <c r="B197" s="6">
        <v>634277</v>
      </c>
      <c r="C197" s="6">
        <v>1059486</v>
      </c>
      <c r="D197" s="6">
        <v>6232</v>
      </c>
      <c r="E197" s="6" t="s">
        <v>106</v>
      </c>
      <c r="F197" s="6">
        <v>54370</v>
      </c>
      <c r="G197" s="6" t="s">
        <v>175</v>
      </c>
      <c r="H197" s="10">
        <v>45998</v>
      </c>
      <c r="I197" s="10">
        <v>45998</v>
      </c>
      <c r="J197" s="4">
        <v>45998.680555555555</v>
      </c>
      <c r="K197" s="4">
        <v>45998.878530092596</v>
      </c>
      <c r="L197" s="11">
        <v>45998.877141203702</v>
      </c>
      <c r="M197" s="10">
        <v>45998</v>
      </c>
      <c r="N197" s="6" t="s">
        <v>93</v>
      </c>
      <c r="O197" t="s">
        <v>144</v>
      </c>
      <c r="P197" s="6" t="s">
        <v>93</v>
      </c>
      <c r="Q197" t="s">
        <v>290</v>
      </c>
      <c r="R197" t="s">
        <v>73</v>
      </c>
      <c r="S197" s="6">
        <v>758654</v>
      </c>
      <c r="T197" s="6" t="s">
        <v>1</v>
      </c>
      <c r="U197">
        <v>224</v>
      </c>
      <c r="V197" s="6">
        <v>1</v>
      </c>
      <c r="W197" s="6">
        <v>6.5</v>
      </c>
      <c r="X197" s="6">
        <v>236.8</v>
      </c>
      <c r="Y197" s="6">
        <v>244.3</v>
      </c>
      <c r="Z197" s="6" t="s">
        <v>63</v>
      </c>
      <c r="AA197" t="s">
        <v>393</v>
      </c>
      <c r="AB197" s="6" t="s">
        <v>90</v>
      </c>
      <c r="AC197" t="s">
        <v>91</v>
      </c>
      <c r="AD197" t="s">
        <v>67</v>
      </c>
      <c r="AE197">
        <v>-2</v>
      </c>
      <c r="AF197">
        <v>0</v>
      </c>
      <c r="AG197">
        <v>0</v>
      </c>
      <c r="AH197" s="6">
        <v>49.6</v>
      </c>
      <c r="AI197" s="6">
        <v>0</v>
      </c>
      <c r="AJ197" s="6">
        <v>0.82499999999999996</v>
      </c>
      <c r="AK197" s="6">
        <v>0.46700000000000003</v>
      </c>
      <c r="AL197" s="8">
        <v>4454.8999999999996</v>
      </c>
      <c r="AM197" s="6" t="s">
        <v>68</v>
      </c>
      <c r="AN197" s="6">
        <v>1</v>
      </c>
      <c r="AO197" s="6">
        <v>1</v>
      </c>
      <c r="AP197" s="6">
        <v>0</v>
      </c>
      <c r="AQ197" s="6">
        <v>1</v>
      </c>
      <c r="AR197" s="6">
        <v>0</v>
      </c>
      <c r="AS197" s="6">
        <v>1</v>
      </c>
      <c r="AT197" s="6">
        <v>0</v>
      </c>
      <c r="AU197" s="6">
        <v>2.14</v>
      </c>
      <c r="AV197" s="6">
        <v>1.44</v>
      </c>
      <c r="AW197" s="6">
        <v>198.7</v>
      </c>
      <c r="AX197" s="6">
        <v>40.14</v>
      </c>
      <c r="AY197" s="6">
        <v>158.82</v>
      </c>
      <c r="AZ197" s="6">
        <v>4.7</v>
      </c>
      <c r="BA197" s="6">
        <v>42</v>
      </c>
    </row>
    <row r="198" spans="1:53" x14ac:dyDescent="0.3">
      <c r="A198" s="6">
        <v>408839723</v>
      </c>
      <c r="B198" s="6">
        <v>301629</v>
      </c>
      <c r="C198" s="6">
        <v>8633773</v>
      </c>
      <c r="D198" s="6">
        <v>7331</v>
      </c>
      <c r="E198" s="6" t="s">
        <v>84</v>
      </c>
      <c r="F198" s="6">
        <v>51773</v>
      </c>
      <c r="G198" s="6" t="s">
        <v>77</v>
      </c>
      <c r="H198" s="10">
        <v>45794</v>
      </c>
      <c r="I198" s="10">
        <v>45794</v>
      </c>
      <c r="J198" s="4">
        <v>45794.489583333336</v>
      </c>
      <c r="K198" s="4">
        <v>45794.707997685182</v>
      </c>
      <c r="L198" s="11">
        <v>45794.707997685182</v>
      </c>
      <c r="M198" s="10">
        <v>45794</v>
      </c>
      <c r="N198" s="6" t="s">
        <v>170</v>
      </c>
      <c r="O198" t="s">
        <v>171</v>
      </c>
      <c r="P198" s="6" t="s">
        <v>109</v>
      </c>
      <c r="Q198" t="s">
        <v>161</v>
      </c>
      <c r="R198" t="s">
        <v>88</v>
      </c>
      <c r="S198" s="6">
        <v>712358</v>
      </c>
      <c r="T198" s="6" t="s">
        <v>1</v>
      </c>
      <c r="U198">
        <v>195</v>
      </c>
      <c r="V198" s="6">
        <v>20.5</v>
      </c>
      <c r="W198" s="6">
        <v>29.8</v>
      </c>
      <c r="X198" s="6">
        <v>194.2</v>
      </c>
      <c r="Y198" s="6">
        <v>244.5</v>
      </c>
      <c r="Z198" s="6" t="s">
        <v>112</v>
      </c>
      <c r="AA198" t="s">
        <v>394</v>
      </c>
      <c r="AB198" s="6" t="s">
        <v>75</v>
      </c>
      <c r="AC198" t="s">
        <v>76</v>
      </c>
      <c r="AD198" t="s">
        <v>67</v>
      </c>
      <c r="AE198">
        <v>0</v>
      </c>
      <c r="AF198">
        <v>0</v>
      </c>
      <c r="AG198">
        <v>0</v>
      </c>
      <c r="AH198" s="6">
        <v>37.799999999999997</v>
      </c>
      <c r="AI198" s="6">
        <v>0</v>
      </c>
      <c r="AJ198" s="6">
        <v>0.84499999999999997</v>
      </c>
      <c r="AK198" s="6">
        <v>0.877</v>
      </c>
      <c r="AL198" s="8">
        <v>4375.28</v>
      </c>
      <c r="AM198" s="6" t="s">
        <v>68</v>
      </c>
      <c r="AN198" s="6">
        <v>1</v>
      </c>
      <c r="AO198" s="6">
        <v>1</v>
      </c>
      <c r="AP198" s="6">
        <v>0</v>
      </c>
      <c r="AQ198" s="6">
        <v>1</v>
      </c>
      <c r="AR198" s="6">
        <v>0</v>
      </c>
      <c r="AS198" s="6">
        <v>1</v>
      </c>
      <c r="AT198" s="6">
        <v>0</v>
      </c>
      <c r="AU198" s="6">
        <v>2.36</v>
      </c>
      <c r="AV198" s="6">
        <v>1.76</v>
      </c>
      <c r="AW198" s="6">
        <v>208.15</v>
      </c>
      <c r="AX198" s="6">
        <v>43.92</v>
      </c>
      <c r="AY198" s="6">
        <v>118.34</v>
      </c>
      <c r="AZ198" s="6">
        <v>63.5</v>
      </c>
      <c r="BA198" s="6">
        <v>3.4</v>
      </c>
    </row>
    <row r="199" spans="1:53" x14ac:dyDescent="0.3">
      <c r="A199" s="6">
        <v>744685429</v>
      </c>
      <c r="B199" s="6">
        <v>321231</v>
      </c>
      <c r="C199" s="6">
        <v>3646552</v>
      </c>
      <c r="D199" s="6">
        <v>5636</v>
      </c>
      <c r="E199" s="6" t="s">
        <v>84</v>
      </c>
      <c r="F199" s="6">
        <v>53561</v>
      </c>
      <c r="G199" s="6" t="s">
        <v>69</v>
      </c>
      <c r="H199" s="10">
        <v>45687</v>
      </c>
      <c r="I199" s="10">
        <v>45687</v>
      </c>
      <c r="J199" s="4">
        <v>45687.34375</v>
      </c>
      <c r="K199" s="4">
        <v>45687.504814814813</v>
      </c>
      <c r="L199" s="11">
        <v>45687.496481481481</v>
      </c>
      <c r="M199" s="10">
        <v>45687</v>
      </c>
      <c r="N199" s="6" t="s">
        <v>200</v>
      </c>
      <c r="O199" t="s">
        <v>275</v>
      </c>
      <c r="P199" s="6" t="s">
        <v>86</v>
      </c>
      <c r="Q199" t="s">
        <v>108</v>
      </c>
      <c r="R199" t="s">
        <v>88</v>
      </c>
      <c r="S199" s="6">
        <v>775527</v>
      </c>
      <c r="T199" s="6" t="s">
        <v>1</v>
      </c>
      <c r="U199">
        <v>226</v>
      </c>
      <c r="V199" s="6">
        <v>42.5</v>
      </c>
      <c r="W199" s="6">
        <v>44.4</v>
      </c>
      <c r="X199" s="6">
        <v>228.2</v>
      </c>
      <c r="Y199" s="6">
        <v>315.10000000000002</v>
      </c>
      <c r="Z199" s="6" t="s">
        <v>63</v>
      </c>
      <c r="AA199" t="s">
        <v>395</v>
      </c>
      <c r="AB199" s="6" t="s">
        <v>97</v>
      </c>
      <c r="AC199" t="s">
        <v>137</v>
      </c>
      <c r="AD199" t="s">
        <v>67</v>
      </c>
      <c r="AE199">
        <v>-12</v>
      </c>
      <c r="AF199">
        <v>0</v>
      </c>
      <c r="AG199">
        <v>0</v>
      </c>
      <c r="AH199" s="6">
        <v>51.3</v>
      </c>
      <c r="AI199" s="6">
        <v>0</v>
      </c>
      <c r="AJ199" s="6">
        <v>0.80200000000000005</v>
      </c>
      <c r="AK199" s="6">
        <v>0.627</v>
      </c>
      <c r="AL199" s="8">
        <v>1577.31</v>
      </c>
      <c r="AM199" s="6" t="s">
        <v>68</v>
      </c>
      <c r="AN199" s="6">
        <v>1</v>
      </c>
      <c r="AO199" s="6">
        <v>1</v>
      </c>
      <c r="AP199" s="6">
        <v>0</v>
      </c>
      <c r="AQ199" s="6">
        <v>1</v>
      </c>
      <c r="AR199" s="6">
        <v>0</v>
      </c>
      <c r="AS199" s="6">
        <v>1</v>
      </c>
      <c r="AT199" s="6">
        <v>0</v>
      </c>
      <c r="AU199" s="6">
        <v>2.1800000000000002</v>
      </c>
      <c r="AV199" s="6">
        <v>1.74</v>
      </c>
      <c r="AW199" s="6">
        <v>257.06</v>
      </c>
      <c r="AX199" s="6">
        <v>67.13</v>
      </c>
      <c r="AY199" s="6">
        <v>176.25</v>
      </c>
      <c r="AZ199" s="6">
        <v>37.799999999999997</v>
      </c>
      <c r="BA199" s="6">
        <v>4.9000000000000004</v>
      </c>
    </row>
    <row r="200" spans="1:53" x14ac:dyDescent="0.3">
      <c r="A200" s="6">
        <v>435489452</v>
      </c>
      <c r="B200" s="6">
        <v>719176</v>
      </c>
      <c r="C200" s="6">
        <v>2130789</v>
      </c>
      <c r="D200" s="6">
        <v>6311</v>
      </c>
      <c r="E200" s="6" t="s">
        <v>211</v>
      </c>
      <c r="F200" s="6">
        <v>53816</v>
      </c>
      <c r="G200" s="6" t="s">
        <v>164</v>
      </c>
      <c r="H200" s="10">
        <v>45799</v>
      </c>
      <c r="I200" s="10">
        <v>45799</v>
      </c>
      <c r="J200" s="4">
        <v>45799.3125</v>
      </c>
      <c r="K200" s="4">
        <v>45799.376944444448</v>
      </c>
      <c r="L200" s="11">
        <v>45799.391527777778</v>
      </c>
      <c r="M200" s="10">
        <v>45799</v>
      </c>
      <c r="N200" s="6" t="s">
        <v>93</v>
      </c>
      <c r="O200" t="s">
        <v>95</v>
      </c>
      <c r="P200" s="6" t="s">
        <v>93</v>
      </c>
      <c r="Q200" t="s">
        <v>95</v>
      </c>
      <c r="R200" t="s">
        <v>73</v>
      </c>
      <c r="S200" s="6">
        <v>758654</v>
      </c>
      <c r="T200" s="6" t="s">
        <v>3</v>
      </c>
      <c r="U200">
        <v>52</v>
      </c>
      <c r="V200" s="6">
        <v>32.6</v>
      </c>
      <c r="W200" s="6">
        <v>12.9</v>
      </c>
      <c r="X200" s="6">
        <v>47.2</v>
      </c>
      <c r="Y200" s="6">
        <v>92.7</v>
      </c>
      <c r="Z200" s="6" t="s">
        <v>63</v>
      </c>
      <c r="AA200" t="s">
        <v>396</v>
      </c>
      <c r="AB200" s="6" t="s">
        <v>97</v>
      </c>
      <c r="AC200" t="s">
        <v>137</v>
      </c>
      <c r="AD200" t="s">
        <v>67</v>
      </c>
      <c r="AE200">
        <v>21</v>
      </c>
      <c r="AF200">
        <v>0</v>
      </c>
      <c r="AG200">
        <v>0</v>
      </c>
      <c r="AH200" s="6">
        <v>28.2</v>
      </c>
      <c r="AI200" s="6">
        <v>0</v>
      </c>
      <c r="AJ200" s="6">
        <v>0.52200000000000002</v>
      </c>
      <c r="AK200" s="6">
        <v>0.48099999999999998</v>
      </c>
      <c r="AL200" s="8">
        <v>13587.77</v>
      </c>
      <c r="AM200" s="6" t="s">
        <v>114</v>
      </c>
      <c r="AN200" s="6">
        <v>1</v>
      </c>
      <c r="AO200" s="6">
        <v>0</v>
      </c>
      <c r="AP200" s="6">
        <v>1</v>
      </c>
      <c r="AQ200" s="6">
        <v>0</v>
      </c>
      <c r="AR200" s="6">
        <v>1</v>
      </c>
      <c r="AS200" s="6">
        <v>0</v>
      </c>
      <c r="AT200" s="6">
        <v>1</v>
      </c>
      <c r="AU200" s="6">
        <v>2.2999999999999998</v>
      </c>
      <c r="AV200" s="6">
        <v>1.64</v>
      </c>
      <c r="AW200" s="6">
        <v>68.53</v>
      </c>
      <c r="AX200" s="6">
        <v>18.21</v>
      </c>
      <c r="AY200" s="6">
        <v>46.42</v>
      </c>
      <c r="AZ200" s="6">
        <v>17</v>
      </c>
      <c r="BA200" s="6">
        <v>44.2</v>
      </c>
    </row>
    <row r="201" spans="1:53" x14ac:dyDescent="0.3">
      <c r="A201" s="6">
        <v>477577220</v>
      </c>
      <c r="B201" s="6">
        <v>310922</v>
      </c>
      <c r="C201" s="6">
        <v>7361002</v>
      </c>
      <c r="D201" s="6">
        <v>5555</v>
      </c>
      <c r="E201" s="6" t="s">
        <v>106</v>
      </c>
      <c r="F201" s="6">
        <v>56633</v>
      </c>
      <c r="G201" s="6" t="s">
        <v>98</v>
      </c>
      <c r="H201" s="10">
        <v>45877</v>
      </c>
      <c r="I201" s="10">
        <v>45877</v>
      </c>
      <c r="J201" s="4">
        <v>45877.166666666664</v>
      </c>
      <c r="K201" s="4">
        <v>45877.517233796294</v>
      </c>
      <c r="L201" s="11">
        <v>45877.525567129633</v>
      </c>
      <c r="M201" s="10">
        <v>45877</v>
      </c>
      <c r="N201" s="6" t="s">
        <v>121</v>
      </c>
      <c r="O201" t="s">
        <v>143</v>
      </c>
      <c r="P201" s="6" t="s">
        <v>70</v>
      </c>
      <c r="Q201" t="s">
        <v>152</v>
      </c>
      <c r="R201" t="s">
        <v>73</v>
      </c>
      <c r="S201" s="6">
        <v>725703</v>
      </c>
      <c r="T201" s="6" t="s">
        <v>1</v>
      </c>
      <c r="U201">
        <v>306</v>
      </c>
      <c r="V201" s="6">
        <v>35.6</v>
      </c>
      <c r="W201" s="6">
        <v>3.7</v>
      </c>
      <c r="X201" s="6">
        <v>306.3</v>
      </c>
      <c r="Y201" s="6">
        <v>345.6</v>
      </c>
      <c r="Z201" s="6" t="s">
        <v>63</v>
      </c>
      <c r="AA201" t="s">
        <v>397</v>
      </c>
      <c r="AB201" s="6" t="s">
        <v>82</v>
      </c>
      <c r="AC201" t="s">
        <v>154</v>
      </c>
      <c r="AD201" t="s">
        <v>67</v>
      </c>
      <c r="AE201">
        <v>12</v>
      </c>
      <c r="AF201">
        <v>52</v>
      </c>
      <c r="AG201">
        <v>0</v>
      </c>
      <c r="AH201" s="6">
        <v>56.8</v>
      </c>
      <c r="AI201" s="6">
        <v>0</v>
      </c>
      <c r="AJ201" s="6">
        <v>0.48799999999999999</v>
      </c>
      <c r="AK201" s="6">
        <v>0.82399999999999995</v>
      </c>
      <c r="AL201" s="8">
        <v>3801.3</v>
      </c>
      <c r="AM201" s="6" t="s">
        <v>68</v>
      </c>
      <c r="AN201" s="6">
        <v>1</v>
      </c>
      <c r="AO201" s="6">
        <v>1</v>
      </c>
      <c r="AP201" s="6">
        <v>0</v>
      </c>
      <c r="AQ201" s="6">
        <v>1</v>
      </c>
      <c r="AR201" s="6">
        <v>0</v>
      </c>
      <c r="AS201" s="6">
        <v>1</v>
      </c>
      <c r="AT201" s="6">
        <v>0</v>
      </c>
      <c r="AU201" s="6">
        <v>1.8</v>
      </c>
      <c r="AV201" s="6">
        <v>1.42</v>
      </c>
      <c r="AW201" s="6">
        <v>317.12</v>
      </c>
      <c r="AX201" s="6">
        <v>52.01</v>
      </c>
      <c r="AY201" s="6">
        <v>242.24</v>
      </c>
      <c r="AZ201" s="6">
        <v>31.6</v>
      </c>
      <c r="BA201" s="6">
        <v>59.6</v>
      </c>
    </row>
    <row r="202" spans="1:53" x14ac:dyDescent="0.3">
      <c r="A202" s="6">
        <v>211240259</v>
      </c>
      <c r="B202" s="6">
        <v>391476</v>
      </c>
      <c r="C202" s="6">
        <v>8999183</v>
      </c>
      <c r="D202" s="6">
        <v>6618</v>
      </c>
      <c r="E202" s="6" t="s">
        <v>92</v>
      </c>
      <c r="F202" s="6">
        <v>51756</v>
      </c>
      <c r="G202" s="6" t="s">
        <v>207</v>
      </c>
      <c r="H202" s="10">
        <v>45845</v>
      </c>
      <c r="I202" s="10">
        <v>45845</v>
      </c>
      <c r="J202" s="4">
        <v>45845.694444444445</v>
      </c>
      <c r="K202" s="4">
        <v>45845.941099537034</v>
      </c>
      <c r="L202" s="11">
        <v>45845.938321759262</v>
      </c>
      <c r="M202" s="10">
        <v>45845</v>
      </c>
      <c r="N202" s="6" t="s">
        <v>150</v>
      </c>
      <c r="O202" t="s">
        <v>151</v>
      </c>
      <c r="P202" s="6" t="s">
        <v>103</v>
      </c>
      <c r="Q202" t="s">
        <v>285</v>
      </c>
      <c r="R202" t="s">
        <v>73</v>
      </c>
      <c r="S202" s="6">
        <v>729083</v>
      </c>
      <c r="T202" s="6" t="s">
        <v>111</v>
      </c>
      <c r="U202">
        <v>302</v>
      </c>
      <c r="V202" s="6">
        <v>35</v>
      </c>
      <c r="W202" s="6">
        <v>27.2</v>
      </c>
      <c r="X202" s="6">
        <v>300.39999999999998</v>
      </c>
      <c r="Y202" s="6">
        <v>362.6</v>
      </c>
      <c r="Z202" s="6" t="s">
        <v>2</v>
      </c>
      <c r="AA202" t="s">
        <v>398</v>
      </c>
      <c r="AB202" s="6" t="s">
        <v>90</v>
      </c>
      <c r="AC202" t="s">
        <v>83</v>
      </c>
      <c r="AD202" t="s">
        <v>67</v>
      </c>
      <c r="AE202">
        <v>-4</v>
      </c>
      <c r="AF202">
        <v>0</v>
      </c>
      <c r="AG202">
        <v>0</v>
      </c>
      <c r="AH202" s="6">
        <v>51.3</v>
      </c>
      <c r="AI202" s="6">
        <v>0</v>
      </c>
      <c r="AJ202" s="6">
        <v>0.85699999999999998</v>
      </c>
      <c r="AK202" s="6">
        <v>0.71199999999999997</v>
      </c>
      <c r="AL202" s="8">
        <v>2628.82</v>
      </c>
      <c r="AM202" s="6" t="s">
        <v>68</v>
      </c>
      <c r="AN202" s="6">
        <v>1</v>
      </c>
      <c r="AO202" s="6">
        <v>1</v>
      </c>
      <c r="AP202" s="6">
        <v>0</v>
      </c>
      <c r="AQ202" s="6">
        <v>1</v>
      </c>
      <c r="AR202" s="6">
        <v>0</v>
      </c>
      <c r="AS202" s="6">
        <v>1</v>
      </c>
      <c r="AT202" s="6">
        <v>0</v>
      </c>
      <c r="AU202" s="6">
        <v>2.31</v>
      </c>
      <c r="AV202" s="6">
        <v>1.85</v>
      </c>
      <c r="AW202" s="6">
        <v>229.33</v>
      </c>
      <c r="AX202" s="6">
        <v>73</v>
      </c>
      <c r="AY202" s="6">
        <v>250.32</v>
      </c>
      <c r="AZ202" s="6">
        <v>51.7</v>
      </c>
      <c r="BA202" s="6">
        <v>46.5</v>
      </c>
    </row>
    <row r="203" spans="1:53" x14ac:dyDescent="0.3">
      <c r="A203" s="6">
        <v>720535283</v>
      </c>
      <c r="B203" s="6">
        <v>440035</v>
      </c>
      <c r="C203" s="6">
        <v>1156287</v>
      </c>
      <c r="D203" s="6">
        <v>8858</v>
      </c>
      <c r="E203" s="6" t="s">
        <v>57</v>
      </c>
      <c r="F203" s="6">
        <v>52373</v>
      </c>
      <c r="G203" s="6" t="s">
        <v>69</v>
      </c>
      <c r="H203" s="10">
        <v>45911</v>
      </c>
      <c r="I203" s="10">
        <v>45911</v>
      </c>
      <c r="J203" s="4">
        <v>45911.322916666664</v>
      </c>
      <c r="K203" s="4">
        <v>45911.764340277776</v>
      </c>
      <c r="L203" s="11">
        <v>45911.757395833331</v>
      </c>
      <c r="M203" s="10">
        <v>45911</v>
      </c>
      <c r="N203" s="6" t="s">
        <v>200</v>
      </c>
      <c r="O203" t="s">
        <v>275</v>
      </c>
      <c r="P203" s="6" t="s">
        <v>200</v>
      </c>
      <c r="Q203" t="s">
        <v>171</v>
      </c>
      <c r="R203" t="s">
        <v>62</v>
      </c>
      <c r="S203" s="6">
        <v>725966</v>
      </c>
      <c r="T203" s="6" t="s">
        <v>111</v>
      </c>
      <c r="U203">
        <v>444</v>
      </c>
      <c r="V203" s="6">
        <v>43.9</v>
      </c>
      <c r="W203" s="6">
        <v>19.399999999999999</v>
      </c>
      <c r="X203" s="6">
        <v>450.6</v>
      </c>
      <c r="Y203" s="6">
        <v>513.9</v>
      </c>
      <c r="Z203" s="6" t="s">
        <v>63</v>
      </c>
      <c r="AA203" t="s">
        <v>399</v>
      </c>
      <c r="AB203" s="6" t="s">
        <v>97</v>
      </c>
      <c r="AC203" t="s">
        <v>137</v>
      </c>
      <c r="AD203" t="s">
        <v>67</v>
      </c>
      <c r="AE203">
        <v>-10</v>
      </c>
      <c r="AF203">
        <v>0</v>
      </c>
      <c r="AG203">
        <v>0</v>
      </c>
      <c r="AH203" s="6">
        <v>39.799999999999997</v>
      </c>
      <c r="AI203" s="6">
        <v>0</v>
      </c>
      <c r="AJ203" s="6">
        <v>0.67</v>
      </c>
      <c r="AK203" s="6">
        <v>0.85399999999999998</v>
      </c>
      <c r="AL203" s="8">
        <v>4744.55</v>
      </c>
      <c r="AM203" s="6" t="s">
        <v>68</v>
      </c>
      <c r="AN203" s="6">
        <v>1</v>
      </c>
      <c r="AO203" s="6">
        <v>1</v>
      </c>
      <c r="AP203" s="6">
        <v>0</v>
      </c>
      <c r="AQ203" s="6">
        <v>1</v>
      </c>
      <c r="AR203" s="6">
        <v>0</v>
      </c>
      <c r="AS203" s="6">
        <v>1</v>
      </c>
      <c r="AT203" s="6">
        <v>0</v>
      </c>
      <c r="AU203" s="6">
        <v>2.5299999999999998</v>
      </c>
      <c r="AV203" s="6">
        <v>1.71</v>
      </c>
      <c r="AW203" s="6">
        <v>394.89</v>
      </c>
      <c r="AX203" s="6">
        <v>78.63</v>
      </c>
      <c r="AY203" s="6">
        <v>366.07</v>
      </c>
      <c r="AZ203" s="6">
        <v>8.3000000000000007</v>
      </c>
      <c r="BA203" s="6">
        <v>38.5</v>
      </c>
    </row>
    <row r="204" spans="1:53" x14ac:dyDescent="0.3">
      <c r="A204" s="6">
        <v>644830077</v>
      </c>
      <c r="B204" s="6">
        <v>391476</v>
      </c>
      <c r="C204" s="6">
        <v>8999183</v>
      </c>
      <c r="D204" s="6">
        <v>6618</v>
      </c>
      <c r="E204" s="6" t="s">
        <v>92</v>
      </c>
      <c r="F204" s="6">
        <v>52576</v>
      </c>
      <c r="G204" s="6" t="s">
        <v>127</v>
      </c>
      <c r="H204" s="10">
        <v>45678</v>
      </c>
      <c r="I204" s="10">
        <v>45678</v>
      </c>
      <c r="J204" s="4">
        <v>45678.288194444445</v>
      </c>
      <c r="K204" s="4">
        <v>45678.671168981484</v>
      </c>
      <c r="L204" s="11">
        <v>45678.654502314814</v>
      </c>
      <c r="M204" s="10">
        <v>45678</v>
      </c>
      <c r="N204" s="6" t="s">
        <v>134</v>
      </c>
      <c r="O204" t="s">
        <v>172</v>
      </c>
      <c r="P204" s="6" t="s">
        <v>176</v>
      </c>
      <c r="Q204" t="s">
        <v>316</v>
      </c>
      <c r="R204" t="s">
        <v>88</v>
      </c>
      <c r="S204" s="6">
        <v>773553</v>
      </c>
      <c r="T204" s="6" t="s">
        <v>111</v>
      </c>
      <c r="U204">
        <v>494</v>
      </c>
      <c r="V204" s="6">
        <v>37.5</v>
      </c>
      <c r="W204" s="6">
        <v>26.8</v>
      </c>
      <c r="X204" s="6">
        <v>500.3</v>
      </c>
      <c r="Y204" s="6">
        <v>564.6</v>
      </c>
      <c r="Z204" s="6" t="s">
        <v>2</v>
      </c>
      <c r="AA204" t="s">
        <v>400</v>
      </c>
      <c r="AB204" s="6" t="s">
        <v>97</v>
      </c>
      <c r="AC204" t="s">
        <v>66</v>
      </c>
      <c r="AD204" t="s">
        <v>67</v>
      </c>
      <c r="AE204">
        <v>-24</v>
      </c>
      <c r="AF204">
        <v>0</v>
      </c>
      <c r="AG204">
        <v>0</v>
      </c>
      <c r="AH204" s="6">
        <v>59.2</v>
      </c>
      <c r="AI204" s="6">
        <v>0</v>
      </c>
      <c r="AJ204" s="6">
        <v>0.84599999999999997</v>
      </c>
      <c r="AK204" s="6">
        <v>0.30199999999999999</v>
      </c>
      <c r="AL204" s="8">
        <v>2456.19</v>
      </c>
      <c r="AM204" s="6" t="s">
        <v>68</v>
      </c>
      <c r="AN204" s="6">
        <v>1</v>
      </c>
      <c r="AO204" s="6">
        <v>1</v>
      </c>
      <c r="AP204" s="6">
        <v>0</v>
      </c>
      <c r="AQ204" s="6">
        <v>1</v>
      </c>
      <c r="AR204" s="6">
        <v>0</v>
      </c>
      <c r="AS204" s="6">
        <v>1</v>
      </c>
      <c r="AT204" s="6">
        <v>0</v>
      </c>
      <c r="AU204" s="6">
        <v>2.63</v>
      </c>
      <c r="AV204" s="6">
        <v>1.91</v>
      </c>
      <c r="AW204" s="6">
        <v>436.45</v>
      </c>
      <c r="AX204" s="6">
        <v>65.28</v>
      </c>
      <c r="AY204" s="6">
        <v>358.2</v>
      </c>
      <c r="AZ204" s="6">
        <v>51.7</v>
      </c>
      <c r="BA204" s="6">
        <v>38.4</v>
      </c>
    </row>
    <row r="205" spans="1:53" x14ac:dyDescent="0.3">
      <c r="A205" s="6">
        <v>328426553</v>
      </c>
      <c r="B205" s="6">
        <v>724834</v>
      </c>
      <c r="C205" s="6">
        <v>1701771</v>
      </c>
      <c r="D205" s="6">
        <v>6249</v>
      </c>
      <c r="E205" s="6" t="s">
        <v>142</v>
      </c>
      <c r="F205" s="6">
        <v>59083</v>
      </c>
      <c r="G205" s="6" t="s">
        <v>115</v>
      </c>
      <c r="H205" s="10">
        <v>45761</v>
      </c>
      <c r="I205" s="10">
        <v>45761</v>
      </c>
      <c r="J205" s="4">
        <v>45761.34375</v>
      </c>
      <c r="K205" s="4">
        <v>45761.689583333333</v>
      </c>
      <c r="L205" s="11">
        <v>45761.667361111111</v>
      </c>
      <c r="M205" s="10">
        <v>45761</v>
      </c>
      <c r="N205" s="6" t="s">
        <v>86</v>
      </c>
      <c r="O205" t="s">
        <v>268</v>
      </c>
      <c r="P205" s="6" t="s">
        <v>150</v>
      </c>
      <c r="Q205" t="s">
        <v>159</v>
      </c>
      <c r="R205" t="s">
        <v>73</v>
      </c>
      <c r="S205" s="6">
        <v>780739</v>
      </c>
      <c r="T205" s="6" t="s">
        <v>111</v>
      </c>
      <c r="U205">
        <v>474</v>
      </c>
      <c r="V205" s="6">
        <v>24.7</v>
      </c>
      <c r="W205" s="6">
        <v>17.600000000000001</v>
      </c>
      <c r="X205" s="6">
        <v>481</v>
      </c>
      <c r="Y205" s="6">
        <v>523.29999999999995</v>
      </c>
      <c r="Z205" s="6" t="s">
        <v>2</v>
      </c>
      <c r="AA205" t="s">
        <v>401</v>
      </c>
      <c r="AB205" s="6" t="s">
        <v>97</v>
      </c>
      <c r="AC205" t="s">
        <v>83</v>
      </c>
      <c r="AD205" t="s">
        <v>67</v>
      </c>
      <c r="AE205">
        <v>-32</v>
      </c>
      <c r="AF205">
        <v>0</v>
      </c>
      <c r="AG205">
        <v>0</v>
      </c>
      <c r="AH205" s="6">
        <v>58.4</v>
      </c>
      <c r="AI205" s="6">
        <v>0</v>
      </c>
      <c r="AJ205" s="6">
        <v>0.58099999999999996</v>
      </c>
      <c r="AK205" s="6">
        <v>0.53600000000000003</v>
      </c>
      <c r="AL205" s="8">
        <v>10513.05</v>
      </c>
      <c r="AM205" s="6" t="s">
        <v>114</v>
      </c>
      <c r="AN205" s="6">
        <v>1</v>
      </c>
      <c r="AO205" s="6">
        <v>1</v>
      </c>
      <c r="AP205" s="6">
        <v>0</v>
      </c>
      <c r="AQ205" s="6">
        <v>1</v>
      </c>
      <c r="AR205" s="6">
        <v>0</v>
      </c>
      <c r="AS205" s="6">
        <v>1</v>
      </c>
      <c r="AT205" s="6">
        <v>0</v>
      </c>
      <c r="AU205" s="6">
        <v>2.4</v>
      </c>
      <c r="AV205" s="6">
        <v>1.5</v>
      </c>
      <c r="AW205" s="6">
        <v>362.09</v>
      </c>
      <c r="AX205" s="6">
        <v>73.75</v>
      </c>
      <c r="AY205" s="6">
        <v>352.54</v>
      </c>
      <c r="AZ205" s="6">
        <v>4.4000000000000004</v>
      </c>
      <c r="BA205" s="6">
        <v>5.3</v>
      </c>
    </row>
    <row r="206" spans="1:53" x14ac:dyDescent="0.3">
      <c r="A206" s="6">
        <v>266140258</v>
      </c>
      <c r="B206" s="6">
        <v>813536</v>
      </c>
      <c r="C206" s="6">
        <v>3500715</v>
      </c>
      <c r="D206" s="6">
        <v>5737</v>
      </c>
      <c r="E206" s="6" t="s">
        <v>57</v>
      </c>
      <c r="F206" s="6">
        <v>54184</v>
      </c>
      <c r="G206" s="6" t="s">
        <v>149</v>
      </c>
      <c r="H206" s="10">
        <v>45957</v>
      </c>
      <c r="I206" s="10">
        <v>45957</v>
      </c>
      <c r="J206" s="4">
        <v>45957.493055555555</v>
      </c>
      <c r="K206" s="4">
        <v>45957.659687500003</v>
      </c>
      <c r="L206" s="11">
        <v>45957.659687500003</v>
      </c>
      <c r="M206" s="10">
        <v>45957</v>
      </c>
      <c r="N206" s="6" t="s">
        <v>70</v>
      </c>
      <c r="O206" t="s">
        <v>152</v>
      </c>
      <c r="P206" s="6" t="s">
        <v>78</v>
      </c>
      <c r="Q206" t="s">
        <v>147</v>
      </c>
      <c r="R206" t="s">
        <v>88</v>
      </c>
      <c r="S206" s="6">
        <v>796425</v>
      </c>
      <c r="T206" s="6" t="s">
        <v>1</v>
      </c>
      <c r="U206">
        <v>144</v>
      </c>
      <c r="V206" s="6">
        <v>14.7</v>
      </c>
      <c r="W206" s="6">
        <v>38.4</v>
      </c>
      <c r="X206" s="6">
        <v>144.5</v>
      </c>
      <c r="Y206" s="6">
        <v>197.6</v>
      </c>
      <c r="Z206" s="6" t="s">
        <v>2</v>
      </c>
      <c r="AA206" t="s">
        <v>402</v>
      </c>
      <c r="AB206" s="6" t="s">
        <v>75</v>
      </c>
      <c r="AC206" t="s">
        <v>83</v>
      </c>
      <c r="AD206" t="s">
        <v>67</v>
      </c>
      <c r="AE206">
        <v>0</v>
      </c>
      <c r="AF206">
        <v>0</v>
      </c>
      <c r="AG206">
        <v>0</v>
      </c>
      <c r="AH206" s="6">
        <v>49.7</v>
      </c>
      <c r="AI206" s="6">
        <v>0</v>
      </c>
      <c r="AJ206" s="6">
        <v>0.91100000000000003</v>
      </c>
      <c r="AK206" s="6">
        <v>0.80300000000000005</v>
      </c>
      <c r="AL206" s="8">
        <v>3338.11</v>
      </c>
      <c r="AM206" s="6" t="s">
        <v>68</v>
      </c>
      <c r="AN206" s="6">
        <v>1</v>
      </c>
      <c r="AO206" s="6">
        <v>1</v>
      </c>
      <c r="AP206" s="6">
        <v>0</v>
      </c>
      <c r="AQ206" s="6">
        <v>1</v>
      </c>
      <c r="AR206" s="6">
        <v>0</v>
      </c>
      <c r="AS206" s="6">
        <v>1</v>
      </c>
      <c r="AT206" s="6">
        <v>0</v>
      </c>
      <c r="AU206" s="6">
        <v>2.46</v>
      </c>
      <c r="AV206" s="6">
        <v>1.68</v>
      </c>
      <c r="AW206" s="6">
        <v>155.63</v>
      </c>
      <c r="AX206" s="6">
        <v>38.840000000000003</v>
      </c>
      <c r="AY206" s="6">
        <v>123.87</v>
      </c>
      <c r="AZ206" s="6">
        <v>6.9</v>
      </c>
      <c r="BA206" s="6">
        <v>35.5</v>
      </c>
    </row>
    <row r="207" spans="1:53" x14ac:dyDescent="0.3">
      <c r="A207" s="6">
        <v>805165232</v>
      </c>
      <c r="B207" s="6">
        <v>220116</v>
      </c>
      <c r="C207" s="6">
        <v>6933742</v>
      </c>
      <c r="D207" s="6">
        <v>5218</v>
      </c>
      <c r="E207" s="6" t="s">
        <v>57</v>
      </c>
      <c r="F207" s="6">
        <v>58899</v>
      </c>
      <c r="G207" s="6" t="s">
        <v>203</v>
      </c>
      <c r="H207" s="10">
        <v>45687</v>
      </c>
      <c r="I207" s="10">
        <v>45687</v>
      </c>
      <c r="J207" s="4">
        <v>45687.513888888891</v>
      </c>
      <c r="K207" s="4">
        <v>45687.576388888891</v>
      </c>
      <c r="L207" s="11">
        <v>45687.561111111114</v>
      </c>
      <c r="M207" s="10">
        <v>45687</v>
      </c>
      <c r="N207" s="6" t="s">
        <v>86</v>
      </c>
      <c r="O207" t="s">
        <v>87</v>
      </c>
      <c r="P207" s="6" t="s">
        <v>132</v>
      </c>
      <c r="Q207" t="s">
        <v>186</v>
      </c>
      <c r="R207" t="s">
        <v>62</v>
      </c>
      <c r="S207" s="6">
        <v>772918</v>
      </c>
      <c r="T207" s="6" t="s">
        <v>3</v>
      </c>
      <c r="U207">
        <v>46</v>
      </c>
      <c r="V207" s="6">
        <v>37.799999999999997</v>
      </c>
      <c r="W207" s="6">
        <v>19</v>
      </c>
      <c r="X207" s="6">
        <v>58.2</v>
      </c>
      <c r="Y207" s="6">
        <v>115</v>
      </c>
      <c r="Z207" s="6" t="s">
        <v>63</v>
      </c>
      <c r="AA207" t="s">
        <v>403</v>
      </c>
      <c r="AB207" s="6" t="s">
        <v>75</v>
      </c>
      <c r="AC207" t="s">
        <v>137</v>
      </c>
      <c r="AD207" t="s">
        <v>67</v>
      </c>
      <c r="AE207">
        <v>-22</v>
      </c>
      <c r="AF207">
        <v>0</v>
      </c>
      <c r="AG207">
        <v>0</v>
      </c>
      <c r="AH207" s="6">
        <v>64</v>
      </c>
      <c r="AI207" s="6">
        <v>0</v>
      </c>
      <c r="AJ207" s="6">
        <v>0.63400000000000001</v>
      </c>
      <c r="AK207" s="6">
        <v>0.85799999999999998</v>
      </c>
      <c r="AL207" s="8">
        <v>1503.79</v>
      </c>
      <c r="AM207" s="6" t="s">
        <v>68</v>
      </c>
      <c r="AN207" s="6">
        <v>1</v>
      </c>
      <c r="AO207" s="6">
        <v>1</v>
      </c>
      <c r="AP207" s="6">
        <v>0</v>
      </c>
      <c r="AQ207" s="6">
        <v>1</v>
      </c>
      <c r="AR207" s="6">
        <v>0</v>
      </c>
      <c r="AS207" s="6">
        <v>1</v>
      </c>
      <c r="AT207" s="6">
        <v>0</v>
      </c>
      <c r="AU207" s="6">
        <v>2.2400000000000002</v>
      </c>
      <c r="AV207" s="6">
        <v>1.34</v>
      </c>
      <c r="AW207" s="6">
        <v>78.89</v>
      </c>
      <c r="AX207" s="6">
        <v>24.69</v>
      </c>
      <c r="AY207" s="6">
        <v>68.78</v>
      </c>
      <c r="AZ207" s="6">
        <v>31.9</v>
      </c>
      <c r="BA207" s="6">
        <v>42.6</v>
      </c>
    </row>
    <row r="208" spans="1:53" x14ac:dyDescent="0.3">
      <c r="A208" s="6">
        <v>617746926</v>
      </c>
      <c r="B208" s="6">
        <v>230889</v>
      </c>
      <c r="C208" s="6">
        <v>9147706</v>
      </c>
      <c r="D208" s="6">
        <v>2016</v>
      </c>
      <c r="E208" s="6" t="s">
        <v>84</v>
      </c>
      <c r="F208" s="6">
        <v>52397</v>
      </c>
      <c r="G208" s="6" t="s">
        <v>146</v>
      </c>
      <c r="H208" s="10">
        <v>45970</v>
      </c>
      <c r="I208" s="10">
        <v>45970</v>
      </c>
      <c r="J208" s="4">
        <v>45970.722222222219</v>
      </c>
      <c r="K208" s="4">
        <v>45970.952025462961</v>
      </c>
      <c r="L208" s="11">
        <v>45970.924247685187</v>
      </c>
      <c r="M208" s="10">
        <v>45970</v>
      </c>
      <c r="N208" s="6" t="s">
        <v>116</v>
      </c>
      <c r="O208" t="s">
        <v>128</v>
      </c>
      <c r="P208" s="6" t="s">
        <v>70</v>
      </c>
      <c r="Q208" t="s">
        <v>138</v>
      </c>
      <c r="R208" t="s">
        <v>73</v>
      </c>
      <c r="S208" s="6">
        <v>729716</v>
      </c>
      <c r="T208" s="6" t="s">
        <v>1</v>
      </c>
      <c r="U208">
        <v>259</v>
      </c>
      <c r="V208" s="6">
        <v>21.5</v>
      </c>
      <c r="W208" s="6">
        <v>8.4</v>
      </c>
      <c r="X208" s="6">
        <v>263.8</v>
      </c>
      <c r="Y208" s="6">
        <v>293.7</v>
      </c>
      <c r="Z208" s="6" t="s">
        <v>2</v>
      </c>
      <c r="AA208" t="s">
        <v>404</v>
      </c>
      <c r="AB208" s="6" t="s">
        <v>90</v>
      </c>
      <c r="AC208" t="s">
        <v>91</v>
      </c>
      <c r="AD208" t="s">
        <v>67</v>
      </c>
      <c r="AE208">
        <v>-40</v>
      </c>
      <c r="AF208">
        <v>0</v>
      </c>
      <c r="AG208">
        <v>0</v>
      </c>
      <c r="AH208" s="6">
        <v>68</v>
      </c>
      <c r="AI208" s="6">
        <v>0</v>
      </c>
      <c r="AJ208" s="6">
        <v>0.53900000000000003</v>
      </c>
      <c r="AK208" s="6">
        <v>0.39</v>
      </c>
      <c r="AL208" s="8">
        <v>7479.4</v>
      </c>
      <c r="AM208" s="6" t="s">
        <v>114</v>
      </c>
      <c r="AN208" s="6">
        <v>1</v>
      </c>
      <c r="AO208" s="6">
        <v>1</v>
      </c>
      <c r="AP208" s="6">
        <v>0</v>
      </c>
      <c r="AQ208" s="6">
        <v>1</v>
      </c>
      <c r="AR208" s="6">
        <v>0</v>
      </c>
      <c r="AS208" s="6">
        <v>1</v>
      </c>
      <c r="AT208" s="6">
        <v>0</v>
      </c>
      <c r="AU208" s="6">
        <v>2.46</v>
      </c>
      <c r="AV208" s="6">
        <v>1.44</v>
      </c>
      <c r="AW208" s="6">
        <v>221.16</v>
      </c>
      <c r="AX208" s="6">
        <v>64.040000000000006</v>
      </c>
      <c r="AY208" s="6">
        <v>199.75</v>
      </c>
      <c r="AZ208" s="6">
        <v>28.3</v>
      </c>
      <c r="BA208" s="6">
        <v>2.2000000000000002</v>
      </c>
    </row>
    <row r="209" spans="1:53" x14ac:dyDescent="0.3">
      <c r="A209" s="6">
        <v>340781088</v>
      </c>
      <c r="B209" s="6">
        <v>301629</v>
      </c>
      <c r="C209" s="6">
        <v>8633773</v>
      </c>
      <c r="D209" s="6">
        <v>7331</v>
      </c>
      <c r="E209" s="6" t="s">
        <v>84</v>
      </c>
      <c r="F209" s="6">
        <v>55969</v>
      </c>
      <c r="G209" s="6" t="s">
        <v>203</v>
      </c>
      <c r="H209" s="10">
        <v>45691</v>
      </c>
      <c r="I209" s="10">
        <v>45691</v>
      </c>
      <c r="J209" s="4">
        <v>45691.052083333336</v>
      </c>
      <c r="K209" s="4">
        <v>45691.420844907407</v>
      </c>
      <c r="L209" s="11">
        <v>45691.395844907405</v>
      </c>
      <c r="M209" s="10">
        <v>45691</v>
      </c>
      <c r="N209" s="6" t="s">
        <v>116</v>
      </c>
      <c r="O209" t="s">
        <v>117</v>
      </c>
      <c r="P209" s="6" t="s">
        <v>129</v>
      </c>
      <c r="Q209" t="s">
        <v>162</v>
      </c>
      <c r="R209" t="s">
        <v>123</v>
      </c>
      <c r="S209" s="6">
        <v>778087</v>
      </c>
      <c r="T209" s="6" t="s">
        <v>111</v>
      </c>
      <c r="U209">
        <v>309</v>
      </c>
      <c r="V209" s="6">
        <v>44.8</v>
      </c>
      <c r="W209" s="6">
        <v>7.6</v>
      </c>
      <c r="X209" s="6">
        <v>300.39999999999998</v>
      </c>
      <c r="Y209" s="6">
        <v>352.8</v>
      </c>
      <c r="Z209" s="6" t="s">
        <v>112</v>
      </c>
      <c r="AA209" t="s">
        <v>376</v>
      </c>
      <c r="AB209" s="6" t="s">
        <v>82</v>
      </c>
      <c r="AC209" t="s">
        <v>83</v>
      </c>
      <c r="AD209" t="s">
        <v>67</v>
      </c>
      <c r="AE209">
        <v>-36</v>
      </c>
      <c r="AF209">
        <v>0</v>
      </c>
      <c r="AG209">
        <v>0</v>
      </c>
      <c r="AH209" s="6">
        <v>45.8</v>
      </c>
      <c r="AI209" s="6">
        <v>0</v>
      </c>
      <c r="AJ209" s="6">
        <v>0.69799999999999995</v>
      </c>
      <c r="AK209" s="6">
        <v>0.65100000000000002</v>
      </c>
      <c r="AL209" s="8">
        <v>2939.29</v>
      </c>
      <c r="AM209" s="6" t="s">
        <v>68</v>
      </c>
      <c r="AN209" s="6">
        <v>1</v>
      </c>
      <c r="AO209" s="6">
        <v>1</v>
      </c>
      <c r="AP209" s="6">
        <v>0</v>
      </c>
      <c r="AQ209" s="6">
        <v>1</v>
      </c>
      <c r="AR209" s="6">
        <v>0</v>
      </c>
      <c r="AS209" s="6">
        <v>1</v>
      </c>
      <c r="AT209" s="6">
        <v>0</v>
      </c>
      <c r="AU209" s="6">
        <v>2.2400000000000002</v>
      </c>
      <c r="AV209" s="6">
        <v>1.74</v>
      </c>
      <c r="AW209" s="6">
        <v>264.42</v>
      </c>
      <c r="AX209" s="6">
        <v>62.34</v>
      </c>
      <c r="AY209" s="6">
        <v>235.06</v>
      </c>
      <c r="AZ209" s="6">
        <v>63.5</v>
      </c>
      <c r="BA209" s="6">
        <v>0</v>
      </c>
    </row>
    <row r="210" spans="1:53" x14ac:dyDescent="0.3">
      <c r="A210" s="6">
        <v>216198604</v>
      </c>
      <c r="B210" s="6">
        <v>308496</v>
      </c>
      <c r="C210" s="6">
        <v>5076817</v>
      </c>
      <c r="D210" s="6">
        <v>3747</v>
      </c>
      <c r="E210" s="6" t="s">
        <v>126</v>
      </c>
      <c r="F210" s="6">
        <v>54535</v>
      </c>
      <c r="G210" s="6" t="s">
        <v>164</v>
      </c>
      <c r="H210" s="10">
        <v>45962</v>
      </c>
      <c r="I210" s="10">
        <v>45962</v>
      </c>
      <c r="J210" s="4">
        <v>45962.295138888891</v>
      </c>
      <c r="K210" s="4">
        <v>45963.053148148145</v>
      </c>
      <c r="L210" s="11">
        <v>45963.030231481483</v>
      </c>
      <c r="M210" s="10">
        <v>45963</v>
      </c>
      <c r="N210" s="6" t="s">
        <v>86</v>
      </c>
      <c r="O210" t="s">
        <v>253</v>
      </c>
      <c r="P210" s="6" t="s">
        <v>150</v>
      </c>
      <c r="Q210" t="s">
        <v>159</v>
      </c>
      <c r="R210" t="s">
        <v>73</v>
      </c>
      <c r="S210" s="6">
        <v>780739</v>
      </c>
      <c r="T210" s="6" t="s">
        <v>140</v>
      </c>
      <c r="U210">
        <v>942</v>
      </c>
      <c r="V210" s="6">
        <v>53.4</v>
      </c>
      <c r="W210" s="6">
        <v>8.5</v>
      </c>
      <c r="X210" s="6">
        <v>951.3</v>
      </c>
      <c r="Y210" s="6">
        <v>1013.2</v>
      </c>
      <c r="Z210" s="6" t="s">
        <v>80</v>
      </c>
      <c r="AA210" t="s">
        <v>405</v>
      </c>
      <c r="AB210" s="6" t="s">
        <v>97</v>
      </c>
      <c r="AC210" t="s">
        <v>76</v>
      </c>
      <c r="AD210" t="s">
        <v>67</v>
      </c>
      <c r="AE210">
        <v>-33</v>
      </c>
      <c r="AF210">
        <v>0</v>
      </c>
      <c r="AG210">
        <v>0</v>
      </c>
      <c r="AH210" s="6">
        <v>68.400000000000006</v>
      </c>
      <c r="AI210" s="6">
        <v>0</v>
      </c>
      <c r="AJ210" s="6">
        <v>0.71</v>
      </c>
      <c r="AK210" s="6">
        <v>0.55500000000000005</v>
      </c>
      <c r="AL210" s="8">
        <v>4172.47</v>
      </c>
      <c r="AM210" s="6" t="s">
        <v>68</v>
      </c>
      <c r="AN210" s="6">
        <v>1</v>
      </c>
      <c r="AO210" s="6">
        <v>1</v>
      </c>
      <c r="AP210" s="6">
        <v>0</v>
      </c>
      <c r="AQ210" s="6">
        <v>1</v>
      </c>
      <c r="AR210" s="6">
        <v>0</v>
      </c>
      <c r="AS210" s="6">
        <v>1</v>
      </c>
      <c r="AT210" s="6">
        <v>0</v>
      </c>
      <c r="AU210" s="6">
        <v>2.0099999999999998</v>
      </c>
      <c r="AV210" s="6">
        <v>1.55</v>
      </c>
      <c r="AW210" s="6">
        <v>863.18</v>
      </c>
      <c r="AX210" s="6">
        <v>159.47999999999999</v>
      </c>
      <c r="AY210" s="6">
        <v>664.65</v>
      </c>
      <c r="AZ210" s="6">
        <v>15.5</v>
      </c>
      <c r="BA210" s="6">
        <v>52</v>
      </c>
    </row>
    <row r="211" spans="1:53" x14ac:dyDescent="0.3">
      <c r="A211" s="6">
        <v>475932035</v>
      </c>
      <c r="B211" s="6">
        <v>813536</v>
      </c>
      <c r="C211" s="6">
        <v>3500715</v>
      </c>
      <c r="D211" s="6">
        <v>5737</v>
      </c>
      <c r="E211" s="6" t="s">
        <v>57</v>
      </c>
      <c r="F211" s="6">
        <v>56883</v>
      </c>
      <c r="G211" s="6" t="s">
        <v>175</v>
      </c>
      <c r="H211" s="10">
        <v>45789</v>
      </c>
      <c r="I211" s="10">
        <v>45789</v>
      </c>
      <c r="J211" s="4">
        <v>45789.527777777781</v>
      </c>
      <c r="K211" s="4">
        <v>45789.897916666669</v>
      </c>
      <c r="L211" s="11">
        <v>45789.912499999999</v>
      </c>
      <c r="M211" s="10">
        <v>45789</v>
      </c>
      <c r="N211" s="6" t="s">
        <v>70</v>
      </c>
      <c r="O211" t="s">
        <v>322</v>
      </c>
      <c r="P211" s="6" t="s">
        <v>70</v>
      </c>
      <c r="Q211" t="s">
        <v>71</v>
      </c>
      <c r="R211" t="s">
        <v>73</v>
      </c>
      <c r="S211" s="6">
        <v>733303</v>
      </c>
      <c r="T211" s="6" t="s">
        <v>1</v>
      </c>
      <c r="U211">
        <v>259</v>
      </c>
      <c r="V211" s="6">
        <v>51.5</v>
      </c>
      <c r="W211" s="6">
        <v>27.7</v>
      </c>
      <c r="X211" s="6">
        <v>259</v>
      </c>
      <c r="Y211" s="6">
        <v>338.2</v>
      </c>
      <c r="Z211" s="6" t="s">
        <v>2</v>
      </c>
      <c r="AA211" t="s">
        <v>406</v>
      </c>
      <c r="AB211" s="6" t="s">
        <v>75</v>
      </c>
      <c r="AC211" t="s">
        <v>83</v>
      </c>
      <c r="AD211" t="s">
        <v>67</v>
      </c>
      <c r="AE211">
        <v>21</v>
      </c>
      <c r="AF211">
        <v>0</v>
      </c>
      <c r="AG211">
        <v>0</v>
      </c>
      <c r="AH211" s="6">
        <v>31.8</v>
      </c>
      <c r="AI211" s="6">
        <v>0</v>
      </c>
      <c r="AJ211" s="6">
        <v>0.72699999999999998</v>
      </c>
      <c r="AK211" s="6">
        <v>0.57399999999999995</v>
      </c>
      <c r="AL211" s="8">
        <v>5126.99</v>
      </c>
      <c r="AM211" s="6" t="s">
        <v>68</v>
      </c>
      <c r="AN211" s="6">
        <v>1</v>
      </c>
      <c r="AO211" s="6">
        <v>0</v>
      </c>
      <c r="AP211" s="6">
        <v>1</v>
      </c>
      <c r="AQ211" s="6">
        <v>0</v>
      </c>
      <c r="AR211" s="6">
        <v>1</v>
      </c>
      <c r="AS211" s="6">
        <v>0</v>
      </c>
      <c r="AT211" s="6">
        <v>1</v>
      </c>
      <c r="AU211" s="6">
        <v>2.23</v>
      </c>
      <c r="AV211" s="6">
        <v>1.45</v>
      </c>
      <c r="AW211" s="6">
        <v>305.32</v>
      </c>
      <c r="AX211" s="6">
        <v>40.4</v>
      </c>
      <c r="AY211" s="6">
        <v>234.89</v>
      </c>
      <c r="AZ211" s="6">
        <v>6.9</v>
      </c>
      <c r="BA211" s="6">
        <v>47.9</v>
      </c>
    </row>
    <row r="212" spans="1:53" x14ac:dyDescent="0.3">
      <c r="A212" s="6">
        <v>697285504</v>
      </c>
      <c r="B212" s="6">
        <v>246316</v>
      </c>
      <c r="C212" s="6">
        <v>1352896</v>
      </c>
      <c r="D212" s="6">
        <v>5426</v>
      </c>
      <c r="E212" s="6" t="s">
        <v>185</v>
      </c>
      <c r="F212" s="6">
        <v>58127</v>
      </c>
      <c r="G212" s="6" t="s">
        <v>146</v>
      </c>
      <c r="H212" s="10">
        <v>45881</v>
      </c>
      <c r="I212" s="10">
        <v>45881</v>
      </c>
      <c r="J212" s="4">
        <v>45881.298611111109</v>
      </c>
      <c r="K212" s="4">
        <v>45881.394050925926</v>
      </c>
      <c r="L212" s="11">
        <v>45881.394745370373</v>
      </c>
      <c r="M212" s="10">
        <v>45881</v>
      </c>
      <c r="N212" s="6" t="s">
        <v>132</v>
      </c>
      <c r="O212" t="s">
        <v>186</v>
      </c>
      <c r="P212" s="6" t="s">
        <v>132</v>
      </c>
      <c r="Q212" t="s">
        <v>133</v>
      </c>
      <c r="R212" t="s">
        <v>62</v>
      </c>
      <c r="S212" s="6">
        <v>711807</v>
      </c>
      <c r="T212" s="6" t="s">
        <v>3</v>
      </c>
      <c r="U212">
        <v>85</v>
      </c>
      <c r="V212" s="6">
        <v>1.8</v>
      </c>
      <c r="W212" s="6">
        <v>10.3</v>
      </c>
      <c r="X212" s="6">
        <v>91.8</v>
      </c>
      <c r="Y212" s="6">
        <v>103.9</v>
      </c>
      <c r="Z212" s="6" t="s">
        <v>63</v>
      </c>
      <c r="AA212" t="s">
        <v>407</v>
      </c>
      <c r="AB212" s="6" t="s">
        <v>97</v>
      </c>
      <c r="AC212" t="s">
        <v>66</v>
      </c>
      <c r="AD212" t="s">
        <v>67</v>
      </c>
      <c r="AE212">
        <v>1</v>
      </c>
      <c r="AF212">
        <v>0</v>
      </c>
      <c r="AG212">
        <v>0</v>
      </c>
      <c r="AH212" s="6">
        <v>61.9</v>
      </c>
      <c r="AI212" s="6">
        <v>0</v>
      </c>
      <c r="AJ212" s="6">
        <v>0.44400000000000001</v>
      </c>
      <c r="AK212" s="6">
        <v>0.63300000000000001</v>
      </c>
      <c r="AL212" s="8">
        <v>6834.88</v>
      </c>
      <c r="AM212" s="6" t="s">
        <v>114</v>
      </c>
      <c r="AN212" s="6">
        <v>1</v>
      </c>
      <c r="AO212" s="6">
        <v>1</v>
      </c>
      <c r="AP212" s="6">
        <v>0</v>
      </c>
      <c r="AQ212" s="6">
        <v>1</v>
      </c>
      <c r="AR212" s="6">
        <v>0</v>
      </c>
      <c r="AS212" s="6">
        <v>1</v>
      </c>
      <c r="AT212" s="6">
        <v>0</v>
      </c>
      <c r="AU212" s="6">
        <v>2.0699999999999998</v>
      </c>
      <c r="AV212" s="6">
        <v>1.41</v>
      </c>
      <c r="AW212" s="6">
        <v>70.739999999999995</v>
      </c>
      <c r="AX212" s="6">
        <v>11.67</v>
      </c>
      <c r="AY212" s="6">
        <v>73.03</v>
      </c>
      <c r="AZ212" s="6">
        <v>28.1</v>
      </c>
      <c r="BA212" s="6">
        <v>13.8</v>
      </c>
    </row>
    <row r="213" spans="1:53" x14ac:dyDescent="0.3">
      <c r="A213" s="6">
        <v>494665673</v>
      </c>
      <c r="B213" s="6">
        <v>358607</v>
      </c>
      <c r="C213" s="6">
        <v>5727085</v>
      </c>
      <c r="D213" s="6">
        <v>6864</v>
      </c>
      <c r="E213" s="6" t="s">
        <v>84</v>
      </c>
      <c r="F213" s="6">
        <v>59168</v>
      </c>
      <c r="G213" s="6" t="s">
        <v>127</v>
      </c>
      <c r="H213" s="10">
        <v>45713</v>
      </c>
      <c r="I213" s="10">
        <v>45713</v>
      </c>
      <c r="J213" s="4">
        <v>45713.319444444445</v>
      </c>
      <c r="K213" s="4">
        <v>45713.381944444445</v>
      </c>
      <c r="L213" s="11">
        <v>45713.370138888888</v>
      </c>
      <c r="M213" s="10">
        <v>45713</v>
      </c>
      <c r="N213" s="6" t="s">
        <v>129</v>
      </c>
      <c r="O213" t="s">
        <v>156</v>
      </c>
      <c r="P213" s="6" t="s">
        <v>129</v>
      </c>
      <c r="Q213" t="s">
        <v>241</v>
      </c>
      <c r="R213" t="s">
        <v>123</v>
      </c>
      <c r="S213" s="6">
        <v>739365</v>
      </c>
      <c r="T213" s="6" t="s">
        <v>3</v>
      </c>
      <c r="U213">
        <v>29</v>
      </c>
      <c r="V213" s="6">
        <v>42.9</v>
      </c>
      <c r="W213" s="6">
        <v>27.7</v>
      </c>
      <c r="X213" s="6">
        <v>22.7</v>
      </c>
      <c r="Y213" s="6">
        <v>93.3</v>
      </c>
      <c r="Z213" s="6" t="s">
        <v>63</v>
      </c>
      <c r="AA213" t="s">
        <v>89</v>
      </c>
      <c r="AB213" s="6" t="s">
        <v>97</v>
      </c>
      <c r="AC213" t="s">
        <v>66</v>
      </c>
      <c r="AD213" t="s">
        <v>67</v>
      </c>
      <c r="AE213">
        <v>-17</v>
      </c>
      <c r="AF213">
        <v>0</v>
      </c>
      <c r="AG213">
        <v>0</v>
      </c>
      <c r="AH213" s="6">
        <v>77</v>
      </c>
      <c r="AI213" s="6">
        <v>0</v>
      </c>
      <c r="AJ213" s="6">
        <v>0.40899999999999997</v>
      </c>
      <c r="AK213" s="6">
        <v>0.39500000000000002</v>
      </c>
      <c r="AL213" s="8">
        <v>9719.4500000000007</v>
      </c>
      <c r="AM213" s="6" t="s">
        <v>114</v>
      </c>
      <c r="AN213" s="6">
        <v>1</v>
      </c>
      <c r="AO213" s="6">
        <v>1</v>
      </c>
      <c r="AP213" s="6">
        <v>0</v>
      </c>
      <c r="AQ213" s="6">
        <v>1</v>
      </c>
      <c r="AR213" s="6">
        <v>0</v>
      </c>
      <c r="AS213" s="6">
        <v>1</v>
      </c>
      <c r="AT213" s="6">
        <v>0</v>
      </c>
      <c r="AU213" s="6">
        <v>2.5499999999999998</v>
      </c>
      <c r="AV213" s="6">
        <v>1.76</v>
      </c>
      <c r="AW213" s="6">
        <v>85.6</v>
      </c>
      <c r="AX213" s="6">
        <v>15.14</v>
      </c>
      <c r="AY213" s="6">
        <v>54.75</v>
      </c>
      <c r="AZ213" s="6">
        <v>7.3</v>
      </c>
      <c r="BA213" s="6">
        <v>39</v>
      </c>
    </row>
    <row r="214" spans="1:53" x14ac:dyDescent="0.3">
      <c r="A214" s="6">
        <v>223357166</v>
      </c>
      <c r="B214" s="6">
        <v>945964</v>
      </c>
      <c r="C214" s="6">
        <v>8290770</v>
      </c>
      <c r="D214" s="6">
        <v>8400</v>
      </c>
      <c r="E214" s="6" t="s">
        <v>142</v>
      </c>
      <c r="F214" s="6">
        <v>50734</v>
      </c>
      <c r="G214" s="6" t="s">
        <v>127</v>
      </c>
      <c r="H214" s="10">
        <v>45682</v>
      </c>
      <c r="I214" s="10">
        <v>45682</v>
      </c>
      <c r="J214" s="4">
        <v>45682</v>
      </c>
      <c r="K214" s="4">
        <v>45682.193854166668</v>
      </c>
      <c r="L214" s="11">
        <v>45682.187604166669</v>
      </c>
      <c r="M214" s="10">
        <v>45682</v>
      </c>
      <c r="N214" s="6" t="s">
        <v>116</v>
      </c>
      <c r="O214" t="s">
        <v>128</v>
      </c>
      <c r="P214" s="6" t="s">
        <v>59</v>
      </c>
      <c r="Q214" t="s">
        <v>99</v>
      </c>
      <c r="R214" t="s">
        <v>62</v>
      </c>
      <c r="S214" s="6">
        <v>732749</v>
      </c>
      <c r="T214" s="6" t="s">
        <v>1</v>
      </c>
      <c r="U214">
        <v>259</v>
      </c>
      <c r="V214" s="6">
        <v>33.9</v>
      </c>
      <c r="W214" s="6">
        <v>4.8</v>
      </c>
      <c r="X214" s="6">
        <v>258.60000000000002</v>
      </c>
      <c r="Y214" s="6">
        <v>297.3</v>
      </c>
      <c r="Z214" s="6" t="s">
        <v>112</v>
      </c>
      <c r="AA214" t="s">
        <v>408</v>
      </c>
      <c r="AB214" s="6" t="s">
        <v>82</v>
      </c>
      <c r="AC214" t="s">
        <v>76</v>
      </c>
      <c r="AD214" t="s">
        <v>67</v>
      </c>
      <c r="AE214">
        <v>-9</v>
      </c>
      <c r="AF214">
        <v>49</v>
      </c>
      <c r="AG214">
        <v>0</v>
      </c>
      <c r="AH214" s="6">
        <v>44.9</v>
      </c>
      <c r="AI214" s="6">
        <v>0</v>
      </c>
      <c r="AJ214" s="6">
        <v>0.80900000000000005</v>
      </c>
      <c r="AK214" s="6">
        <v>0.41799999999999998</v>
      </c>
      <c r="AL214" s="8">
        <v>3526.61</v>
      </c>
      <c r="AM214" s="6" t="s">
        <v>68</v>
      </c>
      <c r="AN214" s="6">
        <v>1</v>
      </c>
      <c r="AO214" s="6">
        <v>1</v>
      </c>
      <c r="AP214" s="6">
        <v>0</v>
      </c>
      <c r="AQ214" s="6">
        <v>1</v>
      </c>
      <c r="AR214" s="6">
        <v>0</v>
      </c>
      <c r="AS214" s="6">
        <v>1</v>
      </c>
      <c r="AT214" s="6">
        <v>0</v>
      </c>
      <c r="AU214" s="6">
        <v>2.0699999999999998</v>
      </c>
      <c r="AV214" s="6">
        <v>1.44</v>
      </c>
      <c r="AW214" s="6">
        <v>268.19</v>
      </c>
      <c r="AX214" s="6">
        <v>55.69</v>
      </c>
      <c r="AY214" s="6">
        <v>162.88</v>
      </c>
      <c r="AZ214" s="6">
        <v>32.6</v>
      </c>
      <c r="BA214" s="6">
        <v>11.5</v>
      </c>
    </row>
    <row r="215" spans="1:53" x14ac:dyDescent="0.3">
      <c r="A215" s="6">
        <v>918841563</v>
      </c>
      <c r="B215" s="6">
        <v>955662</v>
      </c>
      <c r="C215" s="6">
        <v>8315831</v>
      </c>
      <c r="D215" s="6">
        <v>9445</v>
      </c>
      <c r="E215" s="6" t="s">
        <v>84</v>
      </c>
      <c r="F215" s="6">
        <v>50632</v>
      </c>
      <c r="G215" s="6" t="s">
        <v>146</v>
      </c>
      <c r="H215" s="10">
        <v>45736</v>
      </c>
      <c r="I215" s="10">
        <v>45736</v>
      </c>
      <c r="J215" s="4">
        <v>45736.770833333336</v>
      </c>
      <c r="K215" s="4">
        <v>45737.010196759256</v>
      </c>
      <c r="L215" s="11">
        <v>45737.006030092591</v>
      </c>
      <c r="M215" s="10">
        <v>45737</v>
      </c>
      <c r="N215" s="6" t="s">
        <v>103</v>
      </c>
      <c r="O215" t="s">
        <v>99</v>
      </c>
      <c r="P215" s="6" t="s">
        <v>134</v>
      </c>
      <c r="Q215" t="s">
        <v>248</v>
      </c>
      <c r="R215" t="s">
        <v>73</v>
      </c>
      <c r="S215" s="6">
        <v>763999</v>
      </c>
      <c r="T215" s="6" t="s">
        <v>1</v>
      </c>
      <c r="U215">
        <v>251</v>
      </c>
      <c r="V215" s="6">
        <v>11.1</v>
      </c>
      <c r="W215" s="6">
        <v>0.8</v>
      </c>
      <c r="X215" s="6">
        <v>255.5</v>
      </c>
      <c r="Y215" s="6">
        <v>267.39999999999998</v>
      </c>
      <c r="Z215" s="6" t="s">
        <v>80</v>
      </c>
      <c r="AA215" t="s">
        <v>409</v>
      </c>
      <c r="AB215" s="6" t="s">
        <v>65</v>
      </c>
      <c r="AC215" t="s">
        <v>137</v>
      </c>
      <c r="AD215" t="s">
        <v>67</v>
      </c>
      <c r="AE215">
        <v>-6</v>
      </c>
      <c r="AF215">
        <v>0</v>
      </c>
      <c r="AG215">
        <v>0</v>
      </c>
      <c r="AH215" s="6">
        <v>47</v>
      </c>
      <c r="AI215" s="6">
        <v>0</v>
      </c>
      <c r="AJ215" s="6">
        <v>0.82799999999999996</v>
      </c>
      <c r="AK215" s="6">
        <v>0.77500000000000002</v>
      </c>
      <c r="AL215" s="8">
        <v>4638.08</v>
      </c>
      <c r="AM215" s="6" t="s">
        <v>68</v>
      </c>
      <c r="AN215" s="6">
        <v>1</v>
      </c>
      <c r="AO215" s="6">
        <v>1</v>
      </c>
      <c r="AP215" s="6">
        <v>0</v>
      </c>
      <c r="AQ215" s="6">
        <v>1</v>
      </c>
      <c r="AR215" s="6">
        <v>0</v>
      </c>
      <c r="AS215" s="6">
        <v>1</v>
      </c>
      <c r="AT215" s="6">
        <v>0</v>
      </c>
      <c r="AU215" s="6">
        <v>2.4</v>
      </c>
      <c r="AV215" s="6">
        <v>1.46</v>
      </c>
      <c r="AW215" s="6">
        <v>174.83</v>
      </c>
      <c r="AX215" s="6">
        <v>37.130000000000003</v>
      </c>
      <c r="AY215" s="6">
        <v>161.19999999999999</v>
      </c>
      <c r="AZ215" s="6">
        <v>18.100000000000001</v>
      </c>
      <c r="BA215" s="6">
        <v>35.299999999999997</v>
      </c>
    </row>
    <row r="216" spans="1:53" x14ac:dyDescent="0.3">
      <c r="A216" s="6">
        <v>399110343</v>
      </c>
      <c r="B216" s="6">
        <v>864544</v>
      </c>
      <c r="C216" s="6">
        <v>5374922</v>
      </c>
      <c r="D216" s="6">
        <v>8385</v>
      </c>
      <c r="E216" s="6" t="s">
        <v>84</v>
      </c>
      <c r="F216" s="6">
        <v>54268</v>
      </c>
      <c r="G216" s="6" t="s">
        <v>149</v>
      </c>
      <c r="H216" s="10">
        <v>45704</v>
      </c>
      <c r="I216" s="10">
        <v>45704</v>
      </c>
      <c r="J216" s="4">
        <v>45704.597222222219</v>
      </c>
      <c r="K216" s="4">
        <v>45704.680752314816</v>
      </c>
      <c r="L216" s="11">
        <v>45704.655057870368</v>
      </c>
      <c r="M216" s="10">
        <v>45704</v>
      </c>
      <c r="N216" s="6" t="s">
        <v>150</v>
      </c>
      <c r="O216" t="s">
        <v>311</v>
      </c>
      <c r="P216" s="6" t="s">
        <v>150</v>
      </c>
      <c r="Q216" t="s">
        <v>311</v>
      </c>
      <c r="R216" t="s">
        <v>73</v>
      </c>
      <c r="S216" s="6">
        <v>710286</v>
      </c>
      <c r="T216" s="6" t="s">
        <v>3</v>
      </c>
      <c r="U216">
        <v>94</v>
      </c>
      <c r="V216" s="6">
        <v>19.5</v>
      </c>
      <c r="W216" s="6">
        <v>0</v>
      </c>
      <c r="X216" s="6">
        <v>95.5</v>
      </c>
      <c r="Y216" s="6">
        <v>115</v>
      </c>
      <c r="Z216" s="6" t="s">
        <v>63</v>
      </c>
      <c r="AA216" t="s">
        <v>410</v>
      </c>
      <c r="AB216" s="6" t="s">
        <v>90</v>
      </c>
      <c r="AC216" t="s">
        <v>91</v>
      </c>
      <c r="AD216" t="s">
        <v>67</v>
      </c>
      <c r="AE216">
        <v>-37</v>
      </c>
      <c r="AF216">
        <v>0</v>
      </c>
      <c r="AG216">
        <v>0</v>
      </c>
      <c r="AH216" s="6">
        <v>42.6</v>
      </c>
      <c r="AI216" s="6">
        <v>0</v>
      </c>
      <c r="AJ216" s="6">
        <v>0.498</v>
      </c>
      <c r="AK216" s="6">
        <v>0.90700000000000003</v>
      </c>
      <c r="AL216" s="8">
        <v>4928.37</v>
      </c>
      <c r="AM216" s="6" t="s">
        <v>68</v>
      </c>
      <c r="AN216" s="6">
        <v>1</v>
      </c>
      <c r="AO216" s="6">
        <v>1</v>
      </c>
      <c r="AP216" s="6">
        <v>0</v>
      </c>
      <c r="AQ216" s="6">
        <v>1</v>
      </c>
      <c r="AR216" s="6">
        <v>0</v>
      </c>
      <c r="AS216" s="6">
        <v>1</v>
      </c>
      <c r="AT216" s="6">
        <v>0</v>
      </c>
      <c r="AU216" s="6">
        <v>2.2200000000000002</v>
      </c>
      <c r="AV216" s="6">
        <v>1.67</v>
      </c>
      <c r="AW216" s="6">
        <v>102.78</v>
      </c>
      <c r="AX216" s="6">
        <v>20.81</v>
      </c>
      <c r="AY216" s="6">
        <v>57.77</v>
      </c>
      <c r="AZ216" s="6">
        <v>24.5</v>
      </c>
      <c r="BA216" s="6">
        <v>42.7</v>
      </c>
    </row>
    <row r="217" spans="1:53" x14ac:dyDescent="0.3">
      <c r="A217" s="6">
        <v>716435189</v>
      </c>
      <c r="B217" s="6">
        <v>584714</v>
      </c>
      <c r="C217" s="6">
        <v>5004485</v>
      </c>
      <c r="D217" s="6">
        <v>7938</v>
      </c>
      <c r="E217" s="6" t="s">
        <v>84</v>
      </c>
      <c r="F217" s="6">
        <v>54099</v>
      </c>
      <c r="G217" s="6" t="s">
        <v>69</v>
      </c>
      <c r="H217" s="10">
        <v>45772</v>
      </c>
      <c r="I217" s="10">
        <v>45772</v>
      </c>
      <c r="J217" s="4">
        <v>45772.270833333336</v>
      </c>
      <c r="K217" s="4">
        <v>45772.646249999998</v>
      </c>
      <c r="L217" s="11">
        <v>45772.675416666665</v>
      </c>
      <c r="M217" s="10">
        <v>45772</v>
      </c>
      <c r="N217" s="6" t="s">
        <v>103</v>
      </c>
      <c r="O217" t="s">
        <v>232</v>
      </c>
      <c r="P217" s="6" t="s">
        <v>59</v>
      </c>
      <c r="Q217" t="s">
        <v>60</v>
      </c>
      <c r="R217" t="s">
        <v>62</v>
      </c>
      <c r="S217" s="6">
        <v>768714</v>
      </c>
      <c r="T217" s="6" t="s">
        <v>140</v>
      </c>
      <c r="U217">
        <v>503</v>
      </c>
      <c r="V217" s="6">
        <v>23.7</v>
      </c>
      <c r="W217" s="6">
        <v>16.899999999999999</v>
      </c>
      <c r="X217" s="6">
        <v>502.1</v>
      </c>
      <c r="Y217" s="6">
        <v>542.70000000000005</v>
      </c>
      <c r="Z217" s="6" t="s">
        <v>63</v>
      </c>
      <c r="AA217" t="s">
        <v>411</v>
      </c>
      <c r="AB217" s="6" t="s">
        <v>97</v>
      </c>
      <c r="AC217" t="s">
        <v>154</v>
      </c>
      <c r="AD217" t="s">
        <v>192</v>
      </c>
      <c r="AE217">
        <v>42</v>
      </c>
      <c r="AF217">
        <v>0</v>
      </c>
      <c r="AG217">
        <v>2.1</v>
      </c>
      <c r="AH217" s="6">
        <v>52.4</v>
      </c>
      <c r="AI217" s="6">
        <v>0</v>
      </c>
      <c r="AJ217" s="6">
        <v>0.63</v>
      </c>
      <c r="AK217" s="6">
        <v>0.56100000000000005</v>
      </c>
      <c r="AL217" s="8">
        <v>72898.11</v>
      </c>
      <c r="AM217" s="6" t="s">
        <v>155</v>
      </c>
      <c r="AN217" s="6">
        <v>1</v>
      </c>
      <c r="AO217" s="6">
        <v>0</v>
      </c>
      <c r="AP217" s="6">
        <v>1</v>
      </c>
      <c r="AQ217" s="6">
        <v>0</v>
      </c>
      <c r="AR217" s="6">
        <v>1</v>
      </c>
      <c r="AS217" s="6">
        <v>0</v>
      </c>
      <c r="AT217" s="6">
        <v>1</v>
      </c>
      <c r="AU217" s="6">
        <v>2.02</v>
      </c>
      <c r="AV217" s="6">
        <v>1.33</v>
      </c>
      <c r="AW217" s="6">
        <v>428.39</v>
      </c>
      <c r="AX217" s="6">
        <v>91.44</v>
      </c>
      <c r="AY217" s="6">
        <v>382.69</v>
      </c>
      <c r="AZ217" s="6">
        <v>0.2</v>
      </c>
      <c r="BA217" s="6">
        <v>50.4</v>
      </c>
    </row>
    <row r="218" spans="1:53" x14ac:dyDescent="0.3">
      <c r="A218" s="6">
        <v>342836476</v>
      </c>
      <c r="B218" s="6">
        <v>198246</v>
      </c>
      <c r="C218" s="6">
        <v>9626108</v>
      </c>
      <c r="D218" s="6">
        <v>5555</v>
      </c>
      <c r="E218" s="6" t="s">
        <v>57</v>
      </c>
      <c r="F218" s="6">
        <v>52901</v>
      </c>
      <c r="G218" s="6" t="s">
        <v>98</v>
      </c>
      <c r="H218" s="10">
        <v>45845</v>
      </c>
      <c r="I218" s="10">
        <v>45845</v>
      </c>
      <c r="J218" s="4">
        <v>45845.208333333336</v>
      </c>
      <c r="K218" s="4">
        <v>45845.347731481481</v>
      </c>
      <c r="L218" s="11">
        <v>45845.510231481479</v>
      </c>
      <c r="M218" s="10">
        <v>45845</v>
      </c>
      <c r="N218" s="6" t="s">
        <v>70</v>
      </c>
      <c r="O218" t="s">
        <v>72</v>
      </c>
      <c r="P218" s="6" t="s">
        <v>103</v>
      </c>
      <c r="Q218" t="s">
        <v>232</v>
      </c>
      <c r="R218" t="s">
        <v>73</v>
      </c>
      <c r="S218" s="6">
        <v>732275</v>
      </c>
      <c r="T218" s="6" t="s">
        <v>1</v>
      </c>
      <c r="U218">
        <v>109</v>
      </c>
      <c r="V218" s="6">
        <v>15.4</v>
      </c>
      <c r="W218" s="6">
        <v>40.1</v>
      </c>
      <c r="X218" s="6">
        <v>94.2</v>
      </c>
      <c r="Y218" s="6">
        <v>149.69999999999999</v>
      </c>
      <c r="Z218" s="6" t="s">
        <v>80</v>
      </c>
      <c r="AA218" t="s">
        <v>412</v>
      </c>
      <c r="AB218" s="6" t="s">
        <v>82</v>
      </c>
      <c r="AC218" t="s">
        <v>83</v>
      </c>
      <c r="AD218" t="s">
        <v>206</v>
      </c>
      <c r="AE218">
        <v>234</v>
      </c>
      <c r="AF218">
        <v>238</v>
      </c>
      <c r="AG218">
        <v>0</v>
      </c>
      <c r="AH218" s="6">
        <v>36.5</v>
      </c>
      <c r="AI218" s="6">
        <v>0</v>
      </c>
      <c r="AJ218" s="6">
        <v>0.64700000000000002</v>
      </c>
      <c r="AK218" s="6">
        <v>0.443</v>
      </c>
      <c r="AL218" s="8">
        <v>16338.04</v>
      </c>
      <c r="AM218" s="6" t="s">
        <v>114</v>
      </c>
      <c r="AN218" s="6">
        <v>1</v>
      </c>
      <c r="AO218" s="6">
        <v>0</v>
      </c>
      <c r="AP218" s="6">
        <v>1</v>
      </c>
      <c r="AQ218" s="6">
        <v>0</v>
      </c>
      <c r="AR218" s="6">
        <v>1</v>
      </c>
      <c r="AS218" s="6">
        <v>0</v>
      </c>
      <c r="AT218" s="6">
        <v>1</v>
      </c>
      <c r="AU218" s="6">
        <v>1.95</v>
      </c>
      <c r="AV218" s="6">
        <v>1.1399999999999999</v>
      </c>
      <c r="AW218" s="6">
        <v>132.29</v>
      </c>
      <c r="AX218" s="6">
        <v>31.87</v>
      </c>
      <c r="AY218" s="6">
        <v>107.2</v>
      </c>
      <c r="AZ218" s="6">
        <v>11.5</v>
      </c>
      <c r="BA218" s="6">
        <v>6.8</v>
      </c>
    </row>
    <row r="219" spans="1:53" x14ac:dyDescent="0.3">
      <c r="A219" s="6">
        <v>966747347</v>
      </c>
      <c r="B219" s="6">
        <v>503457</v>
      </c>
      <c r="C219" s="6">
        <v>8210624</v>
      </c>
      <c r="D219" s="6">
        <v>8392</v>
      </c>
      <c r="E219" s="6" t="s">
        <v>225</v>
      </c>
      <c r="F219" s="6">
        <v>51663</v>
      </c>
      <c r="G219" s="6" t="s">
        <v>175</v>
      </c>
      <c r="H219" s="10">
        <v>45872</v>
      </c>
      <c r="I219" s="10">
        <v>45872</v>
      </c>
      <c r="J219" s="4">
        <v>45872.951388888891</v>
      </c>
      <c r="K219" s="4">
        <v>45873.410324074073</v>
      </c>
      <c r="L219" s="11">
        <v>45873.37699074074</v>
      </c>
      <c r="M219" s="10">
        <v>45873</v>
      </c>
      <c r="N219" s="6" t="s">
        <v>59</v>
      </c>
      <c r="O219" t="s">
        <v>99</v>
      </c>
      <c r="P219" s="6" t="s">
        <v>176</v>
      </c>
      <c r="Q219" t="s">
        <v>316</v>
      </c>
      <c r="R219" t="s">
        <v>88</v>
      </c>
      <c r="S219" s="6">
        <v>772569</v>
      </c>
      <c r="T219" s="6" t="s">
        <v>140</v>
      </c>
      <c r="U219">
        <v>692</v>
      </c>
      <c r="V219" s="6">
        <v>19.3</v>
      </c>
      <c r="W219" s="6">
        <v>60.3</v>
      </c>
      <c r="X219" s="6">
        <v>687.6</v>
      </c>
      <c r="Y219" s="6">
        <v>767.2</v>
      </c>
      <c r="Z219" s="6" t="s">
        <v>63</v>
      </c>
      <c r="AA219" t="s">
        <v>413</v>
      </c>
      <c r="AB219" s="6" t="s">
        <v>65</v>
      </c>
      <c r="AC219" t="s">
        <v>91</v>
      </c>
      <c r="AD219" t="s">
        <v>67</v>
      </c>
      <c r="AE219">
        <v>-48</v>
      </c>
      <c r="AF219">
        <v>0</v>
      </c>
      <c r="AG219">
        <v>0</v>
      </c>
      <c r="AH219" s="6">
        <v>56.9</v>
      </c>
      <c r="AI219" s="6">
        <v>0</v>
      </c>
      <c r="AJ219" s="6">
        <v>0.86099999999999999</v>
      </c>
      <c r="AK219" s="6">
        <v>0.66600000000000004</v>
      </c>
      <c r="AL219" s="8">
        <v>5497.77</v>
      </c>
      <c r="AM219" s="6" t="s">
        <v>68</v>
      </c>
      <c r="AN219" s="6">
        <v>1</v>
      </c>
      <c r="AO219" s="6">
        <v>1</v>
      </c>
      <c r="AP219" s="6">
        <v>0</v>
      </c>
      <c r="AQ219" s="6">
        <v>1</v>
      </c>
      <c r="AR219" s="6">
        <v>0</v>
      </c>
      <c r="AS219" s="6">
        <v>1</v>
      </c>
      <c r="AT219" s="6">
        <v>0</v>
      </c>
      <c r="AU219" s="6">
        <v>2.31</v>
      </c>
      <c r="AV219" s="6">
        <v>1.68</v>
      </c>
      <c r="AW219" s="6">
        <v>693.31</v>
      </c>
      <c r="AX219" s="6">
        <v>96.01</v>
      </c>
      <c r="AY219" s="6">
        <v>488.44</v>
      </c>
      <c r="AZ219" s="6">
        <v>6.5</v>
      </c>
      <c r="BA219" s="6">
        <v>45.8</v>
      </c>
    </row>
    <row r="220" spans="1:53" x14ac:dyDescent="0.3">
      <c r="A220" s="6">
        <v>560755939</v>
      </c>
      <c r="B220" s="6">
        <v>656116</v>
      </c>
      <c r="C220" s="6">
        <v>9996207</v>
      </c>
      <c r="D220" s="6">
        <v>5061</v>
      </c>
      <c r="E220" s="6" t="s">
        <v>92</v>
      </c>
      <c r="F220" s="6">
        <v>55591</v>
      </c>
      <c r="G220" s="6" t="s">
        <v>115</v>
      </c>
      <c r="H220" s="10">
        <v>45946</v>
      </c>
      <c r="I220" s="10">
        <v>45946</v>
      </c>
      <c r="J220" s="4">
        <v>45946.715277777781</v>
      </c>
      <c r="K220" s="4">
        <v>45946.941400462965</v>
      </c>
      <c r="L220" s="11">
        <v>45946.928900462961</v>
      </c>
      <c r="M220" s="10">
        <v>45946</v>
      </c>
      <c r="N220" s="6" t="s">
        <v>129</v>
      </c>
      <c r="O220" t="s">
        <v>157</v>
      </c>
      <c r="P220" s="6" t="s">
        <v>134</v>
      </c>
      <c r="Q220" t="s">
        <v>172</v>
      </c>
      <c r="R220" t="s">
        <v>73</v>
      </c>
      <c r="S220" s="6">
        <v>770769</v>
      </c>
      <c r="T220" s="6" t="s">
        <v>111</v>
      </c>
      <c r="U220">
        <v>324</v>
      </c>
      <c r="V220" s="6">
        <v>43.1</v>
      </c>
      <c r="W220" s="6">
        <v>29.8</v>
      </c>
      <c r="X220" s="6">
        <v>318.10000000000002</v>
      </c>
      <c r="Y220" s="6">
        <v>391</v>
      </c>
      <c r="Z220" s="6" t="s">
        <v>63</v>
      </c>
      <c r="AA220" t="s">
        <v>414</v>
      </c>
      <c r="AB220" s="6" t="s">
        <v>90</v>
      </c>
      <c r="AC220" t="s">
        <v>137</v>
      </c>
      <c r="AD220" t="s">
        <v>67</v>
      </c>
      <c r="AE220">
        <v>-18</v>
      </c>
      <c r="AF220">
        <v>0</v>
      </c>
      <c r="AG220">
        <v>0</v>
      </c>
      <c r="AH220" s="6">
        <v>63.4</v>
      </c>
      <c r="AI220" s="6">
        <v>0</v>
      </c>
      <c r="AJ220" s="6">
        <v>0.72</v>
      </c>
      <c r="AK220" s="6">
        <v>0.53900000000000003</v>
      </c>
      <c r="AL220" s="8">
        <v>1139.03</v>
      </c>
      <c r="AM220" s="6" t="s">
        <v>68</v>
      </c>
      <c r="AN220" s="6">
        <v>1</v>
      </c>
      <c r="AO220" s="6">
        <v>1</v>
      </c>
      <c r="AP220" s="6">
        <v>0</v>
      </c>
      <c r="AQ220" s="6">
        <v>1</v>
      </c>
      <c r="AR220" s="6">
        <v>0</v>
      </c>
      <c r="AS220" s="6">
        <v>1</v>
      </c>
      <c r="AT220" s="6">
        <v>0</v>
      </c>
      <c r="AU220" s="6">
        <v>1.92</v>
      </c>
      <c r="AV220" s="6">
        <v>1.46</v>
      </c>
      <c r="AW220" s="6">
        <v>343.17</v>
      </c>
      <c r="AX220" s="6">
        <v>66.83</v>
      </c>
      <c r="AY220" s="6">
        <v>257.7</v>
      </c>
      <c r="AZ220" s="6">
        <v>0.1</v>
      </c>
      <c r="BA220" s="6">
        <v>18.5</v>
      </c>
    </row>
    <row r="221" spans="1:53" x14ac:dyDescent="0.3">
      <c r="A221" s="6">
        <v>702332331</v>
      </c>
      <c r="B221" s="6">
        <v>145561</v>
      </c>
      <c r="C221" s="6">
        <v>2564689</v>
      </c>
      <c r="D221" s="6">
        <v>1161</v>
      </c>
      <c r="E221" s="6" t="s">
        <v>101</v>
      </c>
      <c r="F221" s="6">
        <v>53872</v>
      </c>
      <c r="G221" s="6" t="s">
        <v>127</v>
      </c>
      <c r="H221" s="10">
        <v>45897</v>
      </c>
      <c r="I221" s="10">
        <v>45897</v>
      </c>
      <c r="J221" s="4">
        <v>45897.420138888891</v>
      </c>
      <c r="K221" s="4">
        <v>45897.766388888886</v>
      </c>
      <c r="L221" s="11">
        <v>45897.842083333337</v>
      </c>
      <c r="M221" s="10">
        <v>45897</v>
      </c>
      <c r="N221" s="6" t="s">
        <v>129</v>
      </c>
      <c r="O221" t="s">
        <v>162</v>
      </c>
      <c r="P221" s="6" t="s">
        <v>121</v>
      </c>
      <c r="Q221" t="s">
        <v>179</v>
      </c>
      <c r="R221" t="s">
        <v>123</v>
      </c>
      <c r="S221" s="6">
        <v>775399</v>
      </c>
      <c r="T221" s="6" t="s">
        <v>111</v>
      </c>
      <c r="U221">
        <v>418</v>
      </c>
      <c r="V221" s="6">
        <v>5</v>
      </c>
      <c r="W221" s="6">
        <v>12.4</v>
      </c>
      <c r="X221" s="6">
        <v>406.8</v>
      </c>
      <c r="Y221" s="6">
        <v>424.2</v>
      </c>
      <c r="Z221" s="6" t="s">
        <v>63</v>
      </c>
      <c r="AA221" t="s">
        <v>415</v>
      </c>
      <c r="AB221" s="6" t="s">
        <v>75</v>
      </c>
      <c r="AC221" t="s">
        <v>137</v>
      </c>
      <c r="AD221" t="s">
        <v>206</v>
      </c>
      <c r="AE221">
        <v>109</v>
      </c>
      <c r="AF221">
        <v>108</v>
      </c>
      <c r="AG221">
        <v>0</v>
      </c>
      <c r="AH221" s="6">
        <v>59.7</v>
      </c>
      <c r="AI221" s="6">
        <v>0</v>
      </c>
      <c r="AJ221" s="6">
        <v>0.78200000000000003</v>
      </c>
      <c r="AK221" s="6">
        <v>0.59599999999999997</v>
      </c>
      <c r="AL221" s="8">
        <v>1315.7</v>
      </c>
      <c r="AM221" s="6" t="s">
        <v>68</v>
      </c>
      <c r="AN221" s="6">
        <v>1</v>
      </c>
      <c r="AO221" s="6">
        <v>0</v>
      </c>
      <c r="AP221" s="6">
        <v>1</v>
      </c>
      <c r="AQ221" s="6">
        <v>0</v>
      </c>
      <c r="AR221" s="6">
        <v>1</v>
      </c>
      <c r="AS221" s="6">
        <v>0</v>
      </c>
      <c r="AT221" s="6">
        <v>1</v>
      </c>
      <c r="AU221" s="6">
        <v>2.21</v>
      </c>
      <c r="AV221" s="6">
        <v>1.73</v>
      </c>
      <c r="AW221" s="6">
        <v>314.27</v>
      </c>
      <c r="AX221" s="6">
        <v>63.48</v>
      </c>
      <c r="AY221" s="6">
        <v>236.57</v>
      </c>
      <c r="AZ221" s="6">
        <v>5.6</v>
      </c>
      <c r="BA221" s="6">
        <v>5.3</v>
      </c>
    </row>
    <row r="222" spans="1:53" x14ac:dyDescent="0.3">
      <c r="A222" s="6">
        <v>924024405</v>
      </c>
      <c r="B222" s="6">
        <v>779514</v>
      </c>
      <c r="C222" s="6">
        <v>5130808</v>
      </c>
      <c r="D222" s="6">
        <v>3731</v>
      </c>
      <c r="E222" s="6" t="s">
        <v>106</v>
      </c>
      <c r="F222" s="6">
        <v>51054</v>
      </c>
      <c r="G222" s="6" t="s">
        <v>127</v>
      </c>
      <c r="H222" s="10">
        <v>45880</v>
      </c>
      <c r="I222" s="10">
        <v>45880</v>
      </c>
      <c r="J222" s="4">
        <v>45880.677083333336</v>
      </c>
      <c r="K222" s="4">
        <v>45880.935115740744</v>
      </c>
      <c r="L222" s="11">
        <v>45880.926087962966</v>
      </c>
      <c r="M222" s="10">
        <v>45880</v>
      </c>
      <c r="N222" s="6" t="s">
        <v>86</v>
      </c>
      <c r="O222" t="s">
        <v>108</v>
      </c>
      <c r="P222" s="6" t="s">
        <v>176</v>
      </c>
      <c r="Q222" t="s">
        <v>292</v>
      </c>
      <c r="R222" t="s">
        <v>88</v>
      </c>
      <c r="S222" s="6">
        <v>788294</v>
      </c>
      <c r="T222" s="6" t="s">
        <v>1</v>
      </c>
      <c r="U222">
        <v>302</v>
      </c>
      <c r="V222" s="6">
        <v>3.1</v>
      </c>
      <c r="W222" s="6">
        <v>4.4000000000000004</v>
      </c>
      <c r="X222" s="6">
        <v>297.7</v>
      </c>
      <c r="Y222" s="6">
        <v>305.2</v>
      </c>
      <c r="Z222" s="6" t="s">
        <v>63</v>
      </c>
      <c r="AA222" t="s">
        <v>416</v>
      </c>
      <c r="AB222" s="6" t="s">
        <v>90</v>
      </c>
      <c r="AC222" t="s">
        <v>83</v>
      </c>
      <c r="AD222" t="s">
        <v>67</v>
      </c>
      <c r="AE222">
        <v>-13</v>
      </c>
      <c r="AF222">
        <v>0</v>
      </c>
      <c r="AG222">
        <v>0</v>
      </c>
      <c r="AH222" s="6">
        <v>29.8</v>
      </c>
      <c r="AI222" s="6">
        <v>0</v>
      </c>
      <c r="AJ222" s="6">
        <v>0.79300000000000004</v>
      </c>
      <c r="AK222" s="6">
        <v>0.78100000000000003</v>
      </c>
      <c r="AL222" s="8">
        <v>66870.289999999994</v>
      </c>
      <c r="AM222" s="6" t="s">
        <v>155</v>
      </c>
      <c r="AN222" s="6">
        <v>1</v>
      </c>
      <c r="AO222" s="6">
        <v>1</v>
      </c>
      <c r="AP222" s="6">
        <v>0</v>
      </c>
      <c r="AQ222" s="6">
        <v>1</v>
      </c>
      <c r="AR222" s="6">
        <v>0</v>
      </c>
      <c r="AS222" s="6">
        <v>1</v>
      </c>
      <c r="AT222" s="6">
        <v>0</v>
      </c>
      <c r="AU222" s="6">
        <v>1.95</v>
      </c>
      <c r="AV222" s="6">
        <v>1.42</v>
      </c>
      <c r="AW222" s="6">
        <v>247.53</v>
      </c>
      <c r="AX222" s="6">
        <v>40.1</v>
      </c>
      <c r="AY222" s="6">
        <v>209.95</v>
      </c>
      <c r="AZ222" s="6">
        <v>38.9</v>
      </c>
      <c r="BA222" s="6">
        <v>56.9</v>
      </c>
    </row>
    <row r="223" spans="1:53" x14ac:dyDescent="0.3">
      <c r="A223" s="6">
        <v>978779150</v>
      </c>
      <c r="B223" s="6">
        <v>612340</v>
      </c>
      <c r="C223" s="6">
        <v>5382463</v>
      </c>
      <c r="D223" s="6">
        <v>3049</v>
      </c>
      <c r="E223" s="6" t="s">
        <v>211</v>
      </c>
      <c r="F223" s="6">
        <v>58572</v>
      </c>
      <c r="G223" s="6" t="s">
        <v>207</v>
      </c>
      <c r="H223" s="10">
        <v>45808</v>
      </c>
      <c r="I223" s="10">
        <v>45808</v>
      </c>
      <c r="J223" s="4">
        <v>45808.6875</v>
      </c>
      <c r="K223" s="4">
        <v>45808.888796296298</v>
      </c>
      <c r="L223" s="11">
        <v>45808.872129629628</v>
      </c>
      <c r="M223" s="10">
        <v>45808</v>
      </c>
      <c r="N223" s="6" t="s">
        <v>70</v>
      </c>
      <c r="O223" t="s">
        <v>138</v>
      </c>
      <c r="P223" s="6" t="s">
        <v>129</v>
      </c>
      <c r="Q223" t="s">
        <v>130</v>
      </c>
      <c r="R223" t="s">
        <v>123</v>
      </c>
      <c r="S223" s="6">
        <v>731760</v>
      </c>
      <c r="T223" s="6" t="s">
        <v>1</v>
      </c>
      <c r="U223">
        <v>189</v>
      </c>
      <c r="V223" s="6">
        <v>43.6</v>
      </c>
      <c r="W223" s="6">
        <v>27.5</v>
      </c>
      <c r="X223" s="6">
        <v>200.2</v>
      </c>
      <c r="Y223" s="6">
        <v>271.3</v>
      </c>
      <c r="Z223" s="6" t="s">
        <v>215</v>
      </c>
      <c r="AA223" t="s">
        <v>417</v>
      </c>
      <c r="AB223" s="6" t="s">
        <v>90</v>
      </c>
      <c r="AC223" t="s">
        <v>76</v>
      </c>
      <c r="AD223" t="s">
        <v>67</v>
      </c>
      <c r="AE223">
        <v>-24</v>
      </c>
      <c r="AF223">
        <v>85</v>
      </c>
      <c r="AG223">
        <v>0</v>
      </c>
      <c r="AH223" s="6">
        <v>39.4</v>
      </c>
      <c r="AI223" s="6">
        <v>0</v>
      </c>
      <c r="AJ223" s="6">
        <v>0.56999999999999995</v>
      </c>
      <c r="AK223" s="6">
        <v>0.52300000000000002</v>
      </c>
      <c r="AL223" s="8">
        <v>15755.75</v>
      </c>
      <c r="AM223" s="6" t="s">
        <v>114</v>
      </c>
      <c r="AN223" s="6">
        <v>1</v>
      </c>
      <c r="AO223" s="6">
        <v>1</v>
      </c>
      <c r="AP223" s="6">
        <v>0</v>
      </c>
      <c r="AQ223" s="6">
        <v>1</v>
      </c>
      <c r="AR223" s="6">
        <v>0</v>
      </c>
      <c r="AS223" s="6">
        <v>1</v>
      </c>
      <c r="AT223" s="6">
        <v>0</v>
      </c>
      <c r="AU223" s="6">
        <v>2.78</v>
      </c>
      <c r="AV223" s="6">
        <v>1.73</v>
      </c>
      <c r="AW223" s="6">
        <v>206.03</v>
      </c>
      <c r="AX223" s="6">
        <v>38.76</v>
      </c>
      <c r="AY223" s="6">
        <v>188.84</v>
      </c>
      <c r="AZ223" s="6">
        <v>28.3</v>
      </c>
      <c r="BA223" s="6">
        <v>33</v>
      </c>
    </row>
    <row r="224" spans="1:53" x14ac:dyDescent="0.3">
      <c r="A224" s="6">
        <v>767570850</v>
      </c>
      <c r="B224" s="6">
        <v>955662</v>
      </c>
      <c r="C224" s="6">
        <v>8315831</v>
      </c>
      <c r="D224" s="6">
        <v>9445</v>
      </c>
      <c r="E224" s="6" t="s">
        <v>84</v>
      </c>
      <c r="F224" s="6">
        <v>53082</v>
      </c>
      <c r="G224" s="6" t="s">
        <v>115</v>
      </c>
      <c r="H224" s="10">
        <v>45830</v>
      </c>
      <c r="I224" s="10">
        <v>45830</v>
      </c>
      <c r="J224" s="4">
        <v>45830.697916666664</v>
      </c>
      <c r="K224" s="4">
        <v>45830.939247685186</v>
      </c>
      <c r="L224" s="11">
        <v>45830.935081018521</v>
      </c>
      <c r="M224" s="10">
        <v>45830</v>
      </c>
      <c r="N224" s="6" t="s">
        <v>70</v>
      </c>
      <c r="O224" t="s">
        <v>71</v>
      </c>
      <c r="P224" s="6" t="s">
        <v>103</v>
      </c>
      <c r="Q224" t="s">
        <v>99</v>
      </c>
      <c r="R224" t="s">
        <v>73</v>
      </c>
      <c r="S224" s="6">
        <v>732275</v>
      </c>
      <c r="T224" s="6" t="s">
        <v>1</v>
      </c>
      <c r="U224">
        <v>286</v>
      </c>
      <c r="V224" s="6">
        <v>3.2</v>
      </c>
      <c r="W224" s="6">
        <v>17.3</v>
      </c>
      <c r="X224" s="6">
        <v>292.89999999999998</v>
      </c>
      <c r="Y224" s="6">
        <v>313.39999999999998</v>
      </c>
      <c r="Z224" s="6" t="s">
        <v>80</v>
      </c>
      <c r="AA224" t="s">
        <v>418</v>
      </c>
      <c r="AB224" s="6" t="s">
        <v>90</v>
      </c>
      <c r="AC224" t="s">
        <v>91</v>
      </c>
      <c r="AD224" t="s">
        <v>67</v>
      </c>
      <c r="AE224">
        <v>-6</v>
      </c>
      <c r="AF224">
        <v>0</v>
      </c>
      <c r="AG224">
        <v>0</v>
      </c>
      <c r="AH224" s="6">
        <v>46.1</v>
      </c>
      <c r="AI224" s="6">
        <v>0</v>
      </c>
      <c r="AJ224" s="6">
        <v>0.47599999999999998</v>
      </c>
      <c r="AK224" s="6">
        <v>0.25600000000000001</v>
      </c>
      <c r="AL224" s="8">
        <v>6074.15</v>
      </c>
      <c r="AM224" s="6" t="s">
        <v>114</v>
      </c>
      <c r="AN224" s="6">
        <v>1</v>
      </c>
      <c r="AO224" s="6">
        <v>1</v>
      </c>
      <c r="AP224" s="6">
        <v>0</v>
      </c>
      <c r="AQ224" s="6">
        <v>1</v>
      </c>
      <c r="AR224" s="6">
        <v>0</v>
      </c>
      <c r="AS224" s="6">
        <v>1</v>
      </c>
      <c r="AT224" s="6">
        <v>0</v>
      </c>
      <c r="AU224" s="6">
        <v>1.85</v>
      </c>
      <c r="AV224" s="6">
        <v>1.31</v>
      </c>
      <c r="AW224" s="6">
        <v>228.76</v>
      </c>
      <c r="AX224" s="6">
        <v>42.42</v>
      </c>
      <c r="AY224" s="6">
        <v>156.22</v>
      </c>
      <c r="AZ224" s="6">
        <v>18.100000000000001</v>
      </c>
      <c r="BA224" s="6">
        <v>35.700000000000003</v>
      </c>
    </row>
    <row r="225" spans="1:53" x14ac:dyDescent="0.3">
      <c r="A225" s="6">
        <v>758819288</v>
      </c>
      <c r="B225" s="6">
        <v>946335</v>
      </c>
      <c r="C225" s="6">
        <v>1247595</v>
      </c>
      <c r="D225" s="6">
        <v>6675</v>
      </c>
      <c r="E225" s="6" t="s">
        <v>84</v>
      </c>
      <c r="F225" s="6">
        <v>58007</v>
      </c>
      <c r="G225" s="6" t="s">
        <v>164</v>
      </c>
      <c r="H225" s="10">
        <v>45809</v>
      </c>
      <c r="I225" s="10">
        <v>45809</v>
      </c>
      <c r="J225" s="4">
        <v>45809.493055555555</v>
      </c>
      <c r="K225" s="4">
        <v>45809.573854166665</v>
      </c>
      <c r="L225" s="11">
        <v>45809.525937500002</v>
      </c>
      <c r="M225" s="10">
        <v>45809</v>
      </c>
      <c r="N225" s="6" t="s">
        <v>116</v>
      </c>
      <c r="O225" t="s">
        <v>212</v>
      </c>
      <c r="P225" s="6" t="s">
        <v>109</v>
      </c>
      <c r="Q225" t="s">
        <v>118</v>
      </c>
      <c r="R225" t="s">
        <v>88</v>
      </c>
      <c r="S225" s="6">
        <v>704543</v>
      </c>
      <c r="T225" s="6" t="s">
        <v>1</v>
      </c>
      <c r="U225">
        <v>105</v>
      </c>
      <c r="V225" s="6">
        <v>16.600000000000001</v>
      </c>
      <c r="W225" s="6">
        <v>47</v>
      </c>
      <c r="X225" s="6">
        <v>100</v>
      </c>
      <c r="Y225" s="6">
        <v>163.6</v>
      </c>
      <c r="Z225" s="6" t="s">
        <v>63</v>
      </c>
      <c r="AA225" t="s">
        <v>419</v>
      </c>
      <c r="AB225" s="6" t="s">
        <v>75</v>
      </c>
      <c r="AC225" t="s">
        <v>91</v>
      </c>
      <c r="AD225" t="s">
        <v>67</v>
      </c>
      <c r="AE225">
        <v>-69</v>
      </c>
      <c r="AF225">
        <v>0</v>
      </c>
      <c r="AG225">
        <v>0</v>
      </c>
      <c r="AH225" s="6">
        <v>38.5</v>
      </c>
      <c r="AI225" s="6">
        <v>0</v>
      </c>
      <c r="AJ225" s="6">
        <v>0.40300000000000002</v>
      </c>
      <c r="AK225" s="6">
        <v>0.25</v>
      </c>
      <c r="AL225" s="8">
        <v>3153.25</v>
      </c>
      <c r="AM225" s="6" t="s">
        <v>68</v>
      </c>
      <c r="AN225" s="6">
        <v>1</v>
      </c>
      <c r="AO225" s="6">
        <v>1</v>
      </c>
      <c r="AP225" s="6">
        <v>0</v>
      </c>
      <c r="AQ225" s="6">
        <v>1</v>
      </c>
      <c r="AR225" s="6">
        <v>0</v>
      </c>
      <c r="AS225" s="6">
        <v>1</v>
      </c>
      <c r="AT225" s="6">
        <v>0</v>
      </c>
      <c r="AU225" s="6">
        <v>1.88</v>
      </c>
      <c r="AV225" s="6">
        <v>1.47</v>
      </c>
      <c r="AW225" s="6">
        <v>113.74</v>
      </c>
      <c r="AX225" s="6">
        <v>26.72</v>
      </c>
      <c r="AY225" s="6">
        <v>83.69</v>
      </c>
      <c r="AZ225" s="6">
        <v>32.6</v>
      </c>
      <c r="BA225" s="6">
        <v>2.7</v>
      </c>
    </row>
    <row r="226" spans="1:53" x14ac:dyDescent="0.3">
      <c r="A226" s="6">
        <v>824750726</v>
      </c>
      <c r="B226" s="6">
        <v>623481</v>
      </c>
      <c r="C226" s="6">
        <v>2737893</v>
      </c>
      <c r="D226" s="6">
        <v>4627</v>
      </c>
      <c r="E226" s="6" t="s">
        <v>101</v>
      </c>
      <c r="F226" s="6">
        <v>59784</v>
      </c>
      <c r="G226" s="6" t="s">
        <v>77</v>
      </c>
      <c r="H226" s="10">
        <v>45965</v>
      </c>
      <c r="I226" s="10">
        <v>45965</v>
      </c>
      <c r="J226" s="4">
        <v>45965.520833333336</v>
      </c>
      <c r="K226" s="4">
        <v>45965.623715277776</v>
      </c>
      <c r="L226" s="11">
        <v>45965.628576388888</v>
      </c>
      <c r="M226" s="10">
        <v>45965</v>
      </c>
      <c r="N226" s="6" t="s">
        <v>200</v>
      </c>
      <c r="O226" t="s">
        <v>171</v>
      </c>
      <c r="P226" s="6" t="s">
        <v>200</v>
      </c>
      <c r="Q226" t="s">
        <v>171</v>
      </c>
      <c r="R226" t="s">
        <v>62</v>
      </c>
      <c r="S226" s="6">
        <v>725966</v>
      </c>
      <c r="T226" s="6" t="s">
        <v>1</v>
      </c>
      <c r="U226">
        <v>141</v>
      </c>
      <c r="V226" s="6">
        <v>4.0999999999999996</v>
      </c>
      <c r="W226" s="6">
        <v>26.4</v>
      </c>
      <c r="X226" s="6">
        <v>137.5</v>
      </c>
      <c r="Y226" s="6">
        <v>168</v>
      </c>
      <c r="Z226" s="6" t="s">
        <v>63</v>
      </c>
      <c r="AA226" t="s">
        <v>420</v>
      </c>
      <c r="AB226" s="6" t="s">
        <v>75</v>
      </c>
      <c r="AC226" t="s">
        <v>66</v>
      </c>
      <c r="AD226" t="s">
        <v>67</v>
      </c>
      <c r="AE226">
        <v>7</v>
      </c>
      <c r="AF226">
        <v>0</v>
      </c>
      <c r="AG226">
        <v>0</v>
      </c>
      <c r="AH226" s="6">
        <v>69.400000000000006</v>
      </c>
      <c r="AI226" s="6">
        <v>0</v>
      </c>
      <c r="AJ226" s="6">
        <v>0.69099999999999995</v>
      </c>
      <c r="AK226" s="6">
        <v>0.63300000000000001</v>
      </c>
      <c r="AL226" s="8">
        <v>8764.17</v>
      </c>
      <c r="AM226" s="6" t="s">
        <v>114</v>
      </c>
      <c r="AN226" s="6">
        <v>1</v>
      </c>
      <c r="AO226" s="6">
        <v>1</v>
      </c>
      <c r="AP226" s="6">
        <v>0</v>
      </c>
      <c r="AQ226" s="6">
        <v>1</v>
      </c>
      <c r="AR226" s="6">
        <v>0</v>
      </c>
      <c r="AS226" s="6">
        <v>1</v>
      </c>
      <c r="AT226" s="6">
        <v>0</v>
      </c>
      <c r="AU226" s="6">
        <v>2.41</v>
      </c>
      <c r="AV226" s="6">
        <v>1.58</v>
      </c>
      <c r="AW226" s="6">
        <v>126.41</v>
      </c>
      <c r="AX226" s="6">
        <v>28.05</v>
      </c>
      <c r="AY226" s="6">
        <v>91.16</v>
      </c>
      <c r="AZ226" s="6">
        <v>22.3</v>
      </c>
      <c r="BA226" s="6">
        <v>67.599999999999994</v>
      </c>
    </row>
    <row r="227" spans="1:53" x14ac:dyDescent="0.3">
      <c r="A227" s="6">
        <v>790092970</v>
      </c>
      <c r="B227" s="6">
        <v>197251</v>
      </c>
      <c r="C227" s="6">
        <v>4078418</v>
      </c>
      <c r="D227" s="6">
        <v>2585</v>
      </c>
      <c r="E227" s="6" t="s">
        <v>106</v>
      </c>
      <c r="F227" s="6">
        <v>54261</v>
      </c>
      <c r="G227" s="6" t="s">
        <v>207</v>
      </c>
      <c r="H227" s="10">
        <v>45741</v>
      </c>
      <c r="I227" s="10">
        <v>45741</v>
      </c>
      <c r="J227" s="4">
        <v>45741.128472222219</v>
      </c>
      <c r="K227" s="4">
        <v>45741.548032407409</v>
      </c>
      <c r="L227" s="11">
        <v>45741.546643518515</v>
      </c>
      <c r="M227" s="10">
        <v>45741</v>
      </c>
      <c r="N227" s="6" t="s">
        <v>86</v>
      </c>
      <c r="O227" t="s">
        <v>108</v>
      </c>
      <c r="P227" s="6" t="s">
        <v>86</v>
      </c>
      <c r="Q227" t="s">
        <v>243</v>
      </c>
      <c r="R227" t="s">
        <v>88</v>
      </c>
      <c r="S227" s="6">
        <v>742558</v>
      </c>
      <c r="T227" s="6" t="s">
        <v>140</v>
      </c>
      <c r="U227">
        <v>497</v>
      </c>
      <c r="V227" s="6">
        <v>51.5</v>
      </c>
      <c r="W227" s="6">
        <v>13.5</v>
      </c>
      <c r="X227" s="6">
        <v>493.5</v>
      </c>
      <c r="Y227" s="6">
        <v>558.5</v>
      </c>
      <c r="Z227" s="6" t="s">
        <v>63</v>
      </c>
      <c r="AA227" t="s">
        <v>421</v>
      </c>
      <c r="AB227" s="6" t="s">
        <v>82</v>
      </c>
      <c r="AC227" t="s">
        <v>66</v>
      </c>
      <c r="AD227" t="s">
        <v>67</v>
      </c>
      <c r="AE227">
        <v>-2</v>
      </c>
      <c r="AF227">
        <v>0</v>
      </c>
      <c r="AG227">
        <v>0</v>
      </c>
      <c r="AH227" s="6">
        <v>35.4</v>
      </c>
      <c r="AI227" s="6">
        <v>0</v>
      </c>
      <c r="AJ227" s="6">
        <v>0.46700000000000003</v>
      </c>
      <c r="AK227" s="6">
        <v>0.41799999999999998</v>
      </c>
      <c r="AL227" s="8">
        <v>4154.54</v>
      </c>
      <c r="AM227" s="6" t="s">
        <v>68</v>
      </c>
      <c r="AN227" s="6">
        <v>1</v>
      </c>
      <c r="AO227" s="6">
        <v>1</v>
      </c>
      <c r="AP227" s="6">
        <v>0</v>
      </c>
      <c r="AQ227" s="6">
        <v>1</v>
      </c>
      <c r="AR227" s="6">
        <v>0</v>
      </c>
      <c r="AS227" s="6">
        <v>1</v>
      </c>
      <c r="AT227" s="6">
        <v>0</v>
      </c>
      <c r="AU227" s="6">
        <v>2.1</v>
      </c>
      <c r="AV227" s="6">
        <v>1.66</v>
      </c>
      <c r="AW227" s="6">
        <v>481.31</v>
      </c>
      <c r="AX227" s="6">
        <v>113.86</v>
      </c>
      <c r="AY227" s="6">
        <v>362.4</v>
      </c>
      <c r="AZ227" s="6">
        <v>11.9</v>
      </c>
      <c r="BA227" s="6">
        <v>26.6</v>
      </c>
    </row>
    <row r="228" spans="1:53" x14ac:dyDescent="0.3">
      <c r="A228" s="6">
        <v>697794767</v>
      </c>
      <c r="B228" s="6">
        <v>629903</v>
      </c>
      <c r="C228" s="6">
        <v>9143903</v>
      </c>
      <c r="D228" s="6">
        <v>9666</v>
      </c>
      <c r="E228" s="6" t="s">
        <v>225</v>
      </c>
      <c r="F228" s="6">
        <v>52389</v>
      </c>
      <c r="G228" s="6" t="s">
        <v>127</v>
      </c>
      <c r="H228" s="10">
        <v>45660</v>
      </c>
      <c r="I228" s="10">
        <v>45660</v>
      </c>
      <c r="J228" s="4">
        <v>45660.784722222219</v>
      </c>
      <c r="K228" s="4">
        <v>45661.078449074077</v>
      </c>
      <c r="L228" s="11">
        <v>45661.081226851849</v>
      </c>
      <c r="M228" s="10">
        <v>45661</v>
      </c>
      <c r="N228" s="6" t="s">
        <v>59</v>
      </c>
      <c r="O228" t="s">
        <v>60</v>
      </c>
      <c r="P228" s="6" t="s">
        <v>109</v>
      </c>
      <c r="Q228" t="s">
        <v>193</v>
      </c>
      <c r="R228" t="s">
        <v>88</v>
      </c>
      <c r="S228" s="6">
        <v>709390</v>
      </c>
      <c r="T228" s="6" t="s">
        <v>111</v>
      </c>
      <c r="U228">
        <v>365</v>
      </c>
      <c r="V228" s="6">
        <v>42.6</v>
      </c>
      <c r="W228" s="6">
        <v>30.3</v>
      </c>
      <c r="X228" s="6">
        <v>369.5</v>
      </c>
      <c r="Y228" s="6">
        <v>442.4</v>
      </c>
      <c r="Z228" s="6" t="s">
        <v>112</v>
      </c>
      <c r="AA228" t="s">
        <v>422</v>
      </c>
      <c r="AB228" s="6" t="s">
        <v>65</v>
      </c>
      <c r="AC228" t="s">
        <v>154</v>
      </c>
      <c r="AD228" t="s">
        <v>67</v>
      </c>
      <c r="AE228">
        <v>4</v>
      </c>
      <c r="AF228">
        <v>0</v>
      </c>
      <c r="AG228">
        <v>1.2</v>
      </c>
      <c r="AH228" s="6">
        <v>58.8</v>
      </c>
      <c r="AI228" s="6">
        <v>0</v>
      </c>
      <c r="AJ228" s="6">
        <v>0.72</v>
      </c>
      <c r="AK228" s="6">
        <v>0.495</v>
      </c>
      <c r="AL228" s="8">
        <v>2192.2199999999998</v>
      </c>
      <c r="AM228" s="6" t="s">
        <v>68</v>
      </c>
      <c r="AN228" s="6">
        <v>1</v>
      </c>
      <c r="AO228" s="6">
        <v>1</v>
      </c>
      <c r="AP228" s="6">
        <v>0</v>
      </c>
      <c r="AQ228" s="6">
        <v>1</v>
      </c>
      <c r="AR228" s="6">
        <v>0</v>
      </c>
      <c r="AS228" s="6">
        <v>1</v>
      </c>
      <c r="AT228" s="6">
        <v>0</v>
      </c>
      <c r="AU228" s="6">
        <v>2.21</v>
      </c>
      <c r="AV228" s="6">
        <v>1.33</v>
      </c>
      <c r="AW228" s="6">
        <v>386.31</v>
      </c>
      <c r="AX228" s="6">
        <v>85.72</v>
      </c>
      <c r="AY228" s="6">
        <v>231.82</v>
      </c>
      <c r="AZ228" s="6">
        <v>10.3</v>
      </c>
      <c r="BA228" s="6">
        <v>1.1000000000000001</v>
      </c>
    </row>
    <row r="229" spans="1:53" x14ac:dyDescent="0.3">
      <c r="A229" s="6">
        <v>128189836</v>
      </c>
      <c r="B229" s="6">
        <v>903035</v>
      </c>
      <c r="C229" s="6">
        <v>7110622</v>
      </c>
      <c r="D229" s="6">
        <v>3200</v>
      </c>
      <c r="E229" s="6" t="s">
        <v>92</v>
      </c>
      <c r="F229" s="6">
        <v>53553</v>
      </c>
      <c r="G229" s="6" t="s">
        <v>164</v>
      </c>
      <c r="H229" s="10">
        <v>45895</v>
      </c>
      <c r="I229" s="10">
        <v>45895</v>
      </c>
      <c r="J229" s="4">
        <v>45895.510416666664</v>
      </c>
      <c r="K229" s="4">
        <v>45896.049270833333</v>
      </c>
      <c r="L229" s="11">
        <v>45896.050659722219</v>
      </c>
      <c r="M229" s="10">
        <v>45896</v>
      </c>
      <c r="N229" s="6" t="s">
        <v>121</v>
      </c>
      <c r="O229" t="s">
        <v>122</v>
      </c>
      <c r="P229" s="6" t="s">
        <v>134</v>
      </c>
      <c r="Q229" t="s">
        <v>172</v>
      </c>
      <c r="R229" t="s">
        <v>73</v>
      </c>
      <c r="S229" s="6">
        <v>734898</v>
      </c>
      <c r="T229" s="6" t="s">
        <v>111</v>
      </c>
      <c r="U229">
        <v>498</v>
      </c>
      <c r="V229" s="6">
        <v>7.2</v>
      </c>
      <c r="W229" s="6">
        <v>31.9</v>
      </c>
      <c r="X229" s="6">
        <v>500.4</v>
      </c>
      <c r="Y229" s="6">
        <v>539.5</v>
      </c>
      <c r="Z229" s="6" t="s">
        <v>2</v>
      </c>
      <c r="AA229" t="s">
        <v>423</v>
      </c>
      <c r="AB229" s="6" t="s">
        <v>75</v>
      </c>
      <c r="AC229" t="s">
        <v>66</v>
      </c>
      <c r="AD229" t="s">
        <v>67</v>
      </c>
      <c r="AE229">
        <v>2</v>
      </c>
      <c r="AF229">
        <v>0</v>
      </c>
      <c r="AG229">
        <v>0</v>
      </c>
      <c r="AH229" s="6">
        <v>36.799999999999997</v>
      </c>
      <c r="AI229" s="6">
        <v>0</v>
      </c>
      <c r="AJ229" s="6">
        <v>0.95899999999999996</v>
      </c>
      <c r="AK229" s="6">
        <v>0.68899999999999995</v>
      </c>
      <c r="AL229" s="8">
        <v>6296.16</v>
      </c>
      <c r="AM229" s="6" t="s">
        <v>68</v>
      </c>
      <c r="AN229" s="6">
        <v>1</v>
      </c>
      <c r="AO229" s="6">
        <v>1</v>
      </c>
      <c r="AP229" s="6">
        <v>0</v>
      </c>
      <c r="AQ229" s="6">
        <v>1</v>
      </c>
      <c r="AR229" s="6">
        <v>0</v>
      </c>
      <c r="AS229" s="6">
        <v>1</v>
      </c>
      <c r="AT229" s="6">
        <v>0</v>
      </c>
      <c r="AU229" s="6">
        <v>2.4300000000000002</v>
      </c>
      <c r="AV229" s="6">
        <v>1.8</v>
      </c>
      <c r="AW229" s="6">
        <v>489.54</v>
      </c>
      <c r="AX229" s="6">
        <v>73.53</v>
      </c>
      <c r="AY229" s="6">
        <v>287.45999999999998</v>
      </c>
      <c r="AZ229" s="6">
        <v>26.8</v>
      </c>
      <c r="BA229" s="6">
        <v>18</v>
      </c>
    </row>
    <row r="230" spans="1:53" x14ac:dyDescent="0.3">
      <c r="A230" s="6">
        <v>753903309</v>
      </c>
      <c r="B230" s="6">
        <v>656116</v>
      </c>
      <c r="C230" s="6">
        <v>9996207</v>
      </c>
      <c r="D230" s="6">
        <v>5061</v>
      </c>
      <c r="E230" s="6" t="s">
        <v>92</v>
      </c>
      <c r="F230" s="6">
        <v>55138</v>
      </c>
      <c r="G230" s="6" t="s">
        <v>77</v>
      </c>
      <c r="H230" s="10">
        <v>45731</v>
      </c>
      <c r="I230" s="10">
        <v>45731</v>
      </c>
      <c r="J230" s="4">
        <v>45731.381944444445</v>
      </c>
      <c r="K230" s="4">
        <v>45731.605706018519</v>
      </c>
      <c r="L230" s="11">
        <v>45731.598067129627</v>
      </c>
      <c r="M230" s="10">
        <v>45731</v>
      </c>
      <c r="N230" s="6" t="s">
        <v>150</v>
      </c>
      <c r="O230" t="s">
        <v>311</v>
      </c>
      <c r="P230" s="6" t="s">
        <v>121</v>
      </c>
      <c r="Q230" t="s">
        <v>122</v>
      </c>
      <c r="R230" t="s">
        <v>123</v>
      </c>
      <c r="S230" s="6">
        <v>756369</v>
      </c>
      <c r="T230" s="6" t="s">
        <v>111</v>
      </c>
      <c r="U230">
        <v>312</v>
      </c>
      <c r="V230" s="6">
        <v>4.0999999999999996</v>
      </c>
      <c r="W230" s="6">
        <v>36.6</v>
      </c>
      <c r="X230" s="6">
        <v>307.7</v>
      </c>
      <c r="Y230" s="6">
        <v>348.4</v>
      </c>
      <c r="Z230" s="6" t="s">
        <v>63</v>
      </c>
      <c r="AA230" t="s">
        <v>424</v>
      </c>
      <c r="AB230" s="6" t="s">
        <v>97</v>
      </c>
      <c r="AC230" t="s">
        <v>76</v>
      </c>
      <c r="AD230" t="s">
        <v>67</v>
      </c>
      <c r="AE230">
        <v>-11</v>
      </c>
      <c r="AF230">
        <v>0</v>
      </c>
      <c r="AG230">
        <v>0</v>
      </c>
      <c r="AH230" s="6">
        <v>54.9</v>
      </c>
      <c r="AI230" s="6">
        <v>0</v>
      </c>
      <c r="AJ230" s="6">
        <v>0.50600000000000001</v>
      </c>
      <c r="AK230" s="6">
        <v>0.69899999999999995</v>
      </c>
      <c r="AL230" s="8">
        <v>28257.05</v>
      </c>
      <c r="AM230" s="6" t="s">
        <v>155</v>
      </c>
      <c r="AN230" s="6">
        <v>1</v>
      </c>
      <c r="AO230" s="6">
        <v>1</v>
      </c>
      <c r="AP230" s="6">
        <v>0</v>
      </c>
      <c r="AQ230" s="6">
        <v>1</v>
      </c>
      <c r="AR230" s="6">
        <v>0</v>
      </c>
      <c r="AS230" s="6">
        <v>1</v>
      </c>
      <c r="AT230" s="6">
        <v>0</v>
      </c>
      <c r="AU230" s="6">
        <v>2.27</v>
      </c>
      <c r="AV230" s="6">
        <v>1.38</v>
      </c>
      <c r="AW230" s="6">
        <v>246.38</v>
      </c>
      <c r="AX230" s="6">
        <v>73.78</v>
      </c>
      <c r="AY230" s="6">
        <v>199.16</v>
      </c>
      <c r="AZ230" s="6">
        <v>0.1</v>
      </c>
      <c r="BA230" s="6">
        <v>20.5</v>
      </c>
    </row>
    <row r="231" spans="1:53" x14ac:dyDescent="0.3">
      <c r="A231" s="6">
        <v>806340901</v>
      </c>
      <c r="B231" s="6">
        <v>854639</v>
      </c>
      <c r="C231" s="6">
        <v>7417985</v>
      </c>
      <c r="D231" s="6">
        <v>3811</v>
      </c>
      <c r="E231" s="6" t="s">
        <v>142</v>
      </c>
      <c r="F231" s="6">
        <v>59399</v>
      </c>
      <c r="G231" s="6" t="s">
        <v>146</v>
      </c>
      <c r="H231" s="10">
        <v>45982</v>
      </c>
      <c r="I231" s="10">
        <v>45982</v>
      </c>
      <c r="J231" s="4">
        <v>45982.8125</v>
      </c>
      <c r="K231" s="4">
        <v>45983.011331018519</v>
      </c>
      <c r="L231" s="11">
        <v>45982.989108796297</v>
      </c>
      <c r="M231" s="10">
        <v>45982</v>
      </c>
      <c r="N231" s="6" t="s">
        <v>150</v>
      </c>
      <c r="O231" t="s">
        <v>196</v>
      </c>
      <c r="P231" s="6" t="s">
        <v>134</v>
      </c>
      <c r="Q231" t="s">
        <v>282</v>
      </c>
      <c r="R231" t="s">
        <v>73</v>
      </c>
      <c r="S231" s="6">
        <v>765850</v>
      </c>
      <c r="T231" s="6" t="s">
        <v>1</v>
      </c>
      <c r="U231">
        <v>235</v>
      </c>
      <c r="V231" s="6">
        <v>35.799999999999997</v>
      </c>
      <c r="W231" s="6">
        <v>30.5</v>
      </c>
      <c r="X231" s="6">
        <v>231.4</v>
      </c>
      <c r="Y231" s="6">
        <v>297.7</v>
      </c>
      <c r="Z231" s="6" t="s">
        <v>63</v>
      </c>
      <c r="AA231" t="s">
        <v>307</v>
      </c>
      <c r="AB231" s="6" t="s">
        <v>65</v>
      </c>
      <c r="AC231" t="s">
        <v>154</v>
      </c>
      <c r="AD231" t="s">
        <v>67</v>
      </c>
      <c r="AE231">
        <v>-32</v>
      </c>
      <c r="AF231">
        <v>0</v>
      </c>
      <c r="AG231">
        <v>0</v>
      </c>
      <c r="AH231" s="6">
        <v>51.1</v>
      </c>
      <c r="AI231" s="6">
        <v>0</v>
      </c>
      <c r="AJ231" s="6">
        <v>0.73099999999999998</v>
      </c>
      <c r="AK231" s="6">
        <v>0.745</v>
      </c>
      <c r="AL231" s="8">
        <v>5007.87</v>
      </c>
      <c r="AM231" s="6" t="s">
        <v>68</v>
      </c>
      <c r="AN231" s="6">
        <v>1</v>
      </c>
      <c r="AO231" s="6">
        <v>1</v>
      </c>
      <c r="AP231" s="6">
        <v>0</v>
      </c>
      <c r="AQ231" s="6">
        <v>1</v>
      </c>
      <c r="AR231" s="6">
        <v>0</v>
      </c>
      <c r="AS231" s="6">
        <v>1</v>
      </c>
      <c r="AT231" s="6">
        <v>0</v>
      </c>
      <c r="AU231" s="6">
        <v>2</v>
      </c>
      <c r="AV231" s="6">
        <v>1.51</v>
      </c>
      <c r="AW231" s="6">
        <v>242.66</v>
      </c>
      <c r="AX231" s="6">
        <v>60.79</v>
      </c>
      <c r="AY231" s="6">
        <v>186.6</v>
      </c>
      <c r="AZ231" s="6">
        <v>11.8</v>
      </c>
      <c r="BA231" s="6">
        <v>21.1</v>
      </c>
    </row>
    <row r="232" spans="1:53" x14ac:dyDescent="0.3">
      <c r="A232" s="6">
        <v>990626742</v>
      </c>
      <c r="B232" s="6">
        <v>872246</v>
      </c>
      <c r="C232" s="6">
        <v>4860684</v>
      </c>
      <c r="D232" s="6">
        <v>6578</v>
      </c>
      <c r="E232" s="6" t="s">
        <v>126</v>
      </c>
      <c r="F232" s="6">
        <v>50544</v>
      </c>
      <c r="G232" s="6" t="s">
        <v>175</v>
      </c>
      <c r="H232" s="10">
        <v>45971</v>
      </c>
      <c r="I232" s="10">
        <v>45971</v>
      </c>
      <c r="J232" s="4">
        <v>45971.965277777781</v>
      </c>
      <c r="K232" s="4">
        <v>45972.033715277779</v>
      </c>
      <c r="L232" s="11">
        <v>45972.02815972222</v>
      </c>
      <c r="M232" s="10">
        <v>45972</v>
      </c>
      <c r="N232" s="6" t="s">
        <v>176</v>
      </c>
      <c r="O232" t="s">
        <v>227</v>
      </c>
      <c r="P232" s="6" t="s">
        <v>109</v>
      </c>
      <c r="Q232" t="s">
        <v>161</v>
      </c>
      <c r="R232" t="s">
        <v>88</v>
      </c>
      <c r="S232" s="6">
        <v>742390</v>
      </c>
      <c r="T232" s="6" t="s">
        <v>3</v>
      </c>
      <c r="U232">
        <v>60</v>
      </c>
      <c r="V232" s="6">
        <v>29.8</v>
      </c>
      <c r="W232" s="6">
        <v>24.1</v>
      </c>
      <c r="X232" s="6">
        <v>66.5</v>
      </c>
      <c r="Y232" s="6">
        <v>120.4</v>
      </c>
      <c r="Z232" s="6" t="s">
        <v>2</v>
      </c>
      <c r="AA232" t="s">
        <v>425</v>
      </c>
      <c r="AB232" s="6" t="s">
        <v>65</v>
      </c>
      <c r="AC232" t="s">
        <v>83</v>
      </c>
      <c r="AD232" t="s">
        <v>67</v>
      </c>
      <c r="AE232">
        <v>-8</v>
      </c>
      <c r="AF232">
        <v>0</v>
      </c>
      <c r="AG232">
        <v>0</v>
      </c>
      <c r="AH232" s="6">
        <v>57.4</v>
      </c>
      <c r="AI232" s="6">
        <v>0</v>
      </c>
      <c r="AJ232" s="6">
        <v>0.93600000000000005</v>
      </c>
      <c r="AK232" s="6">
        <v>0.48399999999999999</v>
      </c>
      <c r="AL232" s="8">
        <v>4161.47</v>
      </c>
      <c r="AM232" s="6" t="s">
        <v>68</v>
      </c>
      <c r="AN232" s="6">
        <v>1</v>
      </c>
      <c r="AO232" s="6">
        <v>1</v>
      </c>
      <c r="AP232" s="6">
        <v>0</v>
      </c>
      <c r="AQ232" s="6">
        <v>1</v>
      </c>
      <c r="AR232" s="6">
        <v>0</v>
      </c>
      <c r="AS232" s="6">
        <v>1</v>
      </c>
      <c r="AT232" s="6">
        <v>0</v>
      </c>
      <c r="AU232" s="6">
        <v>2.2400000000000002</v>
      </c>
      <c r="AV232" s="6">
        <v>1.35</v>
      </c>
      <c r="AW232" s="6">
        <v>99.71</v>
      </c>
      <c r="AX232" s="6">
        <v>21.08</v>
      </c>
      <c r="AY232" s="6">
        <v>86</v>
      </c>
      <c r="AZ232" s="6">
        <v>41.8</v>
      </c>
      <c r="BA232" s="6">
        <v>18.399999999999999</v>
      </c>
    </row>
    <row r="233" spans="1:53" x14ac:dyDescent="0.3">
      <c r="A233" s="6">
        <v>844609017</v>
      </c>
      <c r="B233" s="6">
        <v>217301</v>
      </c>
      <c r="C233" s="6">
        <v>5453786</v>
      </c>
      <c r="D233" s="6">
        <v>5548</v>
      </c>
      <c r="E233" s="6" t="s">
        <v>142</v>
      </c>
      <c r="F233" s="6">
        <v>53663</v>
      </c>
      <c r="G233" s="6" t="s">
        <v>115</v>
      </c>
      <c r="H233" s="10">
        <v>45686</v>
      </c>
      <c r="I233" s="10">
        <v>45686</v>
      </c>
      <c r="J233" s="4">
        <v>45686.760416666664</v>
      </c>
      <c r="K233" s="4">
        <v>45686.995648148149</v>
      </c>
      <c r="L233" s="11">
        <v>45686.987314814818</v>
      </c>
      <c r="M233" s="10">
        <v>45686</v>
      </c>
      <c r="N233" s="6" t="s">
        <v>86</v>
      </c>
      <c r="O233" t="s">
        <v>268</v>
      </c>
      <c r="P233" s="6" t="s">
        <v>59</v>
      </c>
      <c r="Q233" t="s">
        <v>167</v>
      </c>
      <c r="R233" t="s">
        <v>62</v>
      </c>
      <c r="S233" s="6">
        <v>774885</v>
      </c>
      <c r="T233" s="6" t="s">
        <v>1</v>
      </c>
      <c r="U233">
        <v>306</v>
      </c>
      <c r="V233" s="6">
        <v>15.6</v>
      </c>
      <c r="W233" s="6">
        <v>11</v>
      </c>
      <c r="X233" s="6">
        <v>315.10000000000002</v>
      </c>
      <c r="Y233" s="6">
        <v>341.7</v>
      </c>
      <c r="Z233" s="6" t="s">
        <v>112</v>
      </c>
      <c r="AA233" t="s">
        <v>131</v>
      </c>
      <c r="AB233" s="6" t="s">
        <v>65</v>
      </c>
      <c r="AC233" t="s">
        <v>125</v>
      </c>
      <c r="AD233" t="s">
        <v>67</v>
      </c>
      <c r="AE233">
        <v>-12</v>
      </c>
      <c r="AF233">
        <v>0</v>
      </c>
      <c r="AG233">
        <v>0</v>
      </c>
      <c r="AH233" s="6">
        <v>55.6</v>
      </c>
      <c r="AI233" s="6">
        <v>0</v>
      </c>
      <c r="AJ233" s="6">
        <v>0.70299999999999996</v>
      </c>
      <c r="AK233" s="6">
        <v>0.55900000000000005</v>
      </c>
      <c r="AL233" s="8">
        <v>19714.57</v>
      </c>
      <c r="AM233" s="6" t="s">
        <v>114</v>
      </c>
      <c r="AN233" s="6">
        <v>1</v>
      </c>
      <c r="AO233" s="6">
        <v>1</v>
      </c>
      <c r="AP233" s="6">
        <v>0</v>
      </c>
      <c r="AQ233" s="6">
        <v>1</v>
      </c>
      <c r="AR233" s="6">
        <v>0</v>
      </c>
      <c r="AS233" s="6">
        <v>1</v>
      </c>
      <c r="AT233" s="6">
        <v>0</v>
      </c>
      <c r="AU233" s="6">
        <v>2.41</v>
      </c>
      <c r="AV233" s="6">
        <v>1.57</v>
      </c>
      <c r="AW233" s="6">
        <v>231.47</v>
      </c>
      <c r="AX233" s="6">
        <v>34.93</v>
      </c>
      <c r="AY233" s="6">
        <v>228.3</v>
      </c>
      <c r="AZ233" s="6">
        <v>13</v>
      </c>
      <c r="BA233" s="6">
        <v>38.200000000000003</v>
      </c>
    </row>
    <row r="234" spans="1:53" x14ac:dyDescent="0.3">
      <c r="A234" s="6">
        <v>387169808</v>
      </c>
      <c r="B234" s="6">
        <v>738720</v>
      </c>
      <c r="C234" s="6">
        <v>2375453</v>
      </c>
      <c r="D234" s="6">
        <v>6056</v>
      </c>
      <c r="E234" s="6" t="s">
        <v>57</v>
      </c>
      <c r="F234" s="6">
        <v>52239</v>
      </c>
      <c r="G234" s="6" t="s">
        <v>175</v>
      </c>
      <c r="H234" s="10">
        <v>45696</v>
      </c>
      <c r="I234" s="10">
        <v>45696</v>
      </c>
      <c r="J234" s="4">
        <v>45696.753472222219</v>
      </c>
      <c r="K234" s="4">
        <v>45696.878854166665</v>
      </c>
      <c r="L234" s="11">
        <v>45696.879548611112</v>
      </c>
      <c r="M234" s="10">
        <v>45696</v>
      </c>
      <c r="N234" s="6" t="s">
        <v>93</v>
      </c>
      <c r="O234" t="s">
        <v>217</v>
      </c>
      <c r="P234" s="6" t="s">
        <v>134</v>
      </c>
      <c r="Q234" t="s">
        <v>282</v>
      </c>
      <c r="R234" t="s">
        <v>73</v>
      </c>
      <c r="S234" s="6">
        <v>789749</v>
      </c>
      <c r="T234" s="6" t="s">
        <v>1</v>
      </c>
      <c r="U234">
        <v>131</v>
      </c>
      <c r="V234" s="6">
        <v>14</v>
      </c>
      <c r="W234" s="6">
        <v>31.4</v>
      </c>
      <c r="X234" s="6">
        <v>125.6</v>
      </c>
      <c r="Y234" s="6">
        <v>171</v>
      </c>
      <c r="Z234" s="6" t="s">
        <v>63</v>
      </c>
      <c r="AA234" t="s">
        <v>426</v>
      </c>
      <c r="AB234" s="6" t="s">
        <v>65</v>
      </c>
      <c r="AC234" t="s">
        <v>76</v>
      </c>
      <c r="AD234" t="s">
        <v>67</v>
      </c>
      <c r="AE234">
        <v>1</v>
      </c>
      <c r="AF234">
        <v>0</v>
      </c>
      <c r="AG234">
        <v>0</v>
      </c>
      <c r="AH234" s="6">
        <v>37.9</v>
      </c>
      <c r="AI234" s="6">
        <v>0</v>
      </c>
      <c r="AJ234" s="6">
        <v>0.79900000000000004</v>
      </c>
      <c r="AK234" s="6">
        <v>0.90400000000000003</v>
      </c>
      <c r="AL234" s="8">
        <v>101882.02</v>
      </c>
      <c r="AM234" s="6" t="s">
        <v>155</v>
      </c>
      <c r="AN234" s="6">
        <v>1</v>
      </c>
      <c r="AO234" s="6">
        <v>1</v>
      </c>
      <c r="AP234" s="6">
        <v>0</v>
      </c>
      <c r="AQ234" s="6">
        <v>1</v>
      </c>
      <c r="AR234" s="6">
        <v>0</v>
      </c>
      <c r="AS234" s="6">
        <v>1</v>
      </c>
      <c r="AT234" s="6">
        <v>0</v>
      </c>
      <c r="AU234" s="6">
        <v>1.98</v>
      </c>
      <c r="AV234" s="6">
        <v>1.49</v>
      </c>
      <c r="AW234" s="6">
        <v>124.84</v>
      </c>
      <c r="AX234" s="6">
        <v>21.39</v>
      </c>
      <c r="AY234" s="6">
        <v>104.99</v>
      </c>
      <c r="AZ234" s="6">
        <v>16.600000000000001</v>
      </c>
      <c r="BA234" s="6">
        <v>26.1</v>
      </c>
    </row>
    <row r="235" spans="1:53" x14ac:dyDescent="0.3">
      <c r="A235" s="6">
        <v>131088245</v>
      </c>
      <c r="B235" s="6">
        <v>183667</v>
      </c>
      <c r="C235" s="6">
        <v>1981186</v>
      </c>
      <c r="D235" s="6">
        <v>3568</v>
      </c>
      <c r="E235" s="6" t="s">
        <v>142</v>
      </c>
      <c r="F235" s="6">
        <v>53773</v>
      </c>
      <c r="G235" s="6" t="s">
        <v>102</v>
      </c>
      <c r="H235" s="10">
        <v>45838</v>
      </c>
      <c r="I235" s="10">
        <v>45838</v>
      </c>
      <c r="J235" s="4">
        <v>45838.864583333336</v>
      </c>
      <c r="K235" s="4">
        <v>45839.179884259262</v>
      </c>
      <c r="L235" s="11">
        <v>45839.177106481482</v>
      </c>
      <c r="M235" s="10">
        <v>45839</v>
      </c>
      <c r="N235" s="6" t="s">
        <v>116</v>
      </c>
      <c r="O235" t="s">
        <v>117</v>
      </c>
      <c r="P235" s="6" t="s">
        <v>116</v>
      </c>
      <c r="Q235" t="s">
        <v>251</v>
      </c>
      <c r="R235" t="s">
        <v>123</v>
      </c>
      <c r="S235" s="6">
        <v>748114</v>
      </c>
      <c r="T235" s="6" t="s">
        <v>111</v>
      </c>
      <c r="U235">
        <v>338</v>
      </c>
      <c r="V235" s="6">
        <v>17.8</v>
      </c>
      <c r="W235" s="6">
        <v>25.9</v>
      </c>
      <c r="X235" s="6">
        <v>337.3</v>
      </c>
      <c r="Y235" s="6">
        <v>381</v>
      </c>
      <c r="Z235" s="6" t="s">
        <v>80</v>
      </c>
      <c r="AA235" t="s">
        <v>427</v>
      </c>
      <c r="AB235" s="6" t="s">
        <v>65</v>
      </c>
      <c r="AC235" t="s">
        <v>83</v>
      </c>
      <c r="AD235" t="s">
        <v>67</v>
      </c>
      <c r="AE235">
        <v>-4</v>
      </c>
      <c r="AF235">
        <v>0</v>
      </c>
      <c r="AG235">
        <v>0</v>
      </c>
      <c r="AH235" s="6">
        <v>61.8</v>
      </c>
      <c r="AI235" s="6">
        <v>0</v>
      </c>
      <c r="AJ235" s="6">
        <v>0.625</v>
      </c>
      <c r="AK235" s="6">
        <v>0.82399999999999995</v>
      </c>
      <c r="AL235" s="8">
        <v>9828.68</v>
      </c>
      <c r="AM235" s="6" t="s">
        <v>114</v>
      </c>
      <c r="AN235" s="6">
        <v>1</v>
      </c>
      <c r="AO235" s="6">
        <v>1</v>
      </c>
      <c r="AP235" s="6">
        <v>0</v>
      </c>
      <c r="AQ235" s="6">
        <v>1</v>
      </c>
      <c r="AR235" s="6">
        <v>0</v>
      </c>
      <c r="AS235" s="6">
        <v>1</v>
      </c>
      <c r="AT235" s="6">
        <v>0</v>
      </c>
      <c r="AU235" s="6">
        <v>2.16</v>
      </c>
      <c r="AV235" s="6">
        <v>1.47</v>
      </c>
      <c r="AW235" s="6">
        <v>275.33999999999997</v>
      </c>
      <c r="AX235" s="6">
        <v>74.19</v>
      </c>
      <c r="AY235" s="6">
        <v>187.4</v>
      </c>
      <c r="AZ235" s="6">
        <v>21.8</v>
      </c>
      <c r="BA235" s="6">
        <v>10.6</v>
      </c>
    </row>
    <row r="236" spans="1:53" x14ac:dyDescent="0.3">
      <c r="A236" s="6">
        <v>293720285</v>
      </c>
      <c r="B236" s="6">
        <v>787277</v>
      </c>
      <c r="C236" s="6">
        <v>6022741</v>
      </c>
      <c r="D236" s="6">
        <v>3693</v>
      </c>
      <c r="E236" s="6" t="s">
        <v>106</v>
      </c>
      <c r="F236" s="6">
        <v>52627</v>
      </c>
      <c r="G236" s="6" t="s">
        <v>146</v>
      </c>
      <c r="H236" s="10">
        <v>45880</v>
      </c>
      <c r="I236" s="10">
        <v>45880</v>
      </c>
      <c r="J236" s="4">
        <v>45880.302083333336</v>
      </c>
      <c r="K236" s="4">
        <v>45880.426053240742</v>
      </c>
      <c r="L236" s="11">
        <v>45880.414942129632</v>
      </c>
      <c r="M236" s="10">
        <v>45880</v>
      </c>
      <c r="N236" s="6" t="s">
        <v>176</v>
      </c>
      <c r="O236" t="s">
        <v>227</v>
      </c>
      <c r="P236" s="6" t="s">
        <v>103</v>
      </c>
      <c r="Q236" t="s">
        <v>104</v>
      </c>
      <c r="R236" t="s">
        <v>73</v>
      </c>
      <c r="S236" s="6">
        <v>775499</v>
      </c>
      <c r="T236" s="6" t="s">
        <v>1</v>
      </c>
      <c r="U236">
        <v>111</v>
      </c>
      <c r="V236" s="6">
        <v>38.200000000000003</v>
      </c>
      <c r="W236" s="6">
        <v>12.6</v>
      </c>
      <c r="X236" s="6">
        <v>111.8</v>
      </c>
      <c r="Y236" s="6">
        <v>162.6</v>
      </c>
      <c r="Z236" s="6" t="s">
        <v>63</v>
      </c>
      <c r="AA236" t="s">
        <v>428</v>
      </c>
      <c r="AB236" s="6" t="s">
        <v>97</v>
      </c>
      <c r="AC236" t="s">
        <v>83</v>
      </c>
      <c r="AD236" t="s">
        <v>67</v>
      </c>
      <c r="AE236">
        <v>-16</v>
      </c>
      <c r="AF236">
        <v>0</v>
      </c>
      <c r="AG236">
        <v>0</v>
      </c>
      <c r="AH236" s="6">
        <v>41.3</v>
      </c>
      <c r="AI236" s="6">
        <v>0</v>
      </c>
      <c r="AJ236" s="6">
        <v>0.65600000000000003</v>
      </c>
      <c r="AK236" s="6">
        <v>0.78600000000000003</v>
      </c>
      <c r="AL236" s="8">
        <v>1062.95</v>
      </c>
      <c r="AM236" s="6" t="s">
        <v>68</v>
      </c>
      <c r="AN236" s="6">
        <v>1</v>
      </c>
      <c r="AO236" s="6">
        <v>1</v>
      </c>
      <c r="AP236" s="6">
        <v>0</v>
      </c>
      <c r="AQ236" s="6">
        <v>1</v>
      </c>
      <c r="AR236" s="6">
        <v>0</v>
      </c>
      <c r="AS236" s="6">
        <v>1</v>
      </c>
      <c r="AT236" s="6">
        <v>0</v>
      </c>
      <c r="AU236" s="6">
        <v>2.4500000000000002</v>
      </c>
      <c r="AV236" s="6">
        <v>1.9</v>
      </c>
      <c r="AW236" s="6">
        <v>148.9</v>
      </c>
      <c r="AX236" s="6">
        <v>25.11</v>
      </c>
      <c r="AY236" s="6">
        <v>98.22</v>
      </c>
      <c r="AZ236" s="6">
        <v>3.4</v>
      </c>
      <c r="BA236" s="6">
        <v>12.5</v>
      </c>
    </row>
    <row r="237" spans="1:53" x14ac:dyDescent="0.3">
      <c r="A237" s="6">
        <v>393421844</v>
      </c>
      <c r="B237" s="6">
        <v>198246</v>
      </c>
      <c r="C237" s="6">
        <v>9626108</v>
      </c>
      <c r="D237" s="6">
        <v>5555</v>
      </c>
      <c r="E237" s="6" t="s">
        <v>57</v>
      </c>
      <c r="F237" s="6">
        <v>56618</v>
      </c>
      <c r="G237" s="6" t="s">
        <v>102</v>
      </c>
      <c r="H237" s="10">
        <v>45758</v>
      </c>
      <c r="I237" s="10">
        <v>45758</v>
      </c>
      <c r="J237" s="4">
        <v>45758.746527777781</v>
      </c>
      <c r="K237" s="4">
        <v>45758.909895833334</v>
      </c>
      <c r="L237" s="11">
        <v>45758.904340277775</v>
      </c>
      <c r="M237" s="10">
        <v>45758</v>
      </c>
      <c r="N237" s="6" t="s">
        <v>109</v>
      </c>
      <c r="O237" t="s">
        <v>198</v>
      </c>
      <c r="P237" s="6" t="s">
        <v>86</v>
      </c>
      <c r="Q237" t="s">
        <v>253</v>
      </c>
      <c r="R237" t="s">
        <v>88</v>
      </c>
      <c r="S237" s="6">
        <v>795889</v>
      </c>
      <c r="T237" s="6" t="s">
        <v>1</v>
      </c>
      <c r="U237">
        <v>198</v>
      </c>
      <c r="V237" s="6">
        <v>50.3</v>
      </c>
      <c r="W237" s="6">
        <v>3.1</v>
      </c>
      <c r="X237" s="6">
        <v>196.9</v>
      </c>
      <c r="Y237" s="6">
        <v>250.3</v>
      </c>
      <c r="Z237" s="6" t="s">
        <v>80</v>
      </c>
      <c r="AA237" t="s">
        <v>291</v>
      </c>
      <c r="AB237" s="6" t="s">
        <v>90</v>
      </c>
      <c r="AC237" t="s">
        <v>154</v>
      </c>
      <c r="AD237" t="s">
        <v>67</v>
      </c>
      <c r="AE237">
        <v>-8</v>
      </c>
      <c r="AF237">
        <v>0</v>
      </c>
      <c r="AG237">
        <v>0</v>
      </c>
      <c r="AH237" s="6">
        <v>22.2</v>
      </c>
      <c r="AI237" s="6">
        <v>0</v>
      </c>
      <c r="AJ237" s="6">
        <v>0.53600000000000003</v>
      </c>
      <c r="AK237" s="6">
        <v>0.76</v>
      </c>
      <c r="AL237" s="8">
        <v>90161.1</v>
      </c>
      <c r="AM237" s="6" t="s">
        <v>155</v>
      </c>
      <c r="AN237" s="6">
        <v>1</v>
      </c>
      <c r="AO237" s="6">
        <v>1</v>
      </c>
      <c r="AP237" s="6">
        <v>0</v>
      </c>
      <c r="AQ237" s="6">
        <v>1</v>
      </c>
      <c r="AR237" s="6">
        <v>0</v>
      </c>
      <c r="AS237" s="6">
        <v>1</v>
      </c>
      <c r="AT237" s="6">
        <v>0</v>
      </c>
      <c r="AU237" s="6">
        <v>2</v>
      </c>
      <c r="AV237" s="6">
        <v>1.34</v>
      </c>
      <c r="AW237" s="6">
        <v>227.15</v>
      </c>
      <c r="AX237" s="6">
        <v>28.81</v>
      </c>
      <c r="AY237" s="6">
        <v>132.4</v>
      </c>
      <c r="AZ237" s="6">
        <v>11.5</v>
      </c>
      <c r="BA237" s="6">
        <v>15.1</v>
      </c>
    </row>
    <row r="238" spans="1:53" x14ac:dyDescent="0.3">
      <c r="A238" s="6">
        <v>854517058</v>
      </c>
      <c r="B238" s="6">
        <v>857168</v>
      </c>
      <c r="C238" s="6">
        <v>2813543</v>
      </c>
      <c r="D238" s="6">
        <v>1659</v>
      </c>
      <c r="E238" s="6" t="s">
        <v>142</v>
      </c>
      <c r="F238" s="6">
        <v>56780</v>
      </c>
      <c r="G238" s="6" t="s">
        <v>164</v>
      </c>
      <c r="H238" s="10">
        <v>45919</v>
      </c>
      <c r="I238" s="10">
        <v>45919</v>
      </c>
      <c r="J238" s="4">
        <v>45919.743055555555</v>
      </c>
      <c r="K238" s="4">
        <v>45919.898553240739</v>
      </c>
      <c r="L238" s="11">
        <v>45919.893692129626</v>
      </c>
      <c r="M238" s="10">
        <v>45919</v>
      </c>
      <c r="N238" s="6" t="s">
        <v>170</v>
      </c>
      <c r="O238" t="s">
        <v>189</v>
      </c>
      <c r="P238" s="6" t="s">
        <v>103</v>
      </c>
      <c r="Q238" t="s">
        <v>99</v>
      </c>
      <c r="R238" t="s">
        <v>73</v>
      </c>
      <c r="S238" s="6">
        <v>768731</v>
      </c>
      <c r="T238" s="6" t="s">
        <v>1</v>
      </c>
      <c r="U238">
        <v>164</v>
      </c>
      <c r="V238" s="6">
        <v>54.8</v>
      </c>
      <c r="W238" s="6">
        <v>1.9</v>
      </c>
      <c r="X238" s="6">
        <v>170.8</v>
      </c>
      <c r="Y238" s="6">
        <v>227.5</v>
      </c>
      <c r="Z238" s="6" t="s">
        <v>112</v>
      </c>
      <c r="AA238" t="s">
        <v>429</v>
      </c>
      <c r="AB238" s="6" t="s">
        <v>90</v>
      </c>
      <c r="AC238" t="s">
        <v>154</v>
      </c>
      <c r="AD238" t="s">
        <v>67</v>
      </c>
      <c r="AE238">
        <v>-7</v>
      </c>
      <c r="AF238">
        <v>56</v>
      </c>
      <c r="AG238">
        <v>0</v>
      </c>
      <c r="AH238" s="6">
        <v>52.1</v>
      </c>
      <c r="AI238" s="6">
        <v>0</v>
      </c>
      <c r="AJ238" s="6">
        <v>0.59899999999999998</v>
      </c>
      <c r="AK238" s="6">
        <v>0.501</v>
      </c>
      <c r="AL238" s="8">
        <v>9270.31</v>
      </c>
      <c r="AM238" s="6" t="s">
        <v>114</v>
      </c>
      <c r="AN238" s="6">
        <v>1</v>
      </c>
      <c r="AO238" s="6">
        <v>1</v>
      </c>
      <c r="AP238" s="6">
        <v>0</v>
      </c>
      <c r="AQ238" s="6">
        <v>1</v>
      </c>
      <c r="AR238" s="6">
        <v>0</v>
      </c>
      <c r="AS238" s="6">
        <v>1</v>
      </c>
      <c r="AT238" s="6">
        <v>0</v>
      </c>
      <c r="AU238" s="6">
        <v>2.5</v>
      </c>
      <c r="AV238" s="6">
        <v>2</v>
      </c>
      <c r="AW238" s="6">
        <v>197.14</v>
      </c>
      <c r="AX238" s="6">
        <v>33.9</v>
      </c>
      <c r="AY238" s="6">
        <v>125.58</v>
      </c>
      <c r="AZ238" s="6">
        <v>23.7</v>
      </c>
      <c r="BA238" s="6">
        <v>32.5</v>
      </c>
    </row>
    <row r="239" spans="1:53" x14ac:dyDescent="0.3">
      <c r="A239" s="6">
        <v>918630985</v>
      </c>
      <c r="B239" s="6">
        <v>249811</v>
      </c>
      <c r="C239" s="6">
        <v>2795765</v>
      </c>
      <c r="D239" s="6">
        <v>8392</v>
      </c>
      <c r="E239" s="6" t="s">
        <v>92</v>
      </c>
      <c r="F239" s="6">
        <v>58015</v>
      </c>
      <c r="G239" s="6" t="s">
        <v>127</v>
      </c>
      <c r="H239" s="10">
        <v>45875</v>
      </c>
      <c r="I239" s="10">
        <v>45875</v>
      </c>
      <c r="J239" s="4">
        <v>45875.336805555555</v>
      </c>
      <c r="K239" s="4">
        <v>45875.4221875</v>
      </c>
      <c r="L239" s="11">
        <v>45875.426354166666</v>
      </c>
      <c r="M239" s="10">
        <v>45875</v>
      </c>
      <c r="N239" s="6" t="s">
        <v>121</v>
      </c>
      <c r="O239" t="s">
        <v>237</v>
      </c>
      <c r="P239" s="6" t="s">
        <v>121</v>
      </c>
      <c r="Q239" t="s">
        <v>179</v>
      </c>
      <c r="R239" t="s">
        <v>123</v>
      </c>
      <c r="S239" s="6">
        <v>742838</v>
      </c>
      <c r="T239" s="6" t="s">
        <v>3</v>
      </c>
      <c r="U239">
        <v>98</v>
      </c>
      <c r="V239" s="6">
        <v>8.8000000000000007</v>
      </c>
      <c r="W239" s="6">
        <v>25.2</v>
      </c>
      <c r="X239" s="6">
        <v>97.1</v>
      </c>
      <c r="Y239" s="6">
        <v>131.1</v>
      </c>
      <c r="Z239" s="6" t="s">
        <v>63</v>
      </c>
      <c r="AA239" t="s">
        <v>430</v>
      </c>
      <c r="AB239" s="6" t="s">
        <v>97</v>
      </c>
      <c r="AC239" t="s">
        <v>125</v>
      </c>
      <c r="AD239" t="s">
        <v>67</v>
      </c>
      <c r="AE239">
        <v>6</v>
      </c>
      <c r="AF239">
        <v>0</v>
      </c>
      <c r="AG239">
        <v>0</v>
      </c>
      <c r="AH239" s="6">
        <v>82.7</v>
      </c>
      <c r="AI239" s="6">
        <v>0</v>
      </c>
      <c r="AJ239" s="6">
        <v>0.71799999999999997</v>
      </c>
      <c r="AK239" s="6">
        <v>0.83899999999999997</v>
      </c>
      <c r="AL239" s="8">
        <v>20888.11</v>
      </c>
      <c r="AM239" s="6" t="s">
        <v>114</v>
      </c>
      <c r="AN239" s="6">
        <v>1</v>
      </c>
      <c r="AO239" s="6">
        <v>1</v>
      </c>
      <c r="AP239" s="6">
        <v>0</v>
      </c>
      <c r="AQ239" s="6">
        <v>1</v>
      </c>
      <c r="AR239" s="6">
        <v>0</v>
      </c>
      <c r="AS239" s="6">
        <v>1</v>
      </c>
      <c r="AT239" s="6">
        <v>0</v>
      </c>
      <c r="AU239" s="6">
        <v>2.09</v>
      </c>
      <c r="AV239" s="6">
        <v>1.22</v>
      </c>
      <c r="AW239" s="6">
        <v>99.88</v>
      </c>
      <c r="AX239" s="6">
        <v>16.440000000000001</v>
      </c>
      <c r="AY239" s="6">
        <v>70.819999999999993</v>
      </c>
      <c r="AZ239" s="6">
        <v>11.1</v>
      </c>
      <c r="BA239" s="6">
        <v>13</v>
      </c>
    </row>
    <row r="240" spans="1:53" x14ac:dyDescent="0.3">
      <c r="A240" s="6">
        <v>431769776</v>
      </c>
      <c r="B240" s="6">
        <v>197251</v>
      </c>
      <c r="C240" s="6">
        <v>4078418</v>
      </c>
      <c r="D240" s="6">
        <v>2585</v>
      </c>
      <c r="E240" s="6" t="s">
        <v>106</v>
      </c>
      <c r="F240" s="6">
        <v>53130</v>
      </c>
      <c r="G240" s="6" t="s">
        <v>102</v>
      </c>
      <c r="H240" s="10">
        <v>45776</v>
      </c>
      <c r="I240" s="10">
        <v>45776</v>
      </c>
      <c r="J240" s="4">
        <v>45776.34375</v>
      </c>
      <c r="K240" s="4">
        <v>45776.537569444445</v>
      </c>
      <c r="L240" s="11">
        <v>45776.551458333335</v>
      </c>
      <c r="M240" s="10">
        <v>45776</v>
      </c>
      <c r="N240" s="6" t="s">
        <v>132</v>
      </c>
      <c r="O240" t="s">
        <v>186</v>
      </c>
      <c r="P240" s="6" t="s">
        <v>109</v>
      </c>
      <c r="Q240" t="s">
        <v>198</v>
      </c>
      <c r="R240" t="s">
        <v>88</v>
      </c>
      <c r="S240" s="6">
        <v>711743</v>
      </c>
      <c r="T240" s="6" t="s">
        <v>1</v>
      </c>
      <c r="U240">
        <v>235</v>
      </c>
      <c r="V240" s="6">
        <v>23</v>
      </c>
      <c r="W240" s="6">
        <v>27.9</v>
      </c>
      <c r="X240" s="6">
        <v>246.4</v>
      </c>
      <c r="Y240" s="6">
        <v>297.3</v>
      </c>
      <c r="Z240" s="6" t="s">
        <v>63</v>
      </c>
      <c r="AA240" t="s">
        <v>431</v>
      </c>
      <c r="AB240" s="6" t="s">
        <v>97</v>
      </c>
      <c r="AC240" t="s">
        <v>66</v>
      </c>
      <c r="AD240" t="s">
        <v>67</v>
      </c>
      <c r="AE240">
        <v>20</v>
      </c>
      <c r="AF240">
        <v>0</v>
      </c>
      <c r="AG240">
        <v>0</v>
      </c>
      <c r="AH240" s="6">
        <v>75.8</v>
      </c>
      <c r="AI240" s="6">
        <v>0</v>
      </c>
      <c r="AJ240" s="6">
        <v>0.77500000000000002</v>
      </c>
      <c r="AK240" s="6">
        <v>0.68899999999999995</v>
      </c>
      <c r="AL240" s="8">
        <v>28588.6</v>
      </c>
      <c r="AM240" s="6" t="s">
        <v>155</v>
      </c>
      <c r="AN240" s="6">
        <v>1</v>
      </c>
      <c r="AO240" s="6">
        <v>0</v>
      </c>
      <c r="AP240" s="6">
        <v>1</v>
      </c>
      <c r="AQ240" s="6">
        <v>0</v>
      </c>
      <c r="AR240" s="6">
        <v>1</v>
      </c>
      <c r="AS240" s="6">
        <v>0</v>
      </c>
      <c r="AT240" s="6">
        <v>1</v>
      </c>
      <c r="AU240" s="6">
        <v>2.1800000000000002</v>
      </c>
      <c r="AV240" s="6">
        <v>1.6</v>
      </c>
      <c r="AW240" s="6">
        <v>207.88</v>
      </c>
      <c r="AX240" s="6">
        <v>61.57</v>
      </c>
      <c r="AY240" s="6">
        <v>167.5</v>
      </c>
      <c r="AZ240" s="6">
        <v>11.9</v>
      </c>
      <c r="BA240" s="6">
        <v>25</v>
      </c>
    </row>
    <row r="241" spans="1:53" x14ac:dyDescent="0.3">
      <c r="A241" s="6">
        <v>464883950</v>
      </c>
      <c r="B241" s="6">
        <v>197251</v>
      </c>
      <c r="C241" s="6">
        <v>4078418</v>
      </c>
      <c r="D241" s="6">
        <v>2585</v>
      </c>
      <c r="E241" s="6" t="s">
        <v>106</v>
      </c>
      <c r="F241" s="6">
        <v>50096</v>
      </c>
      <c r="G241" s="6" t="s">
        <v>146</v>
      </c>
      <c r="H241" s="10">
        <v>45667</v>
      </c>
      <c r="I241" s="10">
        <v>45667</v>
      </c>
      <c r="J241" s="4">
        <v>45667.913194444445</v>
      </c>
      <c r="K241" s="4">
        <v>45668.225902777776</v>
      </c>
      <c r="L241" s="11">
        <v>45668.222430555557</v>
      </c>
      <c r="M241" s="10">
        <v>45668</v>
      </c>
      <c r="N241" s="6" t="s">
        <v>129</v>
      </c>
      <c r="O241" t="s">
        <v>157</v>
      </c>
      <c r="P241" s="6" t="s">
        <v>134</v>
      </c>
      <c r="Q241" t="s">
        <v>135</v>
      </c>
      <c r="R241" t="s">
        <v>73</v>
      </c>
      <c r="S241" s="6">
        <v>770769</v>
      </c>
      <c r="T241" s="6" t="s">
        <v>111</v>
      </c>
      <c r="U241">
        <v>431</v>
      </c>
      <c r="V241" s="6">
        <v>46.2</v>
      </c>
      <c r="W241" s="6">
        <v>11.3</v>
      </c>
      <c r="X241" s="6">
        <v>438.2</v>
      </c>
      <c r="Y241" s="6">
        <v>495.7</v>
      </c>
      <c r="Z241" s="6" t="s">
        <v>63</v>
      </c>
      <c r="AA241" t="s">
        <v>432</v>
      </c>
      <c r="AB241" s="6" t="s">
        <v>65</v>
      </c>
      <c r="AC241" t="s">
        <v>154</v>
      </c>
      <c r="AD241" t="s">
        <v>67</v>
      </c>
      <c r="AE241">
        <v>-5</v>
      </c>
      <c r="AF241">
        <v>0</v>
      </c>
      <c r="AG241">
        <v>0</v>
      </c>
      <c r="AH241" s="6">
        <v>53.7</v>
      </c>
      <c r="AI241" s="6">
        <v>0</v>
      </c>
      <c r="AJ241" s="6">
        <v>0.73199999999999998</v>
      </c>
      <c r="AK241" s="6">
        <v>0.73099999999999998</v>
      </c>
      <c r="AL241" s="8">
        <v>2484.6999999999998</v>
      </c>
      <c r="AM241" s="6" t="s">
        <v>68</v>
      </c>
      <c r="AN241" s="6">
        <v>1</v>
      </c>
      <c r="AO241" s="6">
        <v>1</v>
      </c>
      <c r="AP241" s="6">
        <v>0</v>
      </c>
      <c r="AQ241" s="6">
        <v>1</v>
      </c>
      <c r="AR241" s="6">
        <v>0</v>
      </c>
      <c r="AS241" s="6">
        <v>1</v>
      </c>
      <c r="AT241" s="6">
        <v>0</v>
      </c>
      <c r="AU241" s="6">
        <v>2.37</v>
      </c>
      <c r="AV241" s="6">
        <v>1.85</v>
      </c>
      <c r="AW241" s="6">
        <v>443.55</v>
      </c>
      <c r="AX241" s="6">
        <v>102.47</v>
      </c>
      <c r="AY241" s="6">
        <v>245.34</v>
      </c>
      <c r="AZ241" s="6">
        <v>11.9</v>
      </c>
      <c r="BA241" s="6">
        <v>14.5</v>
      </c>
    </row>
    <row r="242" spans="1:53" x14ac:dyDescent="0.3">
      <c r="A242" s="6">
        <v>476908532</v>
      </c>
      <c r="B242" s="6">
        <v>197251</v>
      </c>
      <c r="C242" s="6">
        <v>4078418</v>
      </c>
      <c r="D242" s="6">
        <v>2585</v>
      </c>
      <c r="E242" s="6" t="s">
        <v>106</v>
      </c>
      <c r="F242" s="6">
        <v>53858</v>
      </c>
      <c r="G242" s="6" t="s">
        <v>203</v>
      </c>
      <c r="H242" s="10">
        <v>45931</v>
      </c>
      <c r="I242" s="10">
        <v>45931</v>
      </c>
      <c r="J242" s="4">
        <v>45931.413194444445</v>
      </c>
      <c r="K242" s="4">
        <v>45931.4921412037</v>
      </c>
      <c r="L242" s="11">
        <v>45931.487974537034</v>
      </c>
      <c r="M242" s="10">
        <v>45931</v>
      </c>
      <c r="N242" s="6" t="s">
        <v>70</v>
      </c>
      <c r="O242" t="s">
        <v>71</v>
      </c>
      <c r="P242" s="6" t="s">
        <v>70</v>
      </c>
      <c r="Q242" t="s">
        <v>152</v>
      </c>
      <c r="R242" t="s">
        <v>73</v>
      </c>
      <c r="S242" s="6">
        <v>733303</v>
      </c>
      <c r="T242" s="6" t="s">
        <v>3</v>
      </c>
      <c r="U242">
        <v>67</v>
      </c>
      <c r="V242" s="6">
        <v>6.3</v>
      </c>
      <c r="W242" s="6">
        <v>9.1</v>
      </c>
      <c r="X242" s="6">
        <v>62.9</v>
      </c>
      <c r="Y242" s="6">
        <v>78.3</v>
      </c>
      <c r="Z242" s="6" t="s">
        <v>63</v>
      </c>
      <c r="AA242" t="s">
        <v>433</v>
      </c>
      <c r="AB242" s="6" t="s">
        <v>97</v>
      </c>
      <c r="AC242" t="s">
        <v>125</v>
      </c>
      <c r="AD242" t="s">
        <v>67</v>
      </c>
      <c r="AE242">
        <v>-6</v>
      </c>
      <c r="AF242">
        <v>0</v>
      </c>
      <c r="AG242">
        <v>0</v>
      </c>
      <c r="AH242" s="6">
        <v>52.5</v>
      </c>
      <c r="AI242" s="6">
        <v>0</v>
      </c>
      <c r="AJ242" s="6">
        <v>0.65100000000000002</v>
      </c>
      <c r="AK242" s="6">
        <v>0.47</v>
      </c>
      <c r="AL242" s="8">
        <v>865.77</v>
      </c>
      <c r="AM242" s="6" t="s">
        <v>68</v>
      </c>
      <c r="AN242" s="6">
        <v>1</v>
      </c>
      <c r="AO242" s="6">
        <v>1</v>
      </c>
      <c r="AP242" s="6">
        <v>0</v>
      </c>
      <c r="AQ242" s="6">
        <v>1</v>
      </c>
      <c r="AR242" s="6">
        <v>0</v>
      </c>
      <c r="AS242" s="6">
        <v>1</v>
      </c>
      <c r="AT242" s="6">
        <v>0</v>
      </c>
      <c r="AU242" s="6">
        <v>2.0499999999999998</v>
      </c>
      <c r="AV242" s="6">
        <v>1.43</v>
      </c>
      <c r="AW242" s="6">
        <v>54.84</v>
      </c>
      <c r="AX242" s="6">
        <v>11.47</v>
      </c>
      <c r="AY242" s="6">
        <v>48.42</v>
      </c>
      <c r="AZ242" s="6">
        <v>11.9</v>
      </c>
      <c r="BA242" s="6">
        <v>19</v>
      </c>
    </row>
    <row r="243" spans="1:53" x14ac:dyDescent="0.3">
      <c r="A243" s="6">
        <v>106556040</v>
      </c>
      <c r="B243" s="6">
        <v>876646</v>
      </c>
      <c r="C243" s="6">
        <v>2191066</v>
      </c>
      <c r="D243" s="6">
        <v>1769</v>
      </c>
      <c r="E243" s="6" t="s">
        <v>84</v>
      </c>
      <c r="F243" s="6">
        <v>52708</v>
      </c>
      <c r="G243" s="6" t="s">
        <v>69</v>
      </c>
      <c r="H243" s="10">
        <v>45736</v>
      </c>
      <c r="I243" s="10">
        <v>45736</v>
      </c>
      <c r="J243" s="4">
        <v>45736.996527777781</v>
      </c>
      <c r="K243" s="4">
        <v>45737.108888888892</v>
      </c>
      <c r="L243" s="11">
        <v>45737.092916666668</v>
      </c>
      <c r="M243" s="10">
        <v>45737</v>
      </c>
      <c r="N243" s="6" t="s">
        <v>78</v>
      </c>
      <c r="O243" t="s">
        <v>166</v>
      </c>
      <c r="P243" s="6" t="s">
        <v>78</v>
      </c>
      <c r="Q243" t="s">
        <v>219</v>
      </c>
      <c r="R243" t="s">
        <v>88</v>
      </c>
      <c r="S243" s="6">
        <v>739562</v>
      </c>
      <c r="T243" s="6" t="s">
        <v>1</v>
      </c>
      <c r="U243">
        <v>124</v>
      </c>
      <c r="V243" s="6">
        <v>9.6999999999999993</v>
      </c>
      <c r="W243" s="6">
        <v>2.9</v>
      </c>
      <c r="X243" s="6">
        <v>124.4</v>
      </c>
      <c r="Y243" s="6">
        <v>137</v>
      </c>
      <c r="Z243" s="6" t="s">
        <v>215</v>
      </c>
      <c r="AA243" t="s">
        <v>407</v>
      </c>
      <c r="AB243" s="6" t="s">
        <v>65</v>
      </c>
      <c r="AC243" t="s">
        <v>137</v>
      </c>
      <c r="AD243" t="s">
        <v>67</v>
      </c>
      <c r="AE243">
        <v>-23</v>
      </c>
      <c r="AF243">
        <v>0</v>
      </c>
      <c r="AG243">
        <v>0</v>
      </c>
      <c r="AH243" s="6">
        <v>5</v>
      </c>
      <c r="AI243" s="6">
        <v>0</v>
      </c>
      <c r="AJ243" s="6">
        <v>0.61599999999999999</v>
      </c>
      <c r="AK243" s="6">
        <v>0.57499999999999996</v>
      </c>
      <c r="AL243" s="8">
        <v>11072.31</v>
      </c>
      <c r="AM243" s="6" t="s">
        <v>114</v>
      </c>
      <c r="AN243" s="6">
        <v>1</v>
      </c>
      <c r="AO243" s="6">
        <v>1</v>
      </c>
      <c r="AP243" s="6">
        <v>0</v>
      </c>
      <c r="AQ243" s="6">
        <v>1</v>
      </c>
      <c r="AR243" s="6">
        <v>0</v>
      </c>
      <c r="AS243" s="6">
        <v>1</v>
      </c>
      <c r="AT243" s="6">
        <v>0</v>
      </c>
      <c r="AU243" s="6">
        <v>2.9</v>
      </c>
      <c r="AV243" s="6">
        <v>2.31</v>
      </c>
      <c r="AW243" s="6">
        <v>106.39</v>
      </c>
      <c r="AX243" s="6">
        <v>15.96</v>
      </c>
      <c r="AY243" s="6">
        <v>67.260000000000005</v>
      </c>
      <c r="AZ243" s="6">
        <v>17.2</v>
      </c>
      <c r="BA243" s="6">
        <v>0</v>
      </c>
    </row>
    <row r="244" spans="1:53" x14ac:dyDescent="0.3">
      <c r="A244" s="6">
        <v>294782734</v>
      </c>
      <c r="B244" s="6">
        <v>358607</v>
      </c>
      <c r="C244" s="6">
        <v>5727085</v>
      </c>
      <c r="D244" s="6">
        <v>6864</v>
      </c>
      <c r="E244" s="6" t="s">
        <v>84</v>
      </c>
      <c r="F244" s="6">
        <v>55397</v>
      </c>
      <c r="G244" s="6" t="s">
        <v>107</v>
      </c>
      <c r="H244" s="10">
        <v>45962</v>
      </c>
      <c r="I244" s="10">
        <v>45962</v>
      </c>
      <c r="J244" s="4">
        <v>45962.215277777781</v>
      </c>
      <c r="K244" s="4">
        <v>45962.423414351855</v>
      </c>
      <c r="L244" s="11">
        <v>45962.405358796299</v>
      </c>
      <c r="M244" s="10">
        <v>45962</v>
      </c>
      <c r="N244" s="6" t="s">
        <v>70</v>
      </c>
      <c r="O244" t="s">
        <v>72</v>
      </c>
      <c r="P244" s="6" t="s">
        <v>121</v>
      </c>
      <c r="Q244" t="s">
        <v>143</v>
      </c>
      <c r="R244" t="s">
        <v>123</v>
      </c>
      <c r="S244" s="6">
        <v>737287</v>
      </c>
      <c r="T244" s="6" t="s">
        <v>1</v>
      </c>
      <c r="U244">
        <v>200</v>
      </c>
      <c r="V244" s="6">
        <v>36.299999999999997</v>
      </c>
      <c r="W244" s="6">
        <v>28.5</v>
      </c>
      <c r="X244" s="6">
        <v>194.1</v>
      </c>
      <c r="Y244" s="6">
        <v>258.89999999999998</v>
      </c>
      <c r="Z244" s="6" t="s">
        <v>63</v>
      </c>
      <c r="AA244" t="s">
        <v>434</v>
      </c>
      <c r="AB244" s="6" t="s">
        <v>82</v>
      </c>
      <c r="AC244" t="s">
        <v>76</v>
      </c>
      <c r="AD244" t="s">
        <v>67</v>
      </c>
      <c r="AE244">
        <v>-26</v>
      </c>
      <c r="AF244">
        <v>0</v>
      </c>
      <c r="AG244">
        <v>0</v>
      </c>
      <c r="AH244" s="6">
        <v>98</v>
      </c>
      <c r="AI244" s="6">
        <v>0</v>
      </c>
      <c r="AJ244" s="6">
        <v>0.55800000000000005</v>
      </c>
      <c r="AK244" s="6">
        <v>0.59399999999999997</v>
      </c>
      <c r="AL244" s="8">
        <v>14660.14</v>
      </c>
      <c r="AM244" s="6" t="s">
        <v>114</v>
      </c>
      <c r="AN244" s="6">
        <v>1</v>
      </c>
      <c r="AO244" s="6">
        <v>1</v>
      </c>
      <c r="AP244" s="6">
        <v>0</v>
      </c>
      <c r="AQ244" s="6">
        <v>1</v>
      </c>
      <c r="AR244" s="6">
        <v>0</v>
      </c>
      <c r="AS244" s="6">
        <v>1</v>
      </c>
      <c r="AT244" s="6">
        <v>0</v>
      </c>
      <c r="AU244" s="6">
        <v>2.2599999999999998</v>
      </c>
      <c r="AV244" s="6">
        <v>1.66</v>
      </c>
      <c r="AW244" s="6">
        <v>179.55</v>
      </c>
      <c r="AX244" s="6">
        <v>37.04</v>
      </c>
      <c r="AY244" s="6">
        <v>165.32</v>
      </c>
      <c r="AZ244" s="6">
        <v>7.3</v>
      </c>
      <c r="BA244" s="6">
        <v>41.5</v>
      </c>
    </row>
    <row r="245" spans="1:53" x14ac:dyDescent="0.3">
      <c r="A245" s="6">
        <v>253815116</v>
      </c>
      <c r="B245" s="6">
        <v>120422</v>
      </c>
      <c r="C245" s="6">
        <v>3995870</v>
      </c>
      <c r="D245" s="6">
        <v>6423</v>
      </c>
      <c r="E245" s="6" t="s">
        <v>92</v>
      </c>
      <c r="F245" s="6">
        <v>56152</v>
      </c>
      <c r="G245" s="6" t="s">
        <v>203</v>
      </c>
      <c r="H245" s="10">
        <v>45811</v>
      </c>
      <c r="I245" s="10">
        <v>45811</v>
      </c>
      <c r="J245" s="4">
        <v>45811.118055555555</v>
      </c>
      <c r="K245" s="4">
        <v>45811.201539351852</v>
      </c>
      <c r="L245" s="11">
        <v>45811.177928240744</v>
      </c>
      <c r="M245" s="10">
        <v>45811</v>
      </c>
      <c r="N245" s="6" t="s">
        <v>121</v>
      </c>
      <c r="O245" t="s">
        <v>179</v>
      </c>
      <c r="P245" s="6" t="s">
        <v>134</v>
      </c>
      <c r="Q245" t="s">
        <v>282</v>
      </c>
      <c r="R245" t="s">
        <v>73</v>
      </c>
      <c r="S245" s="6">
        <v>734898</v>
      </c>
      <c r="T245" s="6" t="s">
        <v>3</v>
      </c>
      <c r="U245">
        <v>109</v>
      </c>
      <c r="V245" s="6">
        <v>13.6</v>
      </c>
      <c r="W245" s="6">
        <v>4.8</v>
      </c>
      <c r="X245" s="6">
        <v>106.7</v>
      </c>
      <c r="Y245" s="6">
        <v>125.1</v>
      </c>
      <c r="Z245" s="6" t="s">
        <v>63</v>
      </c>
      <c r="AA245" t="s">
        <v>435</v>
      </c>
      <c r="AB245" s="6" t="s">
        <v>82</v>
      </c>
      <c r="AC245" t="s">
        <v>66</v>
      </c>
      <c r="AD245" t="s">
        <v>67</v>
      </c>
      <c r="AE245">
        <v>-34</v>
      </c>
      <c r="AF245">
        <v>29</v>
      </c>
      <c r="AG245">
        <v>0</v>
      </c>
      <c r="AH245" s="6">
        <v>73.8</v>
      </c>
      <c r="AI245" s="6">
        <v>0</v>
      </c>
      <c r="AJ245" s="6">
        <v>0.84199999999999997</v>
      </c>
      <c r="AK245" s="6">
        <v>0.58799999999999997</v>
      </c>
      <c r="AL245" s="8">
        <v>4205.29</v>
      </c>
      <c r="AM245" s="6" t="s">
        <v>68</v>
      </c>
      <c r="AN245" s="6">
        <v>1</v>
      </c>
      <c r="AO245" s="6">
        <v>1</v>
      </c>
      <c r="AP245" s="6">
        <v>0</v>
      </c>
      <c r="AQ245" s="6">
        <v>1</v>
      </c>
      <c r="AR245" s="6">
        <v>0</v>
      </c>
      <c r="AS245" s="6">
        <v>1</v>
      </c>
      <c r="AT245" s="6">
        <v>0</v>
      </c>
      <c r="AU245" s="6">
        <v>1.94</v>
      </c>
      <c r="AV245" s="6">
        <v>1.31</v>
      </c>
      <c r="AW245" s="6">
        <v>114.01</v>
      </c>
      <c r="AX245" s="6">
        <v>14.44</v>
      </c>
      <c r="AY245" s="6">
        <v>81.99</v>
      </c>
      <c r="AZ245" s="6">
        <v>14.6</v>
      </c>
      <c r="BA245" s="6">
        <v>3.4</v>
      </c>
    </row>
    <row r="246" spans="1:53" x14ac:dyDescent="0.3">
      <c r="A246" s="6">
        <v>708082645</v>
      </c>
      <c r="B246" s="6">
        <v>216739</v>
      </c>
      <c r="C246" s="6">
        <v>8574680</v>
      </c>
      <c r="D246" s="6">
        <v>1860</v>
      </c>
      <c r="E246" s="6" t="s">
        <v>106</v>
      </c>
      <c r="F246" s="6">
        <v>50456</v>
      </c>
      <c r="G246" s="6" t="s">
        <v>127</v>
      </c>
      <c r="H246" s="10">
        <v>45868</v>
      </c>
      <c r="I246" s="10">
        <v>45868</v>
      </c>
      <c r="J246" s="4">
        <v>45868.489583333336</v>
      </c>
      <c r="K246" s="4">
        <v>45868.552083333336</v>
      </c>
      <c r="L246" s="11">
        <v>45868.490972222222</v>
      </c>
      <c r="M246" s="10">
        <v>45868</v>
      </c>
      <c r="N246" s="6" t="s">
        <v>121</v>
      </c>
      <c r="O246" t="s">
        <v>143</v>
      </c>
      <c r="P246" s="6" t="s">
        <v>121</v>
      </c>
      <c r="Q246" t="s">
        <v>179</v>
      </c>
      <c r="R246" t="s">
        <v>123</v>
      </c>
      <c r="S246" s="6">
        <v>742838</v>
      </c>
      <c r="T246" s="6" t="s">
        <v>3</v>
      </c>
      <c r="U246">
        <v>95</v>
      </c>
      <c r="V246" s="6">
        <v>4.5999999999999996</v>
      </c>
      <c r="W246" s="6">
        <v>31.3</v>
      </c>
      <c r="X246" s="6">
        <v>100.2</v>
      </c>
      <c r="Y246" s="6">
        <v>136.1</v>
      </c>
      <c r="Z246" s="6" t="s">
        <v>80</v>
      </c>
      <c r="AA246" t="s">
        <v>436</v>
      </c>
      <c r="AB246" s="6" t="s">
        <v>75</v>
      </c>
      <c r="AC246" t="s">
        <v>125</v>
      </c>
      <c r="AD246" t="s">
        <v>67</v>
      </c>
      <c r="AE246">
        <v>-88</v>
      </c>
      <c r="AF246">
        <v>0</v>
      </c>
      <c r="AG246">
        <v>0</v>
      </c>
      <c r="AH246" s="6">
        <v>73.7</v>
      </c>
      <c r="AI246" s="6">
        <v>0</v>
      </c>
      <c r="AJ246" s="6">
        <v>0.88500000000000001</v>
      </c>
      <c r="AK246" s="6">
        <v>0.70799999999999996</v>
      </c>
      <c r="AL246" s="8">
        <v>4577.46</v>
      </c>
      <c r="AM246" s="6" t="s">
        <v>68</v>
      </c>
      <c r="AN246" s="6">
        <v>1</v>
      </c>
      <c r="AO246" s="6">
        <v>1</v>
      </c>
      <c r="AP246" s="6">
        <v>0</v>
      </c>
      <c r="AQ246" s="6">
        <v>1</v>
      </c>
      <c r="AR246" s="6">
        <v>0</v>
      </c>
      <c r="AS246" s="6">
        <v>1</v>
      </c>
      <c r="AT246" s="6">
        <v>0</v>
      </c>
      <c r="AU246" s="6">
        <v>2.35</v>
      </c>
      <c r="AV246" s="6">
        <v>1.63</v>
      </c>
      <c r="AW246" s="6">
        <v>86.09</v>
      </c>
      <c r="AX246" s="6">
        <v>18.579999999999998</v>
      </c>
      <c r="AY246" s="6">
        <v>81.2</v>
      </c>
      <c r="AZ246" s="6">
        <v>14.3</v>
      </c>
      <c r="BA246" s="6">
        <v>11.7</v>
      </c>
    </row>
    <row r="247" spans="1:53" x14ac:dyDescent="0.3">
      <c r="A247" s="6">
        <v>805818425</v>
      </c>
      <c r="B247" s="6">
        <v>872246</v>
      </c>
      <c r="C247" s="6">
        <v>4860684</v>
      </c>
      <c r="D247" s="6">
        <v>6578</v>
      </c>
      <c r="E247" s="6" t="s">
        <v>126</v>
      </c>
      <c r="F247" s="6">
        <v>55914</v>
      </c>
      <c r="G247" s="6" t="s">
        <v>77</v>
      </c>
      <c r="H247" s="10">
        <v>45976</v>
      </c>
      <c r="I247" s="10">
        <v>45976</v>
      </c>
      <c r="J247" s="4">
        <v>45976.263888888891</v>
      </c>
      <c r="K247" s="4">
        <v>45977.025509259256</v>
      </c>
      <c r="L247" s="11">
        <v>45977.065092592595</v>
      </c>
      <c r="M247" s="10">
        <v>45977</v>
      </c>
      <c r="N247" s="6" t="s">
        <v>200</v>
      </c>
      <c r="O247" t="s">
        <v>338</v>
      </c>
      <c r="P247" s="6" t="s">
        <v>103</v>
      </c>
      <c r="Q247" t="s">
        <v>204</v>
      </c>
      <c r="R247" t="s">
        <v>73</v>
      </c>
      <c r="S247" s="6">
        <v>714749</v>
      </c>
      <c r="T247" s="6" t="s">
        <v>140</v>
      </c>
      <c r="U247">
        <v>989</v>
      </c>
      <c r="V247" s="6">
        <v>18.600000000000001</v>
      </c>
      <c r="W247" s="6">
        <v>4.5</v>
      </c>
      <c r="X247" s="6">
        <v>990.5</v>
      </c>
      <c r="Y247" s="6">
        <v>1013.6</v>
      </c>
      <c r="Z247" s="6" t="s">
        <v>2</v>
      </c>
      <c r="AA247" t="s">
        <v>437</v>
      </c>
      <c r="AB247" s="6" t="s">
        <v>97</v>
      </c>
      <c r="AC247" t="s">
        <v>76</v>
      </c>
      <c r="AD247" t="s">
        <v>192</v>
      </c>
      <c r="AE247">
        <v>57</v>
      </c>
      <c r="AF247">
        <v>0</v>
      </c>
      <c r="AG247">
        <v>0</v>
      </c>
      <c r="AH247" s="6">
        <v>72.5</v>
      </c>
      <c r="AI247" s="6">
        <v>0</v>
      </c>
      <c r="AJ247" s="6">
        <v>0.65</v>
      </c>
      <c r="AK247" s="6">
        <v>0.63500000000000001</v>
      </c>
      <c r="AL247" s="8">
        <v>20076.580000000002</v>
      </c>
      <c r="AM247" s="6" t="s">
        <v>114</v>
      </c>
      <c r="AN247" s="6">
        <v>1</v>
      </c>
      <c r="AO247" s="6">
        <v>0</v>
      </c>
      <c r="AP247" s="6">
        <v>1</v>
      </c>
      <c r="AQ247" s="6">
        <v>0</v>
      </c>
      <c r="AR247" s="6">
        <v>1</v>
      </c>
      <c r="AS247" s="6">
        <v>0</v>
      </c>
      <c r="AT247" s="6">
        <v>1</v>
      </c>
      <c r="AU247" s="6">
        <v>2.72</v>
      </c>
      <c r="AV247" s="6">
        <v>2.1</v>
      </c>
      <c r="AW247" s="6">
        <v>681.45</v>
      </c>
      <c r="AX247" s="6">
        <v>195.16</v>
      </c>
      <c r="AY247" s="6">
        <v>676.58</v>
      </c>
      <c r="AZ247" s="6">
        <v>41.8</v>
      </c>
      <c r="BA247" s="6">
        <v>17</v>
      </c>
    </row>
    <row r="248" spans="1:53" x14ac:dyDescent="0.3">
      <c r="A248" s="6">
        <v>530338918</v>
      </c>
      <c r="B248" s="6">
        <v>514850</v>
      </c>
      <c r="C248" s="6">
        <v>3253031</v>
      </c>
      <c r="D248" s="6">
        <v>6450</v>
      </c>
      <c r="E248" s="6" t="s">
        <v>101</v>
      </c>
      <c r="F248" s="6">
        <v>54368</v>
      </c>
      <c r="G248" s="6" t="s">
        <v>207</v>
      </c>
      <c r="H248" s="10">
        <v>45973</v>
      </c>
      <c r="I248" s="10">
        <v>45973</v>
      </c>
      <c r="J248" s="4">
        <v>45973.677083333336</v>
      </c>
      <c r="K248" s="4">
        <v>45973.8981712963</v>
      </c>
      <c r="L248" s="11">
        <v>45973.882893518516</v>
      </c>
      <c r="M248" s="10">
        <v>45973</v>
      </c>
      <c r="N248" s="6" t="s">
        <v>200</v>
      </c>
      <c r="O248" t="s">
        <v>161</v>
      </c>
      <c r="P248" s="6" t="s">
        <v>78</v>
      </c>
      <c r="Q248" t="s">
        <v>147</v>
      </c>
      <c r="R248" t="s">
        <v>88</v>
      </c>
      <c r="S248" s="6">
        <v>745603</v>
      </c>
      <c r="T248" s="6" t="s">
        <v>1</v>
      </c>
      <c r="U248">
        <v>281</v>
      </c>
      <c r="V248" s="6">
        <v>39.799999999999997</v>
      </c>
      <c r="W248" s="6">
        <v>17.399999999999999</v>
      </c>
      <c r="X248" s="6">
        <v>293.7</v>
      </c>
      <c r="Y248" s="6">
        <v>350.9</v>
      </c>
      <c r="Z248" s="6" t="s">
        <v>63</v>
      </c>
      <c r="AA248" t="s">
        <v>438</v>
      </c>
      <c r="AB248" s="6" t="s">
        <v>90</v>
      </c>
      <c r="AC248" t="s">
        <v>125</v>
      </c>
      <c r="AD248" t="s">
        <v>67</v>
      </c>
      <c r="AE248">
        <v>-22</v>
      </c>
      <c r="AF248">
        <v>0</v>
      </c>
      <c r="AG248">
        <v>0</v>
      </c>
      <c r="AH248" s="6">
        <v>7.8</v>
      </c>
      <c r="AI248" s="6">
        <v>0</v>
      </c>
      <c r="AJ248" s="6">
        <v>0.71299999999999997</v>
      </c>
      <c r="AK248" s="6">
        <v>0.73199999999999998</v>
      </c>
      <c r="AL248" s="8">
        <v>7772.55</v>
      </c>
      <c r="AM248" s="6" t="s">
        <v>114</v>
      </c>
      <c r="AN248" s="6">
        <v>1</v>
      </c>
      <c r="AO248" s="6">
        <v>1</v>
      </c>
      <c r="AP248" s="6">
        <v>0</v>
      </c>
      <c r="AQ248" s="6">
        <v>1</v>
      </c>
      <c r="AR248" s="6">
        <v>0</v>
      </c>
      <c r="AS248" s="6">
        <v>1</v>
      </c>
      <c r="AT248" s="6">
        <v>0</v>
      </c>
      <c r="AU248" s="6">
        <v>1.93</v>
      </c>
      <c r="AV248" s="6">
        <v>1.53</v>
      </c>
      <c r="AW248" s="6">
        <v>298.08999999999997</v>
      </c>
      <c r="AX248" s="6">
        <v>47.38</v>
      </c>
      <c r="AY248" s="6">
        <v>249.9</v>
      </c>
      <c r="AZ248" s="6">
        <v>0.1</v>
      </c>
      <c r="BA248" s="6">
        <v>80.7</v>
      </c>
    </row>
    <row r="249" spans="1:53" x14ac:dyDescent="0.3">
      <c r="A249" s="6">
        <v>174716780</v>
      </c>
      <c r="B249" s="6">
        <v>656116</v>
      </c>
      <c r="C249" s="6">
        <v>9996207</v>
      </c>
      <c r="D249" s="6">
        <v>5061</v>
      </c>
      <c r="E249" s="6" t="s">
        <v>92</v>
      </c>
      <c r="F249" s="6">
        <v>54088</v>
      </c>
      <c r="G249" s="6" t="s">
        <v>175</v>
      </c>
      <c r="H249" s="10">
        <v>45793</v>
      </c>
      <c r="I249" s="10">
        <v>45793</v>
      </c>
      <c r="J249" s="4">
        <v>45793.472222222219</v>
      </c>
      <c r="K249" s="4">
        <v>45793.625289351854</v>
      </c>
      <c r="L249" s="11">
        <v>45793.607928240737</v>
      </c>
      <c r="M249" s="10">
        <v>45793</v>
      </c>
      <c r="N249" s="6" t="s">
        <v>170</v>
      </c>
      <c r="O249" t="s">
        <v>171</v>
      </c>
      <c r="P249" s="6" t="s">
        <v>78</v>
      </c>
      <c r="Q249" t="s">
        <v>79</v>
      </c>
      <c r="R249" t="s">
        <v>88</v>
      </c>
      <c r="S249" s="6">
        <v>733586</v>
      </c>
      <c r="T249" s="6" t="s">
        <v>1</v>
      </c>
      <c r="U249">
        <v>127</v>
      </c>
      <c r="V249" s="6">
        <v>26.5</v>
      </c>
      <c r="W249" s="6">
        <v>41.9</v>
      </c>
      <c r="X249" s="6">
        <v>119.7</v>
      </c>
      <c r="Y249" s="6">
        <v>188.1</v>
      </c>
      <c r="Z249" s="6" t="s">
        <v>63</v>
      </c>
      <c r="AA249" t="s">
        <v>257</v>
      </c>
      <c r="AB249" s="6" t="s">
        <v>75</v>
      </c>
      <c r="AC249" t="s">
        <v>154</v>
      </c>
      <c r="AD249" t="s">
        <v>67</v>
      </c>
      <c r="AE249">
        <v>-25</v>
      </c>
      <c r="AF249">
        <v>0</v>
      </c>
      <c r="AG249">
        <v>0</v>
      </c>
      <c r="AH249" s="6">
        <v>51.3</v>
      </c>
      <c r="AI249" s="6">
        <v>0</v>
      </c>
      <c r="AJ249" s="6">
        <v>0.65900000000000003</v>
      </c>
      <c r="AK249" s="6">
        <v>0.83599999999999997</v>
      </c>
      <c r="AL249" s="8">
        <v>96663.52</v>
      </c>
      <c r="AM249" s="6" t="s">
        <v>155</v>
      </c>
      <c r="AN249" s="6">
        <v>1</v>
      </c>
      <c r="AO249" s="6">
        <v>1</v>
      </c>
      <c r="AP249" s="6">
        <v>0</v>
      </c>
      <c r="AQ249" s="6">
        <v>1</v>
      </c>
      <c r="AR249" s="6">
        <v>0</v>
      </c>
      <c r="AS249" s="6">
        <v>1</v>
      </c>
      <c r="AT249" s="6">
        <v>0</v>
      </c>
      <c r="AU249" s="6">
        <v>2.23</v>
      </c>
      <c r="AV249" s="6">
        <v>1.57</v>
      </c>
      <c r="AW249" s="6">
        <v>125.17</v>
      </c>
      <c r="AX249" s="6">
        <v>31.09</v>
      </c>
      <c r="AY249" s="6">
        <v>105.64</v>
      </c>
      <c r="AZ249" s="6">
        <v>0.1</v>
      </c>
      <c r="BA249" s="6">
        <v>26.6</v>
      </c>
    </row>
    <row r="250" spans="1:53" x14ac:dyDescent="0.3">
      <c r="A250" s="6">
        <v>252336745</v>
      </c>
      <c r="B250" s="6">
        <v>301629</v>
      </c>
      <c r="C250" s="6">
        <v>8633773</v>
      </c>
      <c r="D250" s="6">
        <v>7331</v>
      </c>
      <c r="E250" s="6" t="s">
        <v>84</v>
      </c>
      <c r="F250" s="6">
        <v>59223</v>
      </c>
      <c r="G250" s="6" t="s">
        <v>77</v>
      </c>
      <c r="H250" s="10">
        <v>45734</v>
      </c>
      <c r="I250" s="10">
        <v>45734</v>
      </c>
      <c r="J250" s="4">
        <v>45734.034722222219</v>
      </c>
      <c r="K250" s="4">
        <v>45734.097222222219</v>
      </c>
      <c r="L250" s="11">
        <v>45734.230555555558</v>
      </c>
      <c r="M250" s="10">
        <v>45734</v>
      </c>
      <c r="N250" s="6" t="s">
        <v>132</v>
      </c>
      <c r="O250" t="s">
        <v>181</v>
      </c>
      <c r="P250" s="6" t="s">
        <v>121</v>
      </c>
      <c r="Q250" t="s">
        <v>143</v>
      </c>
      <c r="R250" t="s">
        <v>123</v>
      </c>
      <c r="S250" s="6">
        <v>788047</v>
      </c>
      <c r="T250" s="6" t="s">
        <v>3</v>
      </c>
      <c r="U250">
        <v>40</v>
      </c>
      <c r="V250" s="6">
        <v>6.1</v>
      </c>
      <c r="W250" s="6">
        <v>18.3</v>
      </c>
      <c r="X250" s="6">
        <v>39.799999999999997</v>
      </c>
      <c r="Y250" s="6">
        <v>64.2</v>
      </c>
      <c r="Z250" s="6" t="s">
        <v>112</v>
      </c>
      <c r="AA250" t="s">
        <v>382</v>
      </c>
      <c r="AB250" s="6" t="s">
        <v>82</v>
      </c>
      <c r="AC250" t="s">
        <v>66</v>
      </c>
      <c r="AD250" t="s">
        <v>206</v>
      </c>
      <c r="AE250">
        <v>192</v>
      </c>
      <c r="AF250">
        <v>426</v>
      </c>
      <c r="AG250">
        <v>0</v>
      </c>
      <c r="AH250" s="6">
        <v>60.6</v>
      </c>
      <c r="AI250" s="6">
        <v>0</v>
      </c>
      <c r="AJ250" s="6">
        <v>0.58699999999999997</v>
      </c>
      <c r="AK250" s="6">
        <v>0.53800000000000003</v>
      </c>
      <c r="AL250" s="8">
        <v>10453.9</v>
      </c>
      <c r="AM250" s="6" t="s">
        <v>114</v>
      </c>
      <c r="AN250" s="6">
        <v>1</v>
      </c>
      <c r="AO250" s="6">
        <v>0</v>
      </c>
      <c r="AP250" s="6">
        <v>1</v>
      </c>
      <c r="AQ250" s="6">
        <v>0</v>
      </c>
      <c r="AR250" s="6">
        <v>1</v>
      </c>
      <c r="AS250" s="6">
        <v>0</v>
      </c>
      <c r="AT250" s="6">
        <v>1</v>
      </c>
      <c r="AU250" s="6">
        <v>2.2799999999999998</v>
      </c>
      <c r="AV250" s="6">
        <v>1.48</v>
      </c>
      <c r="AW250" s="6">
        <v>58.67</v>
      </c>
      <c r="AX250" s="6">
        <v>7.34</v>
      </c>
      <c r="AY250" s="6">
        <v>40.35</v>
      </c>
      <c r="AZ250" s="6">
        <v>63.5</v>
      </c>
      <c r="BA250" s="6">
        <v>12.3</v>
      </c>
    </row>
    <row r="251" spans="1:53" x14ac:dyDescent="0.3">
      <c r="A251" s="6">
        <v>895609471</v>
      </c>
      <c r="B251" s="6">
        <v>996865</v>
      </c>
      <c r="C251" s="6">
        <v>2022698</v>
      </c>
      <c r="D251" s="6">
        <v>6463</v>
      </c>
      <c r="E251" s="6" t="s">
        <v>126</v>
      </c>
      <c r="F251" s="6">
        <v>58399</v>
      </c>
      <c r="G251" s="6" t="s">
        <v>107</v>
      </c>
      <c r="H251" s="10">
        <v>45940</v>
      </c>
      <c r="I251" s="10">
        <v>45940</v>
      </c>
      <c r="J251" s="4">
        <v>45940.298611111109</v>
      </c>
      <c r="K251" s="4">
        <v>45940.604930555557</v>
      </c>
      <c r="L251" s="11">
        <v>45940.579930555556</v>
      </c>
      <c r="M251" s="10">
        <v>45940</v>
      </c>
      <c r="N251" s="6" t="s">
        <v>200</v>
      </c>
      <c r="O251" t="s">
        <v>161</v>
      </c>
      <c r="P251" s="6" t="s">
        <v>103</v>
      </c>
      <c r="Q251" t="s">
        <v>104</v>
      </c>
      <c r="R251" t="s">
        <v>73</v>
      </c>
      <c r="S251" s="6">
        <v>714749</v>
      </c>
      <c r="T251" s="6" t="s">
        <v>111</v>
      </c>
      <c r="U251">
        <v>290</v>
      </c>
      <c r="V251" s="6">
        <v>11</v>
      </c>
      <c r="W251" s="6">
        <v>8.1</v>
      </c>
      <c r="X251" s="6">
        <v>287</v>
      </c>
      <c r="Y251" s="6">
        <v>306.10000000000002</v>
      </c>
      <c r="Z251" s="6" t="s">
        <v>63</v>
      </c>
      <c r="AA251" t="s">
        <v>439</v>
      </c>
      <c r="AB251" s="6" t="s">
        <v>97</v>
      </c>
      <c r="AC251" t="s">
        <v>154</v>
      </c>
      <c r="AD251" t="s">
        <v>67</v>
      </c>
      <c r="AE251">
        <v>-36</v>
      </c>
      <c r="AF251">
        <v>0</v>
      </c>
      <c r="AG251">
        <v>0</v>
      </c>
      <c r="AH251" s="6">
        <v>22.6</v>
      </c>
      <c r="AI251" s="6">
        <v>0</v>
      </c>
      <c r="AJ251" s="6">
        <v>0.78500000000000003</v>
      </c>
      <c r="AK251" s="6">
        <v>0.63800000000000001</v>
      </c>
      <c r="AL251" s="8">
        <v>1518.88</v>
      </c>
      <c r="AM251" s="6" t="s">
        <v>68</v>
      </c>
      <c r="AN251" s="6">
        <v>1</v>
      </c>
      <c r="AO251" s="6">
        <v>1</v>
      </c>
      <c r="AP251" s="6">
        <v>0</v>
      </c>
      <c r="AQ251" s="6">
        <v>1</v>
      </c>
      <c r="AR251" s="6">
        <v>0</v>
      </c>
      <c r="AS251" s="6">
        <v>1</v>
      </c>
      <c r="AT251" s="6">
        <v>0</v>
      </c>
      <c r="AU251" s="6">
        <v>1.97</v>
      </c>
      <c r="AV251" s="6">
        <v>1.25</v>
      </c>
      <c r="AW251" s="6">
        <v>219.29</v>
      </c>
      <c r="AX251" s="6">
        <v>43.38</v>
      </c>
      <c r="AY251" s="6">
        <v>170.71</v>
      </c>
      <c r="AZ251" s="6">
        <v>8.8000000000000007</v>
      </c>
      <c r="BA251" s="6">
        <v>25.8</v>
      </c>
    </row>
    <row r="252" spans="1:53" x14ac:dyDescent="0.3">
      <c r="A252" s="6">
        <v>779863265</v>
      </c>
      <c r="B252" s="6">
        <v>358607</v>
      </c>
      <c r="C252" s="6">
        <v>5727085</v>
      </c>
      <c r="D252" s="6">
        <v>6864</v>
      </c>
      <c r="E252" s="6" t="s">
        <v>84</v>
      </c>
      <c r="F252" s="6">
        <v>51937</v>
      </c>
      <c r="G252" s="6" t="s">
        <v>115</v>
      </c>
      <c r="H252" s="10">
        <v>45816</v>
      </c>
      <c r="I252" s="10">
        <v>45816</v>
      </c>
      <c r="J252" s="4">
        <v>45816.520833333336</v>
      </c>
      <c r="K252" s="4">
        <v>45816.664513888885</v>
      </c>
      <c r="L252" s="11">
        <v>45816.640208333331</v>
      </c>
      <c r="M252" s="10">
        <v>45816</v>
      </c>
      <c r="N252" s="6" t="s">
        <v>200</v>
      </c>
      <c r="O252" t="s">
        <v>171</v>
      </c>
      <c r="P252" s="6" t="s">
        <v>170</v>
      </c>
      <c r="Q252" t="s">
        <v>171</v>
      </c>
      <c r="R252" t="s">
        <v>62</v>
      </c>
      <c r="S252" s="6">
        <v>754209</v>
      </c>
      <c r="T252" s="6" t="s">
        <v>1</v>
      </c>
      <c r="U252">
        <v>170</v>
      </c>
      <c r="V252" s="6">
        <v>54.8</v>
      </c>
      <c r="W252" s="6">
        <v>6.2</v>
      </c>
      <c r="X252" s="6">
        <v>168.1</v>
      </c>
      <c r="Y252" s="6">
        <v>229.1</v>
      </c>
      <c r="Z252" s="6" t="s">
        <v>63</v>
      </c>
      <c r="AA252" t="s">
        <v>440</v>
      </c>
      <c r="AB252" s="6" t="s">
        <v>75</v>
      </c>
      <c r="AC252" t="s">
        <v>91</v>
      </c>
      <c r="AD252" t="s">
        <v>67</v>
      </c>
      <c r="AE252">
        <v>-35</v>
      </c>
      <c r="AF252">
        <v>0</v>
      </c>
      <c r="AG252">
        <v>0</v>
      </c>
      <c r="AH252" s="6">
        <v>56.1</v>
      </c>
      <c r="AI252" s="6">
        <v>0</v>
      </c>
      <c r="AJ252" s="6">
        <v>0.55800000000000005</v>
      </c>
      <c r="AK252" s="6">
        <v>0.76800000000000002</v>
      </c>
      <c r="AL252" s="8">
        <v>48034.2</v>
      </c>
      <c r="AM252" s="6" t="s">
        <v>155</v>
      </c>
      <c r="AN252" s="6">
        <v>1</v>
      </c>
      <c r="AO252" s="6">
        <v>1</v>
      </c>
      <c r="AP252" s="6">
        <v>0</v>
      </c>
      <c r="AQ252" s="6">
        <v>1</v>
      </c>
      <c r="AR252" s="6">
        <v>0</v>
      </c>
      <c r="AS252" s="6">
        <v>1</v>
      </c>
      <c r="AT252" s="6">
        <v>0</v>
      </c>
      <c r="AU252" s="6">
        <v>1.99</v>
      </c>
      <c r="AV252" s="6">
        <v>1.36</v>
      </c>
      <c r="AW252" s="6">
        <v>205.18</v>
      </c>
      <c r="AX252" s="6">
        <v>24</v>
      </c>
      <c r="AY252" s="6">
        <v>134.35</v>
      </c>
      <c r="AZ252" s="6">
        <v>7.3</v>
      </c>
      <c r="BA252" s="6">
        <v>49.7</v>
      </c>
    </row>
    <row r="253" spans="1:53" x14ac:dyDescent="0.3">
      <c r="A253" s="6">
        <v>132917811</v>
      </c>
      <c r="B253" s="6">
        <v>496922</v>
      </c>
      <c r="C253" s="6">
        <v>9075854</v>
      </c>
      <c r="D253" s="6">
        <v>8869</v>
      </c>
      <c r="E253" s="6" t="s">
        <v>84</v>
      </c>
      <c r="F253" s="6">
        <v>51146</v>
      </c>
      <c r="G253" s="6" t="s">
        <v>164</v>
      </c>
      <c r="H253" s="10">
        <v>45728</v>
      </c>
      <c r="I253" s="10">
        <v>45728</v>
      </c>
      <c r="J253" s="4">
        <v>45728.34375</v>
      </c>
      <c r="K253" s="4">
        <v>45728.55232638889</v>
      </c>
      <c r="L253" s="11">
        <v>45728.507187499999</v>
      </c>
      <c r="M253" s="10">
        <v>45728</v>
      </c>
      <c r="N253" s="6" t="s">
        <v>93</v>
      </c>
      <c r="O253" t="s">
        <v>94</v>
      </c>
      <c r="P253" s="6" t="s">
        <v>200</v>
      </c>
      <c r="Q253" t="s">
        <v>161</v>
      </c>
      <c r="R253" t="s">
        <v>62</v>
      </c>
      <c r="S253" s="6">
        <v>774588</v>
      </c>
      <c r="T253" s="6" t="s">
        <v>111</v>
      </c>
      <c r="U253">
        <v>314</v>
      </c>
      <c r="V253" s="6">
        <v>20.7</v>
      </c>
      <c r="W253" s="6">
        <v>2.8</v>
      </c>
      <c r="X253" s="6">
        <v>314.3</v>
      </c>
      <c r="Y253" s="6">
        <v>337.8</v>
      </c>
      <c r="Z253" s="6" t="s">
        <v>112</v>
      </c>
      <c r="AA253" t="s">
        <v>441</v>
      </c>
      <c r="AB253" s="6" t="s">
        <v>97</v>
      </c>
      <c r="AC253" t="s">
        <v>125</v>
      </c>
      <c r="AD253" t="s">
        <v>67</v>
      </c>
      <c r="AE253">
        <v>-65</v>
      </c>
      <c r="AF253">
        <v>0</v>
      </c>
      <c r="AG253">
        <v>0</v>
      </c>
      <c r="AH253" s="6">
        <v>70.3</v>
      </c>
      <c r="AI253" s="6">
        <v>0</v>
      </c>
      <c r="AJ253" s="6">
        <v>0.71499999999999997</v>
      </c>
      <c r="AK253" s="6">
        <v>0.88700000000000001</v>
      </c>
      <c r="AL253" s="8">
        <v>19727.89</v>
      </c>
      <c r="AM253" s="6" t="s">
        <v>114</v>
      </c>
      <c r="AN253" s="6">
        <v>1</v>
      </c>
      <c r="AO253" s="6">
        <v>1</v>
      </c>
      <c r="AP253" s="6">
        <v>0</v>
      </c>
      <c r="AQ253" s="6">
        <v>1</v>
      </c>
      <c r="AR253" s="6">
        <v>0</v>
      </c>
      <c r="AS253" s="6">
        <v>1</v>
      </c>
      <c r="AT253" s="6">
        <v>0</v>
      </c>
      <c r="AU253" s="6">
        <v>2.3199999999999998</v>
      </c>
      <c r="AV253" s="6">
        <v>1.5</v>
      </c>
      <c r="AW253" s="6">
        <v>276.55</v>
      </c>
      <c r="AX253" s="6">
        <v>56</v>
      </c>
      <c r="AY253" s="6">
        <v>163.83000000000001</v>
      </c>
      <c r="AZ253" s="6">
        <v>9.3000000000000007</v>
      </c>
      <c r="BA253" s="6">
        <v>28.2</v>
      </c>
    </row>
    <row r="254" spans="1:53" x14ac:dyDescent="0.3">
      <c r="A254" s="6">
        <v>198524063</v>
      </c>
      <c r="B254" s="6">
        <v>334053</v>
      </c>
      <c r="C254" s="6">
        <v>6672134</v>
      </c>
      <c r="D254" s="6">
        <v>1466</v>
      </c>
      <c r="E254" s="6" t="s">
        <v>126</v>
      </c>
      <c r="F254" s="6">
        <v>55152</v>
      </c>
      <c r="G254" s="6" t="s">
        <v>107</v>
      </c>
      <c r="H254" s="10">
        <v>45988</v>
      </c>
      <c r="I254" s="10">
        <v>45988</v>
      </c>
      <c r="J254" s="4">
        <v>45988.722222222219</v>
      </c>
      <c r="K254" s="4">
        <v>45988.839675925927</v>
      </c>
      <c r="L254" s="11">
        <v>45988.834120370368</v>
      </c>
      <c r="M254" s="10">
        <v>45988</v>
      </c>
      <c r="N254" s="6" t="s">
        <v>116</v>
      </c>
      <c r="O254" t="s">
        <v>117</v>
      </c>
      <c r="P254" s="6" t="s">
        <v>200</v>
      </c>
      <c r="Q254" t="s">
        <v>275</v>
      </c>
      <c r="R254" t="s">
        <v>62</v>
      </c>
      <c r="S254" s="6">
        <v>755514</v>
      </c>
      <c r="T254" s="6" t="s">
        <v>3</v>
      </c>
      <c r="U254">
        <v>62</v>
      </c>
      <c r="V254" s="6">
        <v>17.600000000000001</v>
      </c>
      <c r="W254" s="6">
        <v>21.4</v>
      </c>
      <c r="X254" s="6">
        <v>57.9</v>
      </c>
      <c r="Y254" s="6">
        <v>96.9</v>
      </c>
      <c r="Z254" s="6" t="s">
        <v>63</v>
      </c>
      <c r="AA254" t="s">
        <v>442</v>
      </c>
      <c r="AB254" s="6" t="s">
        <v>90</v>
      </c>
      <c r="AC254" t="s">
        <v>137</v>
      </c>
      <c r="AD254" t="s">
        <v>67</v>
      </c>
      <c r="AE254">
        <v>-8</v>
      </c>
      <c r="AF254">
        <v>0</v>
      </c>
      <c r="AG254">
        <v>0</v>
      </c>
      <c r="AH254" s="6">
        <v>54.1</v>
      </c>
      <c r="AI254" s="6">
        <v>0</v>
      </c>
      <c r="AJ254" s="6">
        <v>0.67100000000000004</v>
      </c>
      <c r="AK254" s="6">
        <v>0.58499999999999996</v>
      </c>
      <c r="AL254" s="8">
        <v>16038.27</v>
      </c>
      <c r="AM254" s="6" t="s">
        <v>114</v>
      </c>
      <c r="AN254" s="6">
        <v>1</v>
      </c>
      <c r="AO254" s="6">
        <v>1</v>
      </c>
      <c r="AP254" s="6">
        <v>0</v>
      </c>
      <c r="AQ254" s="6">
        <v>1</v>
      </c>
      <c r="AR254" s="6">
        <v>0</v>
      </c>
      <c r="AS254" s="6">
        <v>1</v>
      </c>
      <c r="AT254" s="6">
        <v>0</v>
      </c>
      <c r="AU254" s="6">
        <v>2.38</v>
      </c>
      <c r="AV254" s="6">
        <v>1.6</v>
      </c>
      <c r="AW254" s="6">
        <v>78.510000000000005</v>
      </c>
      <c r="AX254" s="6">
        <v>13.73</v>
      </c>
      <c r="AY254" s="6">
        <v>48.24</v>
      </c>
      <c r="AZ254" s="6">
        <v>28.7</v>
      </c>
      <c r="BA254" s="6">
        <v>47.9</v>
      </c>
    </row>
    <row r="255" spans="1:53" x14ac:dyDescent="0.3">
      <c r="A255" s="6">
        <v>901131404</v>
      </c>
      <c r="B255" s="6">
        <v>456699</v>
      </c>
      <c r="C255" s="6">
        <v>1415846</v>
      </c>
      <c r="D255" s="6">
        <v>1197</v>
      </c>
      <c r="E255" s="6" t="s">
        <v>106</v>
      </c>
      <c r="F255" s="6">
        <v>54299</v>
      </c>
      <c r="G255" s="6" t="s">
        <v>107</v>
      </c>
      <c r="H255" s="10">
        <v>45730</v>
      </c>
      <c r="I255" s="10">
        <v>45730</v>
      </c>
      <c r="J255" s="4">
        <v>45730.496527777781</v>
      </c>
      <c r="K255" s="4">
        <v>45731.30709490741</v>
      </c>
      <c r="L255" s="11">
        <v>45731.280706018515</v>
      </c>
      <c r="M255" s="10">
        <v>45731</v>
      </c>
      <c r="N255" s="6" t="s">
        <v>134</v>
      </c>
      <c r="O255" t="s">
        <v>135</v>
      </c>
      <c r="P255" s="6" t="s">
        <v>134</v>
      </c>
      <c r="Q255" t="s">
        <v>135</v>
      </c>
      <c r="R255" t="s">
        <v>73</v>
      </c>
      <c r="S255" s="6">
        <v>752322</v>
      </c>
      <c r="T255" s="6" t="s">
        <v>140</v>
      </c>
      <c r="U255">
        <v>865</v>
      </c>
      <c r="V255" s="6">
        <v>38.700000000000003</v>
      </c>
      <c r="W255" s="6">
        <v>27.6</v>
      </c>
      <c r="X255" s="6">
        <v>870.7</v>
      </c>
      <c r="Y255" s="6">
        <v>937</v>
      </c>
      <c r="Z255" s="6" t="s">
        <v>2</v>
      </c>
      <c r="AA255" t="s">
        <v>443</v>
      </c>
      <c r="AB255" s="6" t="s">
        <v>75</v>
      </c>
      <c r="AC255" t="s">
        <v>154</v>
      </c>
      <c r="AD255" t="s">
        <v>67</v>
      </c>
      <c r="AE255">
        <v>-38</v>
      </c>
      <c r="AF255">
        <v>0</v>
      </c>
      <c r="AG255">
        <v>0</v>
      </c>
      <c r="AH255" s="6">
        <v>54.1</v>
      </c>
      <c r="AI255" s="6">
        <v>0</v>
      </c>
      <c r="AJ255" s="6">
        <v>0.80400000000000005</v>
      </c>
      <c r="AK255" s="6">
        <v>0.78</v>
      </c>
      <c r="AL255" s="8">
        <v>80788.570000000007</v>
      </c>
      <c r="AM255" s="6" t="s">
        <v>155</v>
      </c>
      <c r="AN255" s="6">
        <v>1</v>
      </c>
      <c r="AO255" s="6">
        <v>1</v>
      </c>
      <c r="AP255" s="6">
        <v>0</v>
      </c>
      <c r="AQ255" s="6">
        <v>1</v>
      </c>
      <c r="AR255" s="6">
        <v>0</v>
      </c>
      <c r="AS255" s="6">
        <v>1</v>
      </c>
      <c r="AT255" s="6">
        <v>0</v>
      </c>
      <c r="AU255" s="6">
        <v>2.42</v>
      </c>
      <c r="AV255" s="6">
        <v>1.85</v>
      </c>
      <c r="AW255" s="6">
        <v>838.25</v>
      </c>
      <c r="AX255" s="6">
        <v>191.75</v>
      </c>
      <c r="AY255" s="6">
        <v>629.11</v>
      </c>
      <c r="AZ255" s="6">
        <v>15.2</v>
      </c>
      <c r="BA255" s="6">
        <v>16.600000000000001</v>
      </c>
    </row>
    <row r="256" spans="1:53" x14ac:dyDescent="0.3">
      <c r="A256" s="6">
        <v>669601448</v>
      </c>
      <c r="B256" s="6">
        <v>329974</v>
      </c>
      <c r="C256" s="6">
        <v>5641923</v>
      </c>
      <c r="D256" s="6">
        <v>4304</v>
      </c>
      <c r="E256" s="6" t="s">
        <v>84</v>
      </c>
      <c r="F256" s="6">
        <v>58118</v>
      </c>
      <c r="G256" s="6" t="s">
        <v>102</v>
      </c>
      <c r="H256" s="10">
        <v>45667</v>
      </c>
      <c r="I256" s="10">
        <v>45667</v>
      </c>
      <c r="J256" s="4">
        <v>45667.319444444445</v>
      </c>
      <c r="K256" s="4">
        <v>45667.62771990741</v>
      </c>
      <c r="L256" s="11">
        <v>45667.604108796295</v>
      </c>
      <c r="M256" s="10">
        <v>45667</v>
      </c>
      <c r="N256" s="6" t="s">
        <v>150</v>
      </c>
      <c r="O256" t="s">
        <v>196</v>
      </c>
      <c r="P256" s="6" t="s">
        <v>150</v>
      </c>
      <c r="Q256" t="s">
        <v>151</v>
      </c>
      <c r="R256" t="s">
        <v>73</v>
      </c>
      <c r="S256" s="6">
        <v>710286</v>
      </c>
      <c r="T256" s="6" t="s">
        <v>1</v>
      </c>
      <c r="U256">
        <v>293</v>
      </c>
      <c r="V256" s="6">
        <v>25.7</v>
      </c>
      <c r="W256" s="6">
        <v>18.5</v>
      </c>
      <c r="X256" s="6">
        <v>303.5</v>
      </c>
      <c r="Y256" s="6">
        <v>347.7</v>
      </c>
      <c r="Z256" s="6" t="s">
        <v>63</v>
      </c>
      <c r="AA256" t="s">
        <v>444</v>
      </c>
      <c r="AB256" s="6" t="s">
        <v>97</v>
      </c>
      <c r="AC256" t="s">
        <v>154</v>
      </c>
      <c r="AD256" t="s">
        <v>67</v>
      </c>
      <c r="AE256">
        <v>-34</v>
      </c>
      <c r="AF256">
        <v>0</v>
      </c>
      <c r="AG256">
        <v>0</v>
      </c>
      <c r="AH256" s="6">
        <v>55.2</v>
      </c>
      <c r="AI256" s="6">
        <v>0</v>
      </c>
      <c r="AJ256" s="6">
        <v>0.71199999999999997</v>
      </c>
      <c r="AK256" s="6">
        <v>0.82199999999999995</v>
      </c>
      <c r="AL256" s="8">
        <v>15354.19</v>
      </c>
      <c r="AM256" s="6" t="s">
        <v>114</v>
      </c>
      <c r="AN256" s="6">
        <v>1</v>
      </c>
      <c r="AO256" s="6">
        <v>1</v>
      </c>
      <c r="AP256" s="6">
        <v>0</v>
      </c>
      <c r="AQ256" s="6">
        <v>1</v>
      </c>
      <c r="AR256" s="6">
        <v>0</v>
      </c>
      <c r="AS256" s="6">
        <v>1</v>
      </c>
      <c r="AT256" s="6">
        <v>0</v>
      </c>
      <c r="AU256" s="6">
        <v>2.23</v>
      </c>
      <c r="AV256" s="6">
        <v>1.52</v>
      </c>
      <c r="AW256" s="6">
        <v>269.11</v>
      </c>
      <c r="AX256" s="6">
        <v>51.15</v>
      </c>
      <c r="AY256" s="6">
        <v>178.57</v>
      </c>
      <c r="AZ256" s="6">
        <v>28.3</v>
      </c>
      <c r="BA256" s="6">
        <v>56.8</v>
      </c>
    </row>
    <row r="257" spans="1:53" x14ac:dyDescent="0.3">
      <c r="A257" s="6">
        <v>330997172</v>
      </c>
      <c r="B257" s="6">
        <v>249811</v>
      </c>
      <c r="C257" s="6">
        <v>2795765</v>
      </c>
      <c r="D257" s="6">
        <v>8392</v>
      </c>
      <c r="E257" s="6" t="s">
        <v>92</v>
      </c>
      <c r="F257" s="6">
        <v>58634</v>
      </c>
      <c r="G257" s="6" t="s">
        <v>98</v>
      </c>
      <c r="H257" s="10">
        <v>45665</v>
      </c>
      <c r="I257" s="10">
        <v>45665</v>
      </c>
      <c r="J257" s="4">
        <v>45665.46875</v>
      </c>
      <c r="K257" s="4">
        <v>45665.673125000001</v>
      </c>
      <c r="L257" s="11">
        <v>45665.668958333335</v>
      </c>
      <c r="M257" s="10">
        <v>45665</v>
      </c>
      <c r="N257" s="6" t="s">
        <v>116</v>
      </c>
      <c r="O257" t="s">
        <v>212</v>
      </c>
      <c r="P257" s="6" t="s">
        <v>70</v>
      </c>
      <c r="Q257" t="s">
        <v>71</v>
      </c>
      <c r="R257" t="s">
        <v>73</v>
      </c>
      <c r="S257" s="6">
        <v>729716</v>
      </c>
      <c r="T257" s="6" t="s">
        <v>1</v>
      </c>
      <c r="U257">
        <v>266</v>
      </c>
      <c r="V257" s="6">
        <v>15</v>
      </c>
      <c r="W257" s="6">
        <v>14.2</v>
      </c>
      <c r="X257" s="6">
        <v>252</v>
      </c>
      <c r="Y257" s="6">
        <v>281.2</v>
      </c>
      <c r="Z257" s="6" t="s">
        <v>63</v>
      </c>
      <c r="AA257" t="s">
        <v>445</v>
      </c>
      <c r="AB257" s="6" t="s">
        <v>75</v>
      </c>
      <c r="AC257" t="s">
        <v>125</v>
      </c>
      <c r="AD257" t="s">
        <v>67</v>
      </c>
      <c r="AE257">
        <v>-6</v>
      </c>
      <c r="AF257">
        <v>0</v>
      </c>
      <c r="AG257">
        <v>0</v>
      </c>
      <c r="AH257" s="6">
        <v>42.2</v>
      </c>
      <c r="AI257" s="6">
        <v>0</v>
      </c>
      <c r="AJ257" s="6">
        <v>0.66900000000000004</v>
      </c>
      <c r="AK257" s="6">
        <v>0.46100000000000002</v>
      </c>
      <c r="AL257" s="8">
        <v>2924.86</v>
      </c>
      <c r="AM257" s="6" t="s">
        <v>68</v>
      </c>
      <c r="AN257" s="6">
        <v>1</v>
      </c>
      <c r="AO257" s="6">
        <v>1</v>
      </c>
      <c r="AP257" s="6">
        <v>0</v>
      </c>
      <c r="AQ257" s="6">
        <v>1</v>
      </c>
      <c r="AR257" s="6">
        <v>0</v>
      </c>
      <c r="AS257" s="6">
        <v>1</v>
      </c>
      <c r="AT257" s="6">
        <v>0</v>
      </c>
      <c r="AU257" s="6">
        <v>2.0499999999999998</v>
      </c>
      <c r="AV257" s="6">
        <v>1.48</v>
      </c>
      <c r="AW257" s="6">
        <v>208.15</v>
      </c>
      <c r="AX257" s="6">
        <v>46.94</v>
      </c>
      <c r="AY257" s="6">
        <v>182.16</v>
      </c>
      <c r="AZ257" s="6">
        <v>11.1</v>
      </c>
      <c r="BA257" s="6">
        <v>23.7</v>
      </c>
    </row>
    <row r="258" spans="1:53" x14ac:dyDescent="0.3">
      <c r="A258" s="6">
        <v>503935666</v>
      </c>
      <c r="B258" s="6">
        <v>555884</v>
      </c>
      <c r="C258" s="6">
        <v>7907400</v>
      </c>
      <c r="D258" s="6">
        <v>7287</v>
      </c>
      <c r="E258" s="6" t="s">
        <v>126</v>
      </c>
      <c r="F258" s="6">
        <v>57759</v>
      </c>
      <c r="G258" s="6" t="s">
        <v>127</v>
      </c>
      <c r="H258" s="10">
        <v>45885</v>
      </c>
      <c r="I258" s="10">
        <v>45885</v>
      </c>
      <c r="J258" s="4">
        <v>45885.3125</v>
      </c>
      <c r="K258" s="4">
        <v>45885.599641203706</v>
      </c>
      <c r="L258" s="11">
        <v>45885.573946759258</v>
      </c>
      <c r="M258" s="10">
        <v>45885</v>
      </c>
      <c r="N258" s="6" t="s">
        <v>86</v>
      </c>
      <c r="O258" t="s">
        <v>108</v>
      </c>
      <c r="P258" s="6" t="s">
        <v>121</v>
      </c>
      <c r="Q258" t="s">
        <v>237</v>
      </c>
      <c r="R258" t="s">
        <v>123</v>
      </c>
      <c r="S258" s="6">
        <v>767013</v>
      </c>
      <c r="T258" s="6" t="s">
        <v>1</v>
      </c>
      <c r="U258">
        <v>306</v>
      </c>
      <c r="V258" s="6">
        <v>46.1</v>
      </c>
      <c r="W258" s="6">
        <v>23.4</v>
      </c>
      <c r="X258" s="6">
        <v>314.39999999999998</v>
      </c>
      <c r="Y258" s="6">
        <v>383.9</v>
      </c>
      <c r="Z258" s="6" t="s">
        <v>63</v>
      </c>
      <c r="AA258" t="s">
        <v>446</v>
      </c>
      <c r="AB258" s="6" t="s">
        <v>97</v>
      </c>
      <c r="AC258" t="s">
        <v>76</v>
      </c>
      <c r="AD258" t="s">
        <v>67</v>
      </c>
      <c r="AE258">
        <v>-37</v>
      </c>
      <c r="AF258">
        <v>0</v>
      </c>
      <c r="AG258">
        <v>0</v>
      </c>
      <c r="AH258" s="6">
        <v>73.7</v>
      </c>
      <c r="AI258" s="6">
        <v>0</v>
      </c>
      <c r="AJ258" s="6">
        <v>0.65</v>
      </c>
      <c r="AK258" s="6">
        <v>0.41299999999999998</v>
      </c>
      <c r="AL258" s="8">
        <v>2968.42</v>
      </c>
      <c r="AM258" s="6" t="s">
        <v>68</v>
      </c>
      <c r="AN258" s="6">
        <v>1</v>
      </c>
      <c r="AO258" s="6">
        <v>1</v>
      </c>
      <c r="AP258" s="6">
        <v>0</v>
      </c>
      <c r="AQ258" s="6">
        <v>1</v>
      </c>
      <c r="AR258" s="6">
        <v>0</v>
      </c>
      <c r="AS258" s="6">
        <v>1</v>
      </c>
      <c r="AT258" s="6">
        <v>0</v>
      </c>
      <c r="AU258" s="6">
        <v>2.25</v>
      </c>
      <c r="AV258" s="6">
        <v>1.35</v>
      </c>
      <c r="AW258" s="6">
        <v>263.08</v>
      </c>
      <c r="AX258" s="6">
        <v>83.38</v>
      </c>
      <c r="AY258" s="6">
        <v>249.58</v>
      </c>
      <c r="AZ258" s="6">
        <v>19.5</v>
      </c>
      <c r="BA258" s="6">
        <v>66.8</v>
      </c>
    </row>
    <row r="259" spans="1:53" x14ac:dyDescent="0.3">
      <c r="A259" s="6">
        <v>550791704</v>
      </c>
      <c r="B259" s="6">
        <v>500156</v>
      </c>
      <c r="C259" s="6">
        <v>3138181</v>
      </c>
      <c r="D259" s="6">
        <v>7528</v>
      </c>
      <c r="E259" s="6" t="s">
        <v>57</v>
      </c>
      <c r="F259" s="6">
        <v>57953</v>
      </c>
      <c r="G259" s="6" t="s">
        <v>98</v>
      </c>
      <c r="H259" s="10">
        <v>45899</v>
      </c>
      <c r="I259" s="10">
        <v>45899</v>
      </c>
      <c r="J259" s="4">
        <v>45899.336805555555</v>
      </c>
      <c r="K259" s="4">
        <v>45899.43005787037</v>
      </c>
      <c r="L259" s="11">
        <v>45899.423113425924</v>
      </c>
      <c r="M259" s="10">
        <v>45899</v>
      </c>
      <c r="N259" s="6" t="s">
        <v>116</v>
      </c>
      <c r="O259" t="s">
        <v>212</v>
      </c>
      <c r="P259" s="6" t="s">
        <v>200</v>
      </c>
      <c r="Q259" t="s">
        <v>171</v>
      </c>
      <c r="R259" t="s">
        <v>62</v>
      </c>
      <c r="S259" s="6">
        <v>755514</v>
      </c>
      <c r="T259" s="6" t="s">
        <v>1</v>
      </c>
      <c r="U259">
        <v>116</v>
      </c>
      <c r="V259" s="6">
        <v>13.5</v>
      </c>
      <c r="W259" s="6">
        <v>4.7</v>
      </c>
      <c r="X259" s="6">
        <v>131.1</v>
      </c>
      <c r="Y259" s="6">
        <v>149.30000000000001</v>
      </c>
      <c r="Z259" s="6" t="s">
        <v>63</v>
      </c>
      <c r="AA259" t="s">
        <v>447</v>
      </c>
      <c r="AB259" s="6" t="s">
        <v>97</v>
      </c>
      <c r="AC259" t="s">
        <v>76</v>
      </c>
      <c r="AD259" t="s">
        <v>67</v>
      </c>
      <c r="AE259">
        <v>-10</v>
      </c>
      <c r="AF259">
        <v>0</v>
      </c>
      <c r="AG259">
        <v>0</v>
      </c>
      <c r="AH259" s="6">
        <v>75.400000000000006</v>
      </c>
      <c r="AI259" s="6">
        <v>0</v>
      </c>
      <c r="AJ259" s="6">
        <v>0.56699999999999995</v>
      </c>
      <c r="AK259" s="6">
        <v>0.64</v>
      </c>
      <c r="AL259" s="8">
        <v>36535.800000000003</v>
      </c>
      <c r="AM259" s="6" t="s">
        <v>155</v>
      </c>
      <c r="AN259" s="6">
        <v>1</v>
      </c>
      <c r="AO259" s="6">
        <v>1</v>
      </c>
      <c r="AP259" s="6">
        <v>0</v>
      </c>
      <c r="AQ259" s="6">
        <v>1</v>
      </c>
      <c r="AR259" s="6">
        <v>0</v>
      </c>
      <c r="AS259" s="6">
        <v>1</v>
      </c>
      <c r="AT259" s="6">
        <v>0</v>
      </c>
      <c r="AU259" s="6">
        <v>1.99</v>
      </c>
      <c r="AV259" s="6">
        <v>1.49</v>
      </c>
      <c r="AW259" s="6">
        <v>99.04</v>
      </c>
      <c r="AX259" s="6">
        <v>26.44</v>
      </c>
      <c r="AY259" s="6">
        <v>107.36</v>
      </c>
      <c r="AZ259" s="6">
        <v>24.1</v>
      </c>
      <c r="BA259" s="6">
        <v>24.5</v>
      </c>
    </row>
    <row r="260" spans="1:53" x14ac:dyDescent="0.3">
      <c r="A260" s="6">
        <v>587098457</v>
      </c>
      <c r="B260" s="6">
        <v>460663</v>
      </c>
      <c r="C260" s="6">
        <v>8434500</v>
      </c>
      <c r="D260" s="6">
        <v>4843</v>
      </c>
      <c r="E260" s="6" t="s">
        <v>57</v>
      </c>
      <c r="F260" s="6">
        <v>54784</v>
      </c>
      <c r="G260" s="6" t="s">
        <v>69</v>
      </c>
      <c r="H260" s="10">
        <v>45771</v>
      </c>
      <c r="I260" s="10">
        <v>45771</v>
      </c>
      <c r="J260" s="4">
        <v>45771.413194444445</v>
      </c>
      <c r="K260" s="4">
        <v>45771.651203703703</v>
      </c>
      <c r="L260" s="11">
        <v>45771.619953703703</v>
      </c>
      <c r="M260" s="10">
        <v>45771</v>
      </c>
      <c r="N260" s="6" t="s">
        <v>150</v>
      </c>
      <c r="O260" t="s">
        <v>151</v>
      </c>
      <c r="P260" s="6" t="s">
        <v>150</v>
      </c>
      <c r="Q260" t="s">
        <v>311</v>
      </c>
      <c r="R260" t="s">
        <v>73</v>
      </c>
      <c r="S260" s="6">
        <v>710286</v>
      </c>
      <c r="T260" s="6" t="s">
        <v>111</v>
      </c>
      <c r="U260">
        <v>292</v>
      </c>
      <c r="V260" s="6">
        <v>39.9</v>
      </c>
      <c r="W260" s="6">
        <v>20.3</v>
      </c>
      <c r="X260" s="6">
        <v>293.10000000000002</v>
      </c>
      <c r="Y260" s="6">
        <v>353.3</v>
      </c>
      <c r="Z260" s="6" t="s">
        <v>63</v>
      </c>
      <c r="AA260" t="s">
        <v>448</v>
      </c>
      <c r="AB260" s="6" t="s">
        <v>97</v>
      </c>
      <c r="AC260" t="s">
        <v>137</v>
      </c>
      <c r="AD260" t="s">
        <v>67</v>
      </c>
      <c r="AE260">
        <v>-45</v>
      </c>
      <c r="AF260">
        <v>0</v>
      </c>
      <c r="AG260">
        <v>0</v>
      </c>
      <c r="AH260" s="6">
        <v>48.7</v>
      </c>
      <c r="AI260" s="6">
        <v>0</v>
      </c>
      <c r="AJ260" s="6">
        <v>0.88100000000000001</v>
      </c>
      <c r="AK260" s="6">
        <v>0.53600000000000003</v>
      </c>
      <c r="AL260" s="8">
        <v>2529.59</v>
      </c>
      <c r="AM260" s="6" t="s">
        <v>68</v>
      </c>
      <c r="AN260" s="6">
        <v>1</v>
      </c>
      <c r="AO260" s="6">
        <v>1</v>
      </c>
      <c r="AP260" s="6">
        <v>0</v>
      </c>
      <c r="AQ260" s="6">
        <v>1</v>
      </c>
      <c r="AR260" s="6">
        <v>0</v>
      </c>
      <c r="AS260" s="6">
        <v>1</v>
      </c>
      <c r="AT260" s="6">
        <v>0</v>
      </c>
      <c r="AU260" s="6">
        <v>1.82</v>
      </c>
      <c r="AV260" s="6">
        <v>1.25</v>
      </c>
      <c r="AW260" s="6">
        <v>302.97000000000003</v>
      </c>
      <c r="AX260" s="6">
        <v>56.55</v>
      </c>
      <c r="AY260" s="6">
        <v>228.56</v>
      </c>
      <c r="AZ260" s="6">
        <v>13.9</v>
      </c>
      <c r="BA260" s="6">
        <v>18.600000000000001</v>
      </c>
    </row>
    <row r="261" spans="1:53" x14ac:dyDescent="0.3">
      <c r="A261" s="6">
        <v>466034277</v>
      </c>
      <c r="B261" s="6">
        <v>344098</v>
      </c>
      <c r="C261" s="6">
        <v>6261415</v>
      </c>
      <c r="D261" s="6">
        <v>3027</v>
      </c>
      <c r="E261" s="6" t="s">
        <v>57</v>
      </c>
      <c r="F261" s="6">
        <v>59024</v>
      </c>
      <c r="G261" s="6" t="s">
        <v>115</v>
      </c>
      <c r="H261" s="10">
        <v>45774</v>
      </c>
      <c r="I261" s="10">
        <v>45774</v>
      </c>
      <c r="J261" s="4">
        <v>45774.652777777781</v>
      </c>
      <c r="K261" s="4">
        <v>45775.387048611112</v>
      </c>
      <c r="L261" s="11">
        <v>45775.497465277775</v>
      </c>
      <c r="M261" s="10">
        <v>45775</v>
      </c>
      <c r="N261" s="6" t="s">
        <v>200</v>
      </c>
      <c r="O261" t="s">
        <v>201</v>
      </c>
      <c r="P261" s="6" t="s">
        <v>103</v>
      </c>
      <c r="Q261" t="s">
        <v>99</v>
      </c>
      <c r="R261" t="s">
        <v>73</v>
      </c>
      <c r="S261" s="6">
        <v>714749</v>
      </c>
      <c r="T261" s="6" t="s">
        <v>140</v>
      </c>
      <c r="U261">
        <v>856</v>
      </c>
      <c r="V261" s="6">
        <v>60.1</v>
      </c>
      <c r="W261" s="6">
        <v>21.1</v>
      </c>
      <c r="X261" s="6">
        <v>852.3</v>
      </c>
      <c r="Y261" s="6">
        <v>933.5</v>
      </c>
      <c r="Z261" s="6" t="s">
        <v>63</v>
      </c>
      <c r="AA261" t="s">
        <v>449</v>
      </c>
      <c r="AB261" s="6" t="s">
        <v>90</v>
      </c>
      <c r="AC261" t="s">
        <v>91</v>
      </c>
      <c r="AD261" t="s">
        <v>206</v>
      </c>
      <c r="AE261">
        <v>159</v>
      </c>
      <c r="AF261">
        <v>36</v>
      </c>
      <c r="AG261">
        <v>0</v>
      </c>
      <c r="AH261" s="6">
        <v>34.4</v>
      </c>
      <c r="AI261" s="6">
        <v>0</v>
      </c>
      <c r="AJ261" s="6">
        <v>0.50600000000000001</v>
      </c>
      <c r="AK261" s="6">
        <v>0.495</v>
      </c>
      <c r="AL261" s="8">
        <v>3462.57</v>
      </c>
      <c r="AM261" s="6" t="s">
        <v>68</v>
      </c>
      <c r="AN261" s="6">
        <v>1</v>
      </c>
      <c r="AO261" s="6">
        <v>0</v>
      </c>
      <c r="AP261" s="6">
        <v>1</v>
      </c>
      <c r="AQ261" s="6">
        <v>0</v>
      </c>
      <c r="AR261" s="6">
        <v>1</v>
      </c>
      <c r="AS261" s="6">
        <v>0</v>
      </c>
      <c r="AT261" s="6">
        <v>1</v>
      </c>
      <c r="AU261" s="6">
        <v>2.14</v>
      </c>
      <c r="AV261" s="6">
        <v>1.41</v>
      </c>
      <c r="AW261" s="6">
        <v>614.6</v>
      </c>
      <c r="AX261" s="6">
        <v>104.34</v>
      </c>
      <c r="AY261" s="6">
        <v>476.92</v>
      </c>
      <c r="AZ261" s="6">
        <v>11.4</v>
      </c>
      <c r="BA261" s="6">
        <v>32.6</v>
      </c>
    </row>
    <row r="262" spans="1:53" x14ac:dyDescent="0.3">
      <c r="A262" s="6">
        <v>269016920</v>
      </c>
      <c r="B262" s="6">
        <v>308496</v>
      </c>
      <c r="C262" s="6">
        <v>5076817</v>
      </c>
      <c r="D262" s="6">
        <v>3747</v>
      </c>
      <c r="E262" s="6" t="s">
        <v>126</v>
      </c>
      <c r="F262" s="6">
        <v>51461</v>
      </c>
      <c r="G262" s="6" t="s">
        <v>115</v>
      </c>
      <c r="H262" s="10">
        <v>45781</v>
      </c>
      <c r="I262" s="10">
        <v>45781</v>
      </c>
      <c r="J262" s="4">
        <v>45781.777777777781</v>
      </c>
      <c r="K262" s="4">
        <v>45781.935729166667</v>
      </c>
      <c r="L262" s="11">
        <v>45781.914201388892</v>
      </c>
      <c r="M262" s="10">
        <v>45781</v>
      </c>
      <c r="N262" s="6" t="s">
        <v>116</v>
      </c>
      <c r="O262" t="s">
        <v>139</v>
      </c>
      <c r="P262" s="6" t="s">
        <v>170</v>
      </c>
      <c r="Q262" t="s">
        <v>189</v>
      </c>
      <c r="R262" t="s">
        <v>62</v>
      </c>
      <c r="S262" s="6">
        <v>712499</v>
      </c>
      <c r="T262" s="6" t="s">
        <v>1</v>
      </c>
      <c r="U262">
        <v>167</v>
      </c>
      <c r="V262" s="6">
        <v>28.8</v>
      </c>
      <c r="W262" s="6">
        <v>18.7</v>
      </c>
      <c r="X262" s="6">
        <v>163.6</v>
      </c>
      <c r="Y262" s="6">
        <v>211.1</v>
      </c>
      <c r="Z262" s="6" t="s">
        <v>80</v>
      </c>
      <c r="AA262" t="s">
        <v>450</v>
      </c>
      <c r="AB262" s="6" t="s">
        <v>65</v>
      </c>
      <c r="AC262" t="s">
        <v>91</v>
      </c>
      <c r="AD262" t="s">
        <v>67</v>
      </c>
      <c r="AE262">
        <v>-31</v>
      </c>
      <c r="AF262">
        <v>0</v>
      </c>
      <c r="AG262">
        <v>0</v>
      </c>
      <c r="AH262" s="6">
        <v>23.1</v>
      </c>
      <c r="AI262" s="6">
        <v>0</v>
      </c>
      <c r="AJ262" s="6">
        <v>0.54300000000000004</v>
      </c>
      <c r="AK262" s="6">
        <v>0.53300000000000003</v>
      </c>
      <c r="AL262" s="8">
        <v>15696.28</v>
      </c>
      <c r="AM262" s="6" t="s">
        <v>114</v>
      </c>
      <c r="AN262" s="6">
        <v>1</v>
      </c>
      <c r="AO262" s="6">
        <v>1</v>
      </c>
      <c r="AP262" s="6">
        <v>0</v>
      </c>
      <c r="AQ262" s="6">
        <v>1</v>
      </c>
      <c r="AR262" s="6">
        <v>0</v>
      </c>
      <c r="AS262" s="6">
        <v>1</v>
      </c>
      <c r="AT262" s="6">
        <v>0</v>
      </c>
      <c r="AU262" s="6">
        <v>2.25</v>
      </c>
      <c r="AV262" s="6">
        <v>1.61</v>
      </c>
      <c r="AW262" s="6">
        <v>155.84</v>
      </c>
      <c r="AX262" s="6">
        <v>41.91</v>
      </c>
      <c r="AY262" s="6">
        <v>133.07</v>
      </c>
      <c r="AZ262" s="6">
        <v>15.5</v>
      </c>
      <c r="BA262" s="6">
        <v>56.3</v>
      </c>
    </row>
    <row r="263" spans="1:53" x14ac:dyDescent="0.3">
      <c r="A263" s="6">
        <v>497341481</v>
      </c>
      <c r="B263" s="6">
        <v>835392</v>
      </c>
      <c r="C263" s="6">
        <v>4194548</v>
      </c>
      <c r="D263" s="6">
        <v>4005</v>
      </c>
      <c r="E263" s="6" t="s">
        <v>211</v>
      </c>
      <c r="F263" s="6">
        <v>51159</v>
      </c>
      <c r="G263" s="6" t="s">
        <v>164</v>
      </c>
      <c r="H263" s="10">
        <v>45906</v>
      </c>
      <c r="I263" s="10">
        <v>45906</v>
      </c>
      <c r="J263" s="4">
        <v>45906.638888888891</v>
      </c>
      <c r="K263" s="4">
        <v>45907.133692129632</v>
      </c>
      <c r="L263" s="11">
        <v>45907.117025462961</v>
      </c>
      <c r="M263" s="10">
        <v>45907</v>
      </c>
      <c r="N263" s="6" t="s">
        <v>70</v>
      </c>
      <c r="O263" t="s">
        <v>152</v>
      </c>
      <c r="P263" s="6" t="s">
        <v>70</v>
      </c>
      <c r="Q263" t="s">
        <v>72</v>
      </c>
      <c r="R263" t="s">
        <v>73</v>
      </c>
      <c r="S263" s="6">
        <v>733303</v>
      </c>
      <c r="T263" s="6" t="s">
        <v>111</v>
      </c>
      <c r="U263">
        <v>348</v>
      </c>
      <c r="V263" s="6">
        <v>3.1</v>
      </c>
      <c r="W263" s="6">
        <v>7.2</v>
      </c>
      <c r="X263" s="6">
        <v>346.2</v>
      </c>
      <c r="Y263" s="6">
        <v>356.5</v>
      </c>
      <c r="Z263" s="6" t="s">
        <v>63</v>
      </c>
      <c r="AA263" t="s">
        <v>342</v>
      </c>
      <c r="AB263" s="6" t="s">
        <v>90</v>
      </c>
      <c r="AC263" t="s">
        <v>76</v>
      </c>
      <c r="AD263" t="s">
        <v>67</v>
      </c>
      <c r="AE263">
        <v>-24</v>
      </c>
      <c r="AF263">
        <v>0</v>
      </c>
      <c r="AG263">
        <v>0</v>
      </c>
      <c r="AH263" s="6">
        <v>57</v>
      </c>
      <c r="AI263" s="6">
        <v>0</v>
      </c>
      <c r="AJ263" s="6">
        <v>0.85299999999999998</v>
      </c>
      <c r="AK263" s="6">
        <v>0.623</v>
      </c>
      <c r="AL263" s="8">
        <v>1172.52</v>
      </c>
      <c r="AM263" s="6" t="s">
        <v>68</v>
      </c>
      <c r="AN263" s="6">
        <v>1</v>
      </c>
      <c r="AO263" s="6">
        <v>1</v>
      </c>
      <c r="AP263" s="6">
        <v>0</v>
      </c>
      <c r="AQ263" s="6">
        <v>1</v>
      </c>
      <c r="AR263" s="6">
        <v>0</v>
      </c>
      <c r="AS263" s="6">
        <v>1</v>
      </c>
      <c r="AT263" s="6">
        <v>0</v>
      </c>
      <c r="AU263" s="6">
        <v>1.7</v>
      </c>
      <c r="AV263" s="6">
        <v>1.02</v>
      </c>
      <c r="AW263" s="6">
        <v>264.8</v>
      </c>
      <c r="AX263" s="6">
        <v>63.13</v>
      </c>
      <c r="AY263" s="6">
        <v>215.97</v>
      </c>
      <c r="AZ263" s="6">
        <v>31.7</v>
      </c>
      <c r="BA263" s="6">
        <v>31.2</v>
      </c>
    </row>
    <row r="264" spans="1:53" x14ac:dyDescent="0.3">
      <c r="A264" s="6">
        <v>434618074</v>
      </c>
      <c r="B264" s="6">
        <v>500156</v>
      </c>
      <c r="C264" s="6">
        <v>3138181</v>
      </c>
      <c r="D264" s="6">
        <v>7528</v>
      </c>
      <c r="E264" s="6" t="s">
        <v>57</v>
      </c>
      <c r="F264" s="6">
        <v>50386</v>
      </c>
      <c r="G264" s="6" t="s">
        <v>115</v>
      </c>
      <c r="H264" s="10">
        <v>45679</v>
      </c>
      <c r="I264" s="10">
        <v>45679</v>
      </c>
      <c r="J264" s="4">
        <v>45679.270833333336</v>
      </c>
      <c r="K264" s="4">
        <v>45679.592962962961</v>
      </c>
      <c r="L264" s="11">
        <v>45679.603379629632</v>
      </c>
      <c r="M264" s="10">
        <v>45679</v>
      </c>
      <c r="N264" s="6" t="s">
        <v>93</v>
      </c>
      <c r="O264" t="s">
        <v>95</v>
      </c>
      <c r="P264" s="6" t="s">
        <v>132</v>
      </c>
      <c r="Q264" t="s">
        <v>328</v>
      </c>
      <c r="R264" t="s">
        <v>62</v>
      </c>
      <c r="S264" s="6">
        <v>747876</v>
      </c>
      <c r="T264" s="6" t="s">
        <v>111</v>
      </c>
      <c r="U264">
        <v>366</v>
      </c>
      <c r="V264" s="6">
        <v>25.4</v>
      </c>
      <c r="W264" s="6">
        <v>4.0999999999999996</v>
      </c>
      <c r="X264" s="6">
        <v>368.6</v>
      </c>
      <c r="Y264" s="6">
        <v>398.1</v>
      </c>
      <c r="Z264" s="6" t="s">
        <v>63</v>
      </c>
      <c r="AA264" t="s">
        <v>451</v>
      </c>
      <c r="AB264" s="6" t="s">
        <v>97</v>
      </c>
      <c r="AC264" t="s">
        <v>125</v>
      </c>
      <c r="AD264" t="s">
        <v>67</v>
      </c>
      <c r="AE264">
        <v>15</v>
      </c>
      <c r="AF264">
        <v>0</v>
      </c>
      <c r="AG264">
        <v>0</v>
      </c>
      <c r="AH264" s="6">
        <v>59.1</v>
      </c>
      <c r="AI264" s="6">
        <v>0</v>
      </c>
      <c r="AJ264" s="6">
        <v>0.61699999999999999</v>
      </c>
      <c r="AK264" s="6">
        <v>0.51100000000000001</v>
      </c>
      <c r="AL264" s="8">
        <v>2535.81</v>
      </c>
      <c r="AM264" s="6" t="s">
        <v>68</v>
      </c>
      <c r="AN264" s="6">
        <v>1</v>
      </c>
      <c r="AO264" s="6">
        <v>1</v>
      </c>
      <c r="AP264" s="6">
        <v>0</v>
      </c>
      <c r="AQ264" s="6">
        <v>1</v>
      </c>
      <c r="AR264" s="6">
        <v>0</v>
      </c>
      <c r="AS264" s="6">
        <v>1</v>
      </c>
      <c r="AT264" s="6">
        <v>0</v>
      </c>
      <c r="AU264" s="6">
        <v>2.35</v>
      </c>
      <c r="AV264" s="6">
        <v>1.58</v>
      </c>
      <c r="AW264" s="6">
        <v>326.18</v>
      </c>
      <c r="AX264" s="6">
        <v>44.99</v>
      </c>
      <c r="AY264" s="6">
        <v>278.74</v>
      </c>
      <c r="AZ264" s="6">
        <v>24.1</v>
      </c>
      <c r="BA264" s="6">
        <v>17.899999999999999</v>
      </c>
    </row>
    <row r="265" spans="1:53" x14ac:dyDescent="0.3">
      <c r="A265" s="6">
        <v>874807770</v>
      </c>
      <c r="B265" s="6">
        <v>972064</v>
      </c>
      <c r="C265" s="6">
        <v>2818692</v>
      </c>
      <c r="D265" s="6">
        <v>8158</v>
      </c>
      <c r="E265" s="6" t="s">
        <v>84</v>
      </c>
      <c r="F265" s="6">
        <v>57192</v>
      </c>
      <c r="G265" s="6" t="s">
        <v>69</v>
      </c>
      <c r="H265" s="10">
        <v>45997</v>
      </c>
      <c r="I265" s="10">
        <v>45997</v>
      </c>
      <c r="J265" s="4">
        <v>45997.333333333336</v>
      </c>
      <c r="K265" s="4">
        <v>45997.982708333337</v>
      </c>
      <c r="L265" s="11">
        <v>45997.945208333331</v>
      </c>
      <c r="M265" s="10">
        <v>45997</v>
      </c>
      <c r="N265" s="6" t="s">
        <v>200</v>
      </c>
      <c r="O265" t="s">
        <v>338</v>
      </c>
      <c r="P265" s="6" t="s">
        <v>86</v>
      </c>
      <c r="Q265" t="s">
        <v>243</v>
      </c>
      <c r="R265" t="s">
        <v>88</v>
      </c>
      <c r="S265" s="6">
        <v>775527</v>
      </c>
      <c r="T265" s="6" t="s">
        <v>140</v>
      </c>
      <c r="U265">
        <v>633</v>
      </c>
      <c r="V265" s="6">
        <v>31.7</v>
      </c>
      <c r="W265" s="6">
        <v>14.8</v>
      </c>
      <c r="X265" s="6">
        <v>630.4</v>
      </c>
      <c r="Y265" s="6">
        <v>676.9</v>
      </c>
      <c r="Z265" s="6" t="s">
        <v>2</v>
      </c>
      <c r="AA265" t="s">
        <v>452</v>
      </c>
      <c r="AB265" s="6" t="s">
        <v>97</v>
      </c>
      <c r="AC265" t="s">
        <v>76</v>
      </c>
      <c r="AD265" t="s">
        <v>67</v>
      </c>
      <c r="AE265">
        <v>-54</v>
      </c>
      <c r="AF265">
        <v>0</v>
      </c>
      <c r="AG265">
        <v>0</v>
      </c>
      <c r="AH265" s="6">
        <v>54.6</v>
      </c>
      <c r="AI265" s="6">
        <v>0</v>
      </c>
      <c r="AJ265" s="6">
        <v>0.56200000000000006</v>
      </c>
      <c r="AK265" s="6">
        <v>0.36399999999999999</v>
      </c>
      <c r="AL265" s="8">
        <v>2921.19</v>
      </c>
      <c r="AM265" s="6" t="s">
        <v>68</v>
      </c>
      <c r="AN265" s="6">
        <v>1</v>
      </c>
      <c r="AO265" s="6">
        <v>1</v>
      </c>
      <c r="AP265" s="6">
        <v>0</v>
      </c>
      <c r="AQ265" s="6">
        <v>1</v>
      </c>
      <c r="AR265" s="6">
        <v>0</v>
      </c>
      <c r="AS265" s="6">
        <v>1</v>
      </c>
      <c r="AT265" s="6">
        <v>0</v>
      </c>
      <c r="AU265" s="6">
        <v>2.4900000000000002</v>
      </c>
      <c r="AV265" s="6">
        <v>1.89</v>
      </c>
      <c r="AW265" s="6">
        <v>476.24</v>
      </c>
      <c r="AX265" s="6">
        <v>87.65</v>
      </c>
      <c r="AY265" s="6">
        <v>437.03</v>
      </c>
      <c r="AZ265" s="6">
        <v>10</v>
      </c>
      <c r="BA265" s="6">
        <v>27.9</v>
      </c>
    </row>
    <row r="266" spans="1:53" x14ac:dyDescent="0.3">
      <c r="A266" s="6">
        <v>448303473</v>
      </c>
      <c r="B266" s="6">
        <v>665492</v>
      </c>
      <c r="C266" s="6">
        <v>5960271</v>
      </c>
      <c r="D266" s="6">
        <v>7015</v>
      </c>
      <c r="E266" s="6" t="s">
        <v>84</v>
      </c>
      <c r="F266" s="6">
        <v>59910</v>
      </c>
      <c r="G266" s="6" t="s">
        <v>127</v>
      </c>
      <c r="H266" s="10">
        <v>45739</v>
      </c>
      <c r="I266" s="10">
        <v>45739</v>
      </c>
      <c r="J266" s="4">
        <v>45739.444444444445</v>
      </c>
      <c r="K266" s="4">
        <v>45739.618750000001</v>
      </c>
      <c r="L266" s="11">
        <v>45740.282638888886</v>
      </c>
      <c r="M266" s="10">
        <v>45740</v>
      </c>
      <c r="N266" s="6" t="s">
        <v>93</v>
      </c>
      <c r="O266" t="s">
        <v>290</v>
      </c>
      <c r="P266" s="6" t="s">
        <v>86</v>
      </c>
      <c r="Q266" t="s">
        <v>253</v>
      </c>
      <c r="R266" t="s">
        <v>88</v>
      </c>
      <c r="S266" s="6">
        <v>756949</v>
      </c>
      <c r="T266" s="6" t="s">
        <v>1</v>
      </c>
      <c r="U266">
        <v>214</v>
      </c>
      <c r="V266" s="6">
        <v>38.200000000000003</v>
      </c>
      <c r="W266" s="6">
        <v>47.1</v>
      </c>
      <c r="X266" s="6">
        <v>213.5</v>
      </c>
      <c r="Y266" s="6">
        <v>298.8</v>
      </c>
      <c r="Z266" s="6" t="s">
        <v>63</v>
      </c>
      <c r="AA266" t="s">
        <v>453</v>
      </c>
      <c r="AB266" s="6" t="s">
        <v>75</v>
      </c>
      <c r="AC266" t="s">
        <v>91</v>
      </c>
      <c r="AD266" t="s">
        <v>206</v>
      </c>
      <c r="AE266">
        <v>956</v>
      </c>
      <c r="AF266">
        <v>214</v>
      </c>
      <c r="AG266">
        <v>0</v>
      </c>
      <c r="AH266" s="6">
        <v>43.8</v>
      </c>
      <c r="AI266" s="6">
        <v>0</v>
      </c>
      <c r="AJ266" s="6">
        <v>0.55700000000000005</v>
      </c>
      <c r="AK266" s="6">
        <v>0.66400000000000003</v>
      </c>
      <c r="AL266" s="8">
        <v>72476.88</v>
      </c>
      <c r="AM266" s="6" t="s">
        <v>155</v>
      </c>
      <c r="AN266" s="6">
        <v>1</v>
      </c>
      <c r="AO266" s="6">
        <v>0</v>
      </c>
      <c r="AP266" s="6">
        <v>1</v>
      </c>
      <c r="AQ266" s="6">
        <v>0</v>
      </c>
      <c r="AR266" s="6">
        <v>1</v>
      </c>
      <c r="AS266" s="6">
        <v>0</v>
      </c>
      <c r="AT266" s="6">
        <v>1</v>
      </c>
      <c r="AU266" s="6">
        <v>2.13</v>
      </c>
      <c r="AV266" s="6">
        <v>1.36</v>
      </c>
      <c r="AW266" s="6">
        <v>260.39</v>
      </c>
      <c r="AX266" s="6">
        <v>49.16</v>
      </c>
      <c r="AY266" s="6">
        <v>180.61</v>
      </c>
      <c r="AZ266" s="6">
        <v>5.6</v>
      </c>
      <c r="BA266" s="6">
        <v>4.9000000000000004</v>
      </c>
    </row>
    <row r="267" spans="1:53" x14ac:dyDescent="0.3">
      <c r="A267" s="6">
        <v>934120892</v>
      </c>
      <c r="B267" s="6">
        <v>245051</v>
      </c>
      <c r="C267" s="6">
        <v>1739653</v>
      </c>
      <c r="D267" s="6">
        <v>4763</v>
      </c>
      <c r="E267" s="6" t="s">
        <v>185</v>
      </c>
      <c r="F267" s="6">
        <v>54775</v>
      </c>
      <c r="G267" s="6" t="s">
        <v>69</v>
      </c>
      <c r="H267" s="10">
        <v>46022</v>
      </c>
      <c r="I267" s="10">
        <v>46022</v>
      </c>
      <c r="J267" s="4">
        <v>46022.590277777781</v>
      </c>
      <c r="K267" s="4">
        <v>46022.817685185182</v>
      </c>
      <c r="L267" s="11">
        <v>46022.791296296295</v>
      </c>
      <c r="M267" s="10">
        <v>46022</v>
      </c>
      <c r="N267" s="6" t="s">
        <v>176</v>
      </c>
      <c r="O267" t="s">
        <v>177</v>
      </c>
      <c r="P267" s="6" t="s">
        <v>176</v>
      </c>
      <c r="Q267" t="s">
        <v>227</v>
      </c>
      <c r="R267" t="s">
        <v>88</v>
      </c>
      <c r="S267" s="6">
        <v>745653</v>
      </c>
      <c r="T267" s="6" t="s">
        <v>1</v>
      </c>
      <c r="U267">
        <v>199</v>
      </c>
      <c r="V267" s="6">
        <v>25.7</v>
      </c>
      <c r="W267" s="6">
        <v>15.9</v>
      </c>
      <c r="X267" s="6">
        <v>193.3</v>
      </c>
      <c r="Y267" s="6">
        <v>234.9</v>
      </c>
      <c r="Z267" s="6" t="s">
        <v>63</v>
      </c>
      <c r="AA267" t="s">
        <v>454</v>
      </c>
      <c r="AB267" s="6" t="s">
        <v>90</v>
      </c>
      <c r="AC267" t="s">
        <v>125</v>
      </c>
      <c r="AD267" t="s">
        <v>67</v>
      </c>
      <c r="AE267">
        <v>-38</v>
      </c>
      <c r="AF267">
        <v>0</v>
      </c>
      <c r="AG267">
        <v>0</v>
      </c>
      <c r="AH267" s="6">
        <v>53</v>
      </c>
      <c r="AI267" s="6">
        <v>0</v>
      </c>
      <c r="AJ267" s="6">
        <v>0.53700000000000003</v>
      </c>
      <c r="AK267" s="6">
        <v>0.83899999999999997</v>
      </c>
      <c r="AL267" s="8">
        <v>17360.55</v>
      </c>
      <c r="AM267" s="6" t="s">
        <v>114</v>
      </c>
      <c r="AN267" s="6">
        <v>1</v>
      </c>
      <c r="AO267" s="6">
        <v>1</v>
      </c>
      <c r="AP267" s="6">
        <v>0</v>
      </c>
      <c r="AQ267" s="6">
        <v>1</v>
      </c>
      <c r="AR267" s="6">
        <v>0</v>
      </c>
      <c r="AS267" s="6">
        <v>1</v>
      </c>
      <c r="AT267" s="6">
        <v>0</v>
      </c>
      <c r="AU267" s="6">
        <v>2.06</v>
      </c>
      <c r="AV267" s="6">
        <v>1.61</v>
      </c>
      <c r="AW267" s="6">
        <v>160.26</v>
      </c>
      <c r="AX267" s="6">
        <v>24.76</v>
      </c>
      <c r="AY267" s="6">
        <v>147.94</v>
      </c>
      <c r="AZ267" s="6">
        <v>12.9</v>
      </c>
      <c r="BA267" s="6">
        <v>58</v>
      </c>
    </row>
    <row r="268" spans="1:53" x14ac:dyDescent="0.3">
      <c r="A268" s="6">
        <v>709448939</v>
      </c>
      <c r="B268" s="6">
        <v>197251</v>
      </c>
      <c r="C268" s="6">
        <v>4078418</v>
      </c>
      <c r="D268" s="6">
        <v>2585</v>
      </c>
      <c r="E268" s="6" t="s">
        <v>106</v>
      </c>
      <c r="F268" s="6">
        <v>53409</v>
      </c>
      <c r="G268" s="6" t="s">
        <v>146</v>
      </c>
      <c r="H268" s="10">
        <v>45720</v>
      </c>
      <c r="I268" s="10">
        <v>45720</v>
      </c>
      <c r="J268" s="4">
        <v>45720.927083333336</v>
      </c>
      <c r="K268" s="4">
        <v>45721.046435185184</v>
      </c>
      <c r="L268" s="11">
        <v>45721.17560185185</v>
      </c>
      <c r="M268" s="10">
        <v>45721</v>
      </c>
      <c r="N268" s="6" t="s">
        <v>134</v>
      </c>
      <c r="O268" t="s">
        <v>135</v>
      </c>
      <c r="P268" s="6" t="s">
        <v>109</v>
      </c>
      <c r="Q268" t="s">
        <v>118</v>
      </c>
      <c r="R268" t="s">
        <v>88</v>
      </c>
      <c r="S268" s="6">
        <v>760341</v>
      </c>
      <c r="T268" s="6" t="s">
        <v>1</v>
      </c>
      <c r="U268">
        <v>215</v>
      </c>
      <c r="V268" s="6">
        <v>19.899999999999999</v>
      </c>
      <c r="W268" s="6">
        <v>22</v>
      </c>
      <c r="X268" s="6">
        <v>212.3</v>
      </c>
      <c r="Y268" s="6">
        <v>254.2</v>
      </c>
      <c r="Z268" s="6" t="s">
        <v>63</v>
      </c>
      <c r="AA268" t="s">
        <v>184</v>
      </c>
      <c r="AB268" s="6" t="s">
        <v>65</v>
      </c>
      <c r="AC268" t="s">
        <v>66</v>
      </c>
      <c r="AD268" t="s">
        <v>206</v>
      </c>
      <c r="AE268">
        <v>186</v>
      </c>
      <c r="AF268">
        <v>121</v>
      </c>
      <c r="AG268">
        <v>0</v>
      </c>
      <c r="AH268" s="6">
        <v>38.4</v>
      </c>
      <c r="AI268" s="6">
        <v>0</v>
      </c>
      <c r="AJ268" s="6">
        <v>0.58499999999999996</v>
      </c>
      <c r="AK268" s="6">
        <v>0.81200000000000006</v>
      </c>
      <c r="AL268" s="8">
        <v>4103.21</v>
      </c>
      <c r="AM268" s="6" t="s">
        <v>68</v>
      </c>
      <c r="AN268" s="6">
        <v>1</v>
      </c>
      <c r="AO268" s="6">
        <v>0</v>
      </c>
      <c r="AP268" s="6">
        <v>1</v>
      </c>
      <c r="AQ268" s="6">
        <v>0</v>
      </c>
      <c r="AR268" s="6">
        <v>1</v>
      </c>
      <c r="AS268" s="6">
        <v>0</v>
      </c>
      <c r="AT268" s="6">
        <v>1</v>
      </c>
      <c r="AU268" s="6">
        <v>2.2400000000000002</v>
      </c>
      <c r="AV268" s="6">
        <v>1.6</v>
      </c>
      <c r="AW268" s="6">
        <v>217.78</v>
      </c>
      <c r="AX268" s="6">
        <v>47.33</v>
      </c>
      <c r="AY268" s="6">
        <v>149.07</v>
      </c>
      <c r="AZ268" s="6">
        <v>11.9</v>
      </c>
      <c r="BA268" s="6">
        <v>19</v>
      </c>
    </row>
    <row r="269" spans="1:53" x14ac:dyDescent="0.3">
      <c r="A269" s="6">
        <v>740190407</v>
      </c>
      <c r="B269" s="6">
        <v>629903</v>
      </c>
      <c r="C269" s="6">
        <v>9143903</v>
      </c>
      <c r="D269" s="6">
        <v>9666</v>
      </c>
      <c r="E269" s="6" t="s">
        <v>225</v>
      </c>
      <c r="F269" s="6">
        <v>50689</v>
      </c>
      <c r="G269" s="6" t="s">
        <v>77</v>
      </c>
      <c r="H269" s="10">
        <v>45939</v>
      </c>
      <c r="I269" s="10">
        <v>45939</v>
      </c>
      <c r="J269" s="4">
        <v>45939.291666666664</v>
      </c>
      <c r="K269" s="4">
        <v>45939.727523148147</v>
      </c>
      <c r="L269" s="11">
        <v>45939.717800925922</v>
      </c>
      <c r="M269" s="10">
        <v>45939</v>
      </c>
      <c r="N269" s="6" t="s">
        <v>116</v>
      </c>
      <c r="O269" t="s">
        <v>251</v>
      </c>
      <c r="P269" s="6" t="s">
        <v>134</v>
      </c>
      <c r="Q269" t="s">
        <v>135</v>
      </c>
      <c r="R269" t="s">
        <v>73</v>
      </c>
      <c r="S269" s="6">
        <v>724967</v>
      </c>
      <c r="T269" s="6" t="s">
        <v>111</v>
      </c>
      <c r="U269">
        <v>444</v>
      </c>
      <c r="V269" s="6">
        <v>3.8</v>
      </c>
      <c r="W269" s="6">
        <v>7.7</v>
      </c>
      <c r="X269" s="6">
        <v>441.5</v>
      </c>
      <c r="Y269" s="6">
        <v>453</v>
      </c>
      <c r="Z269" s="6" t="s">
        <v>112</v>
      </c>
      <c r="AA269" t="s">
        <v>455</v>
      </c>
      <c r="AB269" s="6" t="s">
        <v>97</v>
      </c>
      <c r="AC269" t="s">
        <v>137</v>
      </c>
      <c r="AD269" t="s">
        <v>67</v>
      </c>
      <c r="AE269">
        <v>-14</v>
      </c>
      <c r="AF269">
        <v>0</v>
      </c>
      <c r="AG269">
        <v>0</v>
      </c>
      <c r="AH269" s="6">
        <v>35.200000000000003</v>
      </c>
      <c r="AI269" s="6">
        <v>0</v>
      </c>
      <c r="AJ269" s="6">
        <v>0.83099999999999996</v>
      </c>
      <c r="AK269" s="6">
        <v>0.63600000000000001</v>
      </c>
      <c r="AL269" s="8">
        <v>15134.16</v>
      </c>
      <c r="AM269" s="6" t="s">
        <v>114</v>
      </c>
      <c r="AN269" s="6">
        <v>1</v>
      </c>
      <c r="AO269" s="6">
        <v>1</v>
      </c>
      <c r="AP269" s="6">
        <v>0</v>
      </c>
      <c r="AQ269" s="6">
        <v>1</v>
      </c>
      <c r="AR269" s="6">
        <v>0</v>
      </c>
      <c r="AS269" s="6">
        <v>1</v>
      </c>
      <c r="AT269" s="6">
        <v>0</v>
      </c>
      <c r="AU269" s="6">
        <v>2.5299999999999998</v>
      </c>
      <c r="AV269" s="6">
        <v>1.77</v>
      </c>
      <c r="AW269" s="6">
        <v>396.34</v>
      </c>
      <c r="AX269" s="6">
        <v>57.68</v>
      </c>
      <c r="AY269" s="6">
        <v>272.70999999999998</v>
      </c>
      <c r="AZ269" s="6">
        <v>10.3</v>
      </c>
      <c r="BA269" s="6">
        <v>7.6</v>
      </c>
    </row>
    <row r="270" spans="1:53" x14ac:dyDescent="0.3">
      <c r="A270" s="6">
        <v>191221925</v>
      </c>
      <c r="B270" s="6">
        <v>260263</v>
      </c>
      <c r="C270" s="6">
        <v>5674183</v>
      </c>
      <c r="D270" s="6">
        <v>5736</v>
      </c>
      <c r="E270" s="6" t="s">
        <v>185</v>
      </c>
      <c r="F270" s="6">
        <v>57028</v>
      </c>
      <c r="G270" s="6" t="s">
        <v>69</v>
      </c>
      <c r="H270" s="10">
        <v>45739</v>
      </c>
      <c r="I270" s="10">
        <v>45739</v>
      </c>
      <c r="J270" s="4">
        <v>45739.152777777781</v>
      </c>
      <c r="K270" s="4">
        <v>45739.215277777781</v>
      </c>
      <c r="L270" s="11">
        <v>45739.192361111112</v>
      </c>
      <c r="M270" s="10">
        <v>45739</v>
      </c>
      <c r="N270" s="6" t="s">
        <v>70</v>
      </c>
      <c r="O270" t="s">
        <v>322</v>
      </c>
      <c r="P270" s="6" t="s">
        <v>70</v>
      </c>
      <c r="Q270" t="s">
        <v>322</v>
      </c>
      <c r="R270" t="s">
        <v>73</v>
      </c>
      <c r="S270" s="6">
        <v>733303</v>
      </c>
      <c r="T270" s="6" t="s">
        <v>3</v>
      </c>
      <c r="U270">
        <v>54</v>
      </c>
      <c r="V270" s="6">
        <v>11.5</v>
      </c>
      <c r="W270" s="6">
        <v>1.6</v>
      </c>
      <c r="X270" s="6">
        <v>53.8</v>
      </c>
      <c r="Y270" s="6">
        <v>66.900000000000006</v>
      </c>
      <c r="Z270" s="6" t="s">
        <v>2</v>
      </c>
      <c r="AA270" t="s">
        <v>456</v>
      </c>
      <c r="AB270" s="6" t="s">
        <v>82</v>
      </c>
      <c r="AC270" t="s">
        <v>91</v>
      </c>
      <c r="AD270" t="s">
        <v>67</v>
      </c>
      <c r="AE270">
        <v>-33</v>
      </c>
      <c r="AF270">
        <v>0</v>
      </c>
      <c r="AG270">
        <v>0</v>
      </c>
      <c r="AH270" s="6">
        <v>30.1</v>
      </c>
      <c r="AI270" s="6">
        <v>0</v>
      </c>
      <c r="AJ270" s="6">
        <v>0.97099999999999997</v>
      </c>
      <c r="AK270" s="6">
        <v>0.65600000000000003</v>
      </c>
      <c r="AL270" s="8">
        <v>2660.16</v>
      </c>
      <c r="AM270" s="6" t="s">
        <v>68</v>
      </c>
      <c r="AN270" s="6">
        <v>1</v>
      </c>
      <c r="AO270" s="6">
        <v>1</v>
      </c>
      <c r="AP270" s="6">
        <v>0</v>
      </c>
      <c r="AQ270" s="6">
        <v>1</v>
      </c>
      <c r="AR270" s="6">
        <v>0</v>
      </c>
      <c r="AS270" s="6">
        <v>1</v>
      </c>
      <c r="AT270" s="6">
        <v>0</v>
      </c>
      <c r="AU270" s="6">
        <v>2.4</v>
      </c>
      <c r="AV270" s="6">
        <v>1.6</v>
      </c>
      <c r="AW270" s="6">
        <v>45.36</v>
      </c>
      <c r="AX270" s="6">
        <v>10.62</v>
      </c>
      <c r="AY270" s="6">
        <v>43.71</v>
      </c>
      <c r="AZ270" s="6">
        <v>30.8</v>
      </c>
      <c r="BA270" s="6">
        <v>31</v>
      </c>
    </row>
    <row r="271" spans="1:53" x14ac:dyDescent="0.3">
      <c r="A271" s="6">
        <v>156488296</v>
      </c>
      <c r="B271" s="6">
        <v>249811</v>
      </c>
      <c r="C271" s="6">
        <v>2795765</v>
      </c>
      <c r="D271" s="6">
        <v>8392</v>
      </c>
      <c r="E271" s="6" t="s">
        <v>92</v>
      </c>
      <c r="F271" s="6">
        <v>57262</v>
      </c>
      <c r="G271" s="6" t="s">
        <v>207</v>
      </c>
      <c r="H271" s="10">
        <v>45687</v>
      </c>
      <c r="I271" s="10">
        <v>45687</v>
      </c>
      <c r="J271" s="4">
        <v>45687.677083333336</v>
      </c>
      <c r="K271" s="4">
        <v>45687.850381944445</v>
      </c>
      <c r="L271" s="11">
        <v>45687.82885416667</v>
      </c>
      <c r="M271" s="10">
        <v>45687</v>
      </c>
      <c r="N271" s="6" t="s">
        <v>132</v>
      </c>
      <c r="O271" t="s">
        <v>229</v>
      </c>
      <c r="P271" s="6" t="s">
        <v>116</v>
      </c>
      <c r="Q271" t="s">
        <v>251</v>
      </c>
      <c r="R271" t="s">
        <v>123</v>
      </c>
      <c r="S271" s="6">
        <v>742039</v>
      </c>
      <c r="T271" s="6" t="s">
        <v>1</v>
      </c>
      <c r="U271">
        <v>159</v>
      </c>
      <c r="V271" s="6">
        <v>7.4</v>
      </c>
      <c r="W271" s="6">
        <v>7.5</v>
      </c>
      <c r="X271" s="6">
        <v>150.30000000000001</v>
      </c>
      <c r="Y271" s="6">
        <v>165.2</v>
      </c>
      <c r="Z271" s="6" t="s">
        <v>63</v>
      </c>
      <c r="AA271" t="s">
        <v>457</v>
      </c>
      <c r="AB271" s="6" t="s">
        <v>90</v>
      </c>
      <c r="AC271" t="s">
        <v>137</v>
      </c>
      <c r="AD271" t="s">
        <v>67</v>
      </c>
      <c r="AE271">
        <v>-31</v>
      </c>
      <c r="AF271">
        <v>0</v>
      </c>
      <c r="AG271">
        <v>0</v>
      </c>
      <c r="AH271" s="6">
        <v>42.3</v>
      </c>
      <c r="AI271" s="6">
        <v>0</v>
      </c>
      <c r="AJ271" s="6">
        <v>0.64800000000000002</v>
      </c>
      <c r="AK271" s="6">
        <v>0.69</v>
      </c>
      <c r="AL271" s="8">
        <v>5163.09</v>
      </c>
      <c r="AM271" s="6" t="s">
        <v>68</v>
      </c>
      <c r="AN271" s="6">
        <v>1</v>
      </c>
      <c r="AO271" s="6">
        <v>1</v>
      </c>
      <c r="AP271" s="6">
        <v>0</v>
      </c>
      <c r="AQ271" s="6">
        <v>1</v>
      </c>
      <c r="AR271" s="6">
        <v>0</v>
      </c>
      <c r="AS271" s="6">
        <v>1</v>
      </c>
      <c r="AT271" s="6">
        <v>0</v>
      </c>
      <c r="AU271" s="6">
        <v>2.23</v>
      </c>
      <c r="AV271" s="6">
        <v>1.66</v>
      </c>
      <c r="AW271" s="6">
        <v>142.54</v>
      </c>
      <c r="AX271" s="6">
        <v>21.31</v>
      </c>
      <c r="AY271" s="6">
        <v>82.4</v>
      </c>
      <c r="AZ271" s="6">
        <v>11.1</v>
      </c>
      <c r="BA271" s="6">
        <v>18</v>
      </c>
    </row>
    <row r="272" spans="1:53" x14ac:dyDescent="0.3">
      <c r="A272" s="6">
        <v>267052653</v>
      </c>
      <c r="B272" s="6">
        <v>711878</v>
      </c>
      <c r="C272" s="6">
        <v>1852264</v>
      </c>
      <c r="D272" s="6">
        <v>2998</v>
      </c>
      <c r="E272" s="6" t="s">
        <v>84</v>
      </c>
      <c r="F272" s="6">
        <v>55664</v>
      </c>
      <c r="G272" s="6" t="s">
        <v>107</v>
      </c>
      <c r="H272" s="10">
        <v>45977</v>
      </c>
      <c r="I272" s="10">
        <v>45977</v>
      </c>
      <c r="J272" s="4">
        <v>45977.614583333336</v>
      </c>
      <c r="K272" s="4">
        <v>45977.743483796294</v>
      </c>
      <c r="L272" s="11">
        <v>45977.854594907411</v>
      </c>
      <c r="M272" s="10">
        <v>45977</v>
      </c>
      <c r="N272" s="6" t="s">
        <v>134</v>
      </c>
      <c r="O272" t="s">
        <v>248</v>
      </c>
      <c r="P272" s="6" t="s">
        <v>134</v>
      </c>
      <c r="Q272" t="s">
        <v>282</v>
      </c>
      <c r="R272" t="s">
        <v>73</v>
      </c>
      <c r="S272" s="6">
        <v>752322</v>
      </c>
      <c r="T272" s="6" t="s">
        <v>1</v>
      </c>
      <c r="U272">
        <v>140</v>
      </c>
      <c r="V272" s="6">
        <v>33.700000000000003</v>
      </c>
      <c r="W272" s="6">
        <v>32</v>
      </c>
      <c r="X272" s="6">
        <v>138</v>
      </c>
      <c r="Y272" s="6">
        <v>203.7</v>
      </c>
      <c r="Z272" s="6" t="s">
        <v>63</v>
      </c>
      <c r="AA272" t="s">
        <v>458</v>
      </c>
      <c r="AB272" s="6" t="s">
        <v>90</v>
      </c>
      <c r="AC272" t="s">
        <v>91</v>
      </c>
      <c r="AD272" t="s">
        <v>192</v>
      </c>
      <c r="AE272">
        <v>160</v>
      </c>
      <c r="AF272">
        <v>0</v>
      </c>
      <c r="AG272">
        <v>0</v>
      </c>
      <c r="AH272" s="6">
        <v>67.599999999999994</v>
      </c>
      <c r="AI272" s="6">
        <v>0</v>
      </c>
      <c r="AJ272" s="6">
        <v>0.86899999999999999</v>
      </c>
      <c r="AK272" s="6">
        <v>0.78800000000000003</v>
      </c>
      <c r="AL272" s="8">
        <v>4883.5200000000004</v>
      </c>
      <c r="AM272" s="6" t="s">
        <v>68</v>
      </c>
      <c r="AN272" s="6">
        <v>1</v>
      </c>
      <c r="AO272" s="6">
        <v>0</v>
      </c>
      <c r="AP272" s="6">
        <v>1</v>
      </c>
      <c r="AQ272" s="6">
        <v>0</v>
      </c>
      <c r="AR272" s="6">
        <v>1</v>
      </c>
      <c r="AS272" s="6">
        <v>0</v>
      </c>
      <c r="AT272" s="6">
        <v>1</v>
      </c>
      <c r="AU272" s="6">
        <v>2.64</v>
      </c>
      <c r="AV272" s="6">
        <v>1.86</v>
      </c>
      <c r="AW272" s="6">
        <v>169.91</v>
      </c>
      <c r="AX272" s="6">
        <v>32.33</v>
      </c>
      <c r="AY272" s="6">
        <v>127.86</v>
      </c>
      <c r="AZ272" s="6">
        <v>61.5</v>
      </c>
      <c r="BA272" s="6">
        <v>8.6</v>
      </c>
    </row>
    <row r="273" spans="1:53" x14ac:dyDescent="0.3">
      <c r="A273" s="6">
        <v>269017588</v>
      </c>
      <c r="B273" s="6">
        <v>287330</v>
      </c>
      <c r="C273" s="6">
        <v>4348276</v>
      </c>
      <c r="D273" s="6">
        <v>9338</v>
      </c>
      <c r="E273" s="6" t="s">
        <v>101</v>
      </c>
      <c r="F273" s="6">
        <v>56766</v>
      </c>
      <c r="G273" s="6" t="s">
        <v>207</v>
      </c>
      <c r="H273" s="10">
        <v>45971</v>
      </c>
      <c r="I273" s="10">
        <v>45971</v>
      </c>
      <c r="J273" s="4">
        <v>45971.722222222219</v>
      </c>
      <c r="K273" s="4">
        <v>45971.902291666665</v>
      </c>
      <c r="L273" s="11">
        <v>45971.915486111109</v>
      </c>
      <c r="M273" s="10">
        <v>45971</v>
      </c>
      <c r="N273" s="6" t="s">
        <v>103</v>
      </c>
      <c r="O273" t="s">
        <v>204</v>
      </c>
      <c r="P273" s="6" t="s">
        <v>150</v>
      </c>
      <c r="Q273" t="s">
        <v>159</v>
      </c>
      <c r="R273" t="s">
        <v>73</v>
      </c>
      <c r="S273" s="6">
        <v>745157</v>
      </c>
      <c r="T273" s="6" t="s">
        <v>1</v>
      </c>
      <c r="U273">
        <v>180</v>
      </c>
      <c r="V273" s="6">
        <v>43.3</v>
      </c>
      <c r="W273" s="6">
        <v>23.1</v>
      </c>
      <c r="X273" s="6">
        <v>178.7</v>
      </c>
      <c r="Y273" s="6">
        <v>245.1</v>
      </c>
      <c r="Z273" s="6" t="s">
        <v>2</v>
      </c>
      <c r="AA273" t="s">
        <v>459</v>
      </c>
      <c r="AB273" s="6" t="s">
        <v>90</v>
      </c>
      <c r="AC273" t="s">
        <v>83</v>
      </c>
      <c r="AD273" t="s">
        <v>67</v>
      </c>
      <c r="AE273">
        <v>19</v>
      </c>
      <c r="AF273">
        <v>0</v>
      </c>
      <c r="AG273">
        <v>0</v>
      </c>
      <c r="AH273" s="6">
        <v>43.2</v>
      </c>
      <c r="AI273" s="6">
        <v>0</v>
      </c>
      <c r="AJ273" s="6">
        <v>0.65400000000000003</v>
      </c>
      <c r="AK273" s="6">
        <v>0.84699999999999998</v>
      </c>
      <c r="AL273" s="8">
        <v>10910.09</v>
      </c>
      <c r="AM273" s="6" t="s">
        <v>114</v>
      </c>
      <c r="AN273" s="6">
        <v>1</v>
      </c>
      <c r="AO273" s="6">
        <v>0</v>
      </c>
      <c r="AP273" s="6">
        <v>1</v>
      </c>
      <c r="AQ273" s="6">
        <v>0</v>
      </c>
      <c r="AR273" s="6">
        <v>1</v>
      </c>
      <c r="AS273" s="6">
        <v>0</v>
      </c>
      <c r="AT273" s="6">
        <v>1</v>
      </c>
      <c r="AU273" s="6">
        <v>2.37</v>
      </c>
      <c r="AV273" s="6">
        <v>1.79</v>
      </c>
      <c r="AW273" s="6">
        <v>216.26</v>
      </c>
      <c r="AX273" s="6">
        <v>30.09</v>
      </c>
      <c r="AY273" s="6">
        <v>122.84</v>
      </c>
      <c r="AZ273" s="6">
        <v>17.5</v>
      </c>
      <c r="BA273" s="6">
        <v>68.3</v>
      </c>
    </row>
    <row r="274" spans="1:53" x14ac:dyDescent="0.3">
      <c r="A274" s="6">
        <v>910069356</v>
      </c>
      <c r="B274" s="6">
        <v>680099</v>
      </c>
      <c r="C274" s="6">
        <v>7003042</v>
      </c>
      <c r="D274" s="6">
        <v>6535</v>
      </c>
      <c r="E274" s="6" t="s">
        <v>101</v>
      </c>
      <c r="F274" s="6">
        <v>59361</v>
      </c>
      <c r="G274" s="6" t="s">
        <v>69</v>
      </c>
      <c r="H274" s="10">
        <v>45805</v>
      </c>
      <c r="I274" s="10">
        <v>45805</v>
      </c>
      <c r="J274" s="4">
        <v>45805.708333333336</v>
      </c>
      <c r="K274" s="4">
        <v>45806.108703703707</v>
      </c>
      <c r="L274" s="11">
        <v>45806.093425925923</v>
      </c>
      <c r="M274" s="10">
        <v>45806</v>
      </c>
      <c r="N274" s="6" t="s">
        <v>93</v>
      </c>
      <c r="O274" t="s">
        <v>144</v>
      </c>
      <c r="P274" s="6" t="s">
        <v>121</v>
      </c>
      <c r="Q274" t="s">
        <v>122</v>
      </c>
      <c r="R274" t="s">
        <v>123</v>
      </c>
      <c r="S274" s="6">
        <v>710118</v>
      </c>
      <c r="T274" s="6" t="s">
        <v>111</v>
      </c>
      <c r="U274">
        <v>460</v>
      </c>
      <c r="V274" s="6">
        <v>16.399999999999999</v>
      </c>
      <c r="W274" s="6">
        <v>26.6</v>
      </c>
      <c r="X274" s="6">
        <v>461.1</v>
      </c>
      <c r="Y274" s="6">
        <v>504.1</v>
      </c>
      <c r="Z274" s="6" t="s">
        <v>2</v>
      </c>
      <c r="AA274" t="s">
        <v>460</v>
      </c>
      <c r="AB274" s="6" t="s">
        <v>90</v>
      </c>
      <c r="AC274" t="s">
        <v>125</v>
      </c>
      <c r="AD274" t="s">
        <v>67</v>
      </c>
      <c r="AE274">
        <v>-22</v>
      </c>
      <c r="AF274">
        <v>0</v>
      </c>
      <c r="AG274">
        <v>0</v>
      </c>
      <c r="AH274" s="6">
        <v>47.7</v>
      </c>
      <c r="AI274" s="6">
        <v>0</v>
      </c>
      <c r="AJ274" s="6">
        <v>0.60599999999999998</v>
      </c>
      <c r="AK274" s="6">
        <v>0.73</v>
      </c>
      <c r="AL274" s="8">
        <v>18058.849999999999</v>
      </c>
      <c r="AM274" s="6" t="s">
        <v>114</v>
      </c>
      <c r="AN274" s="6">
        <v>1</v>
      </c>
      <c r="AO274" s="6">
        <v>1</v>
      </c>
      <c r="AP274" s="6">
        <v>0</v>
      </c>
      <c r="AQ274" s="6">
        <v>1</v>
      </c>
      <c r="AR274" s="6">
        <v>0</v>
      </c>
      <c r="AS274" s="6">
        <v>1</v>
      </c>
      <c r="AT274" s="6">
        <v>0</v>
      </c>
      <c r="AU274" s="6">
        <v>2.1800000000000002</v>
      </c>
      <c r="AV274" s="6">
        <v>1.42</v>
      </c>
      <c r="AW274" s="6">
        <v>389.66</v>
      </c>
      <c r="AX274" s="6">
        <v>86.34</v>
      </c>
      <c r="AY274" s="6">
        <v>345.42</v>
      </c>
      <c r="AZ274" s="6">
        <v>28.3</v>
      </c>
      <c r="BA274" s="6">
        <v>38.200000000000003</v>
      </c>
    </row>
    <row r="275" spans="1:53" x14ac:dyDescent="0.3">
      <c r="A275" s="6">
        <v>763398699</v>
      </c>
      <c r="B275" s="6">
        <v>439902</v>
      </c>
      <c r="C275" s="6">
        <v>2935113</v>
      </c>
      <c r="D275" s="6">
        <v>9815</v>
      </c>
      <c r="E275" s="6" t="s">
        <v>142</v>
      </c>
      <c r="F275" s="6">
        <v>50952</v>
      </c>
      <c r="G275" s="6" t="s">
        <v>207</v>
      </c>
      <c r="H275" s="10">
        <v>45914</v>
      </c>
      <c r="I275" s="10">
        <v>45914</v>
      </c>
      <c r="J275" s="4">
        <v>45914.753472222219</v>
      </c>
      <c r="K275" s="4">
        <v>45915.179606481484</v>
      </c>
      <c r="L275" s="11">
        <v>45915.16710648148</v>
      </c>
      <c r="M275" s="10">
        <v>45915</v>
      </c>
      <c r="N275" s="6" t="s">
        <v>176</v>
      </c>
      <c r="O275" t="s">
        <v>316</v>
      </c>
      <c r="P275" s="6" t="s">
        <v>150</v>
      </c>
      <c r="Q275" t="s">
        <v>151</v>
      </c>
      <c r="R275" t="s">
        <v>73</v>
      </c>
      <c r="S275" s="6">
        <v>777840</v>
      </c>
      <c r="T275" s="6" t="s">
        <v>111</v>
      </c>
      <c r="U275">
        <v>464</v>
      </c>
      <c r="V275" s="6">
        <v>5</v>
      </c>
      <c r="W275" s="6">
        <v>28.4</v>
      </c>
      <c r="X275" s="6">
        <v>472.4</v>
      </c>
      <c r="Y275" s="6">
        <v>505.8</v>
      </c>
      <c r="Z275" s="6" t="s">
        <v>63</v>
      </c>
      <c r="AA275" t="s">
        <v>461</v>
      </c>
      <c r="AB275" s="6" t="s">
        <v>65</v>
      </c>
      <c r="AC275" t="s">
        <v>91</v>
      </c>
      <c r="AD275" t="s">
        <v>67</v>
      </c>
      <c r="AE275">
        <v>-18</v>
      </c>
      <c r="AF275">
        <v>0</v>
      </c>
      <c r="AG275">
        <v>0</v>
      </c>
      <c r="AH275" s="6">
        <v>23.5</v>
      </c>
      <c r="AI275" s="6">
        <v>0</v>
      </c>
      <c r="AJ275" s="6">
        <v>0.51400000000000001</v>
      </c>
      <c r="AK275" s="6">
        <v>0.53100000000000003</v>
      </c>
      <c r="AL275" s="8">
        <v>5514.6</v>
      </c>
      <c r="AM275" s="6" t="s">
        <v>68</v>
      </c>
      <c r="AN275" s="6">
        <v>1</v>
      </c>
      <c r="AO275" s="6">
        <v>1</v>
      </c>
      <c r="AP275" s="6">
        <v>0</v>
      </c>
      <c r="AQ275" s="6">
        <v>1</v>
      </c>
      <c r="AR275" s="6">
        <v>0</v>
      </c>
      <c r="AS275" s="6">
        <v>1</v>
      </c>
      <c r="AT275" s="6">
        <v>0</v>
      </c>
      <c r="AU275" s="6">
        <v>2.21</v>
      </c>
      <c r="AV275" s="6">
        <v>1.62</v>
      </c>
      <c r="AW275" s="6">
        <v>349.08</v>
      </c>
      <c r="AX275" s="6">
        <v>105.84</v>
      </c>
      <c r="AY275" s="6">
        <v>357.19</v>
      </c>
      <c r="AZ275" s="6">
        <v>45.7</v>
      </c>
      <c r="BA275" s="6">
        <v>38.700000000000003</v>
      </c>
    </row>
    <row r="276" spans="1:53" x14ac:dyDescent="0.3">
      <c r="A276" s="6">
        <v>153432064</v>
      </c>
      <c r="B276" s="6">
        <v>876646</v>
      </c>
      <c r="C276" s="6">
        <v>2191066</v>
      </c>
      <c r="D276" s="6">
        <v>1769</v>
      </c>
      <c r="E276" s="6" t="s">
        <v>84</v>
      </c>
      <c r="F276" s="6">
        <v>56142</v>
      </c>
      <c r="G276" s="6" t="s">
        <v>115</v>
      </c>
      <c r="H276" s="10">
        <v>45861</v>
      </c>
      <c r="I276" s="10">
        <v>45861</v>
      </c>
      <c r="J276" s="4">
        <v>45861.496527777781</v>
      </c>
      <c r="K276" s="4">
        <v>45861.706446759257</v>
      </c>
      <c r="L276" s="11">
        <v>45861.85297453704</v>
      </c>
      <c r="M276" s="10">
        <v>45861</v>
      </c>
      <c r="N276" s="6" t="s">
        <v>109</v>
      </c>
      <c r="O276" t="s">
        <v>161</v>
      </c>
      <c r="P276" s="6" t="s">
        <v>129</v>
      </c>
      <c r="Q276" t="s">
        <v>156</v>
      </c>
      <c r="R276" t="s">
        <v>123</v>
      </c>
      <c r="S276" s="6">
        <v>728157</v>
      </c>
      <c r="T276" s="6" t="s">
        <v>1</v>
      </c>
      <c r="U276">
        <v>248</v>
      </c>
      <c r="V276" s="6">
        <v>25.4</v>
      </c>
      <c r="W276" s="6">
        <v>45.8</v>
      </c>
      <c r="X276" s="6">
        <v>247.4</v>
      </c>
      <c r="Y276" s="6">
        <v>318.60000000000002</v>
      </c>
      <c r="Z276" s="6" t="s">
        <v>215</v>
      </c>
      <c r="AA276" t="s">
        <v>462</v>
      </c>
      <c r="AB276" s="6" t="s">
        <v>75</v>
      </c>
      <c r="AC276" t="s">
        <v>125</v>
      </c>
      <c r="AD276" t="s">
        <v>206</v>
      </c>
      <c r="AE276">
        <v>211</v>
      </c>
      <c r="AF276">
        <v>283</v>
      </c>
      <c r="AG276">
        <v>0</v>
      </c>
      <c r="AH276" s="6">
        <v>72.099999999999994</v>
      </c>
      <c r="AI276" s="6">
        <v>0</v>
      </c>
      <c r="AJ276" s="6">
        <v>0.69099999999999995</v>
      </c>
      <c r="AK276" s="6">
        <v>0.47599999999999998</v>
      </c>
      <c r="AL276" s="8">
        <v>12969.62</v>
      </c>
      <c r="AM276" s="6" t="s">
        <v>114</v>
      </c>
      <c r="AN276" s="6">
        <v>1</v>
      </c>
      <c r="AO276" s="6">
        <v>0</v>
      </c>
      <c r="AP276" s="6">
        <v>1</v>
      </c>
      <c r="AQ276" s="6">
        <v>0</v>
      </c>
      <c r="AR276" s="6">
        <v>1</v>
      </c>
      <c r="AS276" s="6">
        <v>0</v>
      </c>
      <c r="AT276" s="6">
        <v>1</v>
      </c>
      <c r="AU276" s="6">
        <v>2.56</v>
      </c>
      <c r="AV276" s="6">
        <v>2.02</v>
      </c>
      <c r="AW276" s="6">
        <v>284.7</v>
      </c>
      <c r="AX276" s="6">
        <v>62.73</v>
      </c>
      <c r="AY276" s="6">
        <v>212.59</v>
      </c>
      <c r="AZ276" s="6">
        <v>17.2</v>
      </c>
      <c r="BA276" s="6">
        <v>1.9</v>
      </c>
    </row>
    <row r="277" spans="1:53" x14ac:dyDescent="0.3">
      <c r="A277" s="6">
        <v>823668399</v>
      </c>
      <c r="B277" s="6">
        <v>265840</v>
      </c>
      <c r="C277" s="6">
        <v>5163555</v>
      </c>
      <c r="D277" s="6">
        <v>9800</v>
      </c>
      <c r="E277" s="6" t="s">
        <v>57</v>
      </c>
      <c r="F277" s="6">
        <v>55967</v>
      </c>
      <c r="G277" s="6" t="s">
        <v>127</v>
      </c>
      <c r="H277" s="10">
        <v>45969</v>
      </c>
      <c r="I277" s="10">
        <v>45969</v>
      </c>
      <c r="J277" s="4">
        <v>45969.972222222219</v>
      </c>
      <c r="K277" s="4">
        <v>45970.29515046296</v>
      </c>
      <c r="L277" s="11">
        <v>45970.284039351849</v>
      </c>
      <c r="M277" s="10">
        <v>45970</v>
      </c>
      <c r="N277" s="6" t="s">
        <v>59</v>
      </c>
      <c r="O277" t="s">
        <v>99</v>
      </c>
      <c r="P277" s="6" t="s">
        <v>150</v>
      </c>
      <c r="Q277" t="s">
        <v>151</v>
      </c>
      <c r="R277" t="s">
        <v>73</v>
      </c>
      <c r="S277" s="6">
        <v>782862</v>
      </c>
      <c r="T277" s="6" t="s">
        <v>111</v>
      </c>
      <c r="U277">
        <v>343</v>
      </c>
      <c r="V277" s="6">
        <v>34.4</v>
      </c>
      <c r="W277" s="6">
        <v>15.4</v>
      </c>
      <c r="X277" s="6">
        <v>335.7</v>
      </c>
      <c r="Y277" s="6">
        <v>385.5</v>
      </c>
      <c r="Z277" s="6" t="s">
        <v>63</v>
      </c>
      <c r="AA277" t="s">
        <v>463</v>
      </c>
      <c r="AB277" s="6" t="s">
        <v>65</v>
      </c>
      <c r="AC277" t="s">
        <v>76</v>
      </c>
      <c r="AD277" t="s">
        <v>67</v>
      </c>
      <c r="AE277">
        <v>-16</v>
      </c>
      <c r="AF277">
        <v>0</v>
      </c>
      <c r="AG277">
        <v>0</v>
      </c>
      <c r="AH277" s="6">
        <v>67.3</v>
      </c>
      <c r="AI277" s="6">
        <v>0</v>
      </c>
      <c r="AJ277" s="6">
        <v>0.46899999999999997</v>
      </c>
      <c r="AK277" s="6">
        <v>0.66700000000000004</v>
      </c>
      <c r="AL277" s="8">
        <v>5608.8</v>
      </c>
      <c r="AM277" s="6" t="s">
        <v>68</v>
      </c>
      <c r="AN277" s="6">
        <v>1</v>
      </c>
      <c r="AO277" s="6">
        <v>1</v>
      </c>
      <c r="AP277" s="6">
        <v>0</v>
      </c>
      <c r="AQ277" s="6">
        <v>1</v>
      </c>
      <c r="AR277" s="6">
        <v>0</v>
      </c>
      <c r="AS277" s="6">
        <v>1</v>
      </c>
      <c r="AT277" s="6">
        <v>0</v>
      </c>
      <c r="AU277" s="6">
        <v>2.09</v>
      </c>
      <c r="AV277" s="6">
        <v>1.34</v>
      </c>
      <c r="AW277" s="6">
        <v>330.38</v>
      </c>
      <c r="AX277" s="6">
        <v>49.72</v>
      </c>
      <c r="AY277" s="6">
        <v>251.47</v>
      </c>
      <c r="AZ277" s="6">
        <v>14.9</v>
      </c>
      <c r="BA277" s="6">
        <v>14.9</v>
      </c>
    </row>
    <row r="278" spans="1:53" x14ac:dyDescent="0.3">
      <c r="A278" s="6">
        <v>187597497</v>
      </c>
      <c r="B278" s="6">
        <v>217301</v>
      </c>
      <c r="C278" s="6">
        <v>5453786</v>
      </c>
      <c r="D278" s="6">
        <v>5548</v>
      </c>
      <c r="E278" s="6" t="s">
        <v>142</v>
      </c>
      <c r="F278" s="6">
        <v>57205</v>
      </c>
      <c r="G278" s="6" t="s">
        <v>69</v>
      </c>
      <c r="H278" s="10">
        <v>45772</v>
      </c>
      <c r="I278" s="10">
        <v>45772</v>
      </c>
      <c r="J278" s="4">
        <v>45772.822916666664</v>
      </c>
      <c r="K278" s="4">
        <v>45773.026956018519</v>
      </c>
      <c r="L278" s="11">
        <v>45773.017233796294</v>
      </c>
      <c r="M278" s="10">
        <v>45773</v>
      </c>
      <c r="N278" s="6" t="s">
        <v>59</v>
      </c>
      <c r="O278" t="s">
        <v>85</v>
      </c>
      <c r="P278" s="6" t="s">
        <v>150</v>
      </c>
      <c r="Q278" t="s">
        <v>265</v>
      </c>
      <c r="R278" t="s">
        <v>73</v>
      </c>
      <c r="S278" s="6">
        <v>782862</v>
      </c>
      <c r="T278" s="6" t="s">
        <v>1</v>
      </c>
      <c r="U278">
        <v>231</v>
      </c>
      <c r="V278" s="6">
        <v>36</v>
      </c>
      <c r="W278" s="6">
        <v>9</v>
      </c>
      <c r="X278" s="6">
        <v>231.8</v>
      </c>
      <c r="Y278" s="6">
        <v>276.8</v>
      </c>
      <c r="Z278" s="6" t="s">
        <v>112</v>
      </c>
      <c r="AA278" t="s">
        <v>464</v>
      </c>
      <c r="AB278" s="6" t="s">
        <v>65</v>
      </c>
      <c r="AC278" t="s">
        <v>154</v>
      </c>
      <c r="AD278" t="s">
        <v>67</v>
      </c>
      <c r="AE278">
        <v>-14</v>
      </c>
      <c r="AF278">
        <v>0</v>
      </c>
      <c r="AG278">
        <v>0</v>
      </c>
      <c r="AH278" s="6">
        <v>29.6</v>
      </c>
      <c r="AI278" s="6">
        <v>0</v>
      </c>
      <c r="AJ278" s="6">
        <v>0.59399999999999997</v>
      </c>
      <c r="AK278" s="6">
        <v>0.65800000000000003</v>
      </c>
      <c r="AL278" s="8">
        <v>24152.45</v>
      </c>
      <c r="AM278" s="6" t="s">
        <v>155</v>
      </c>
      <c r="AN278" s="6">
        <v>1</v>
      </c>
      <c r="AO278" s="6">
        <v>1</v>
      </c>
      <c r="AP278" s="6">
        <v>0</v>
      </c>
      <c r="AQ278" s="6">
        <v>1</v>
      </c>
      <c r="AR278" s="6">
        <v>0</v>
      </c>
      <c r="AS278" s="6">
        <v>1</v>
      </c>
      <c r="AT278" s="6">
        <v>0</v>
      </c>
      <c r="AU278" s="6">
        <v>2.5099999999999998</v>
      </c>
      <c r="AV278" s="6">
        <v>2</v>
      </c>
      <c r="AW278" s="6">
        <v>173.36</v>
      </c>
      <c r="AX278" s="6">
        <v>44.23</v>
      </c>
      <c r="AY278" s="6">
        <v>195.56</v>
      </c>
      <c r="AZ278" s="6">
        <v>13</v>
      </c>
      <c r="BA278" s="6">
        <v>54.7</v>
      </c>
    </row>
    <row r="279" spans="1:53" x14ac:dyDescent="0.3">
      <c r="A279" s="6">
        <v>392168202</v>
      </c>
      <c r="B279" s="6">
        <v>479201</v>
      </c>
      <c r="C279" s="6">
        <v>7550190</v>
      </c>
      <c r="D279" s="6">
        <v>5887</v>
      </c>
      <c r="E279" s="6" t="s">
        <v>106</v>
      </c>
      <c r="F279" s="6">
        <v>52484</v>
      </c>
      <c r="G279" s="6" t="s">
        <v>175</v>
      </c>
      <c r="H279" s="10">
        <v>45849</v>
      </c>
      <c r="I279" s="10">
        <v>45849</v>
      </c>
      <c r="J279" s="4">
        <v>45849.673611111109</v>
      </c>
      <c r="K279" s="4">
        <v>45849.961099537039</v>
      </c>
      <c r="L279" s="11">
        <v>45849.947905092595</v>
      </c>
      <c r="M279" s="10">
        <v>45849</v>
      </c>
      <c r="N279" s="6" t="s">
        <v>176</v>
      </c>
      <c r="O279" t="s">
        <v>355</v>
      </c>
      <c r="P279" s="6" t="s">
        <v>59</v>
      </c>
      <c r="Q279" t="s">
        <v>60</v>
      </c>
      <c r="R279" t="s">
        <v>62</v>
      </c>
      <c r="S279" s="6">
        <v>785905</v>
      </c>
      <c r="T279" s="6" t="s">
        <v>1</v>
      </c>
      <c r="U279">
        <v>227</v>
      </c>
      <c r="V279" s="6">
        <v>25.5</v>
      </c>
      <c r="W279" s="6">
        <v>21.1</v>
      </c>
      <c r="X279" s="6">
        <v>222.7</v>
      </c>
      <c r="Y279" s="6">
        <v>269.3</v>
      </c>
      <c r="Z279" s="6" t="s">
        <v>112</v>
      </c>
      <c r="AA279" t="s">
        <v>465</v>
      </c>
      <c r="AB279" s="6" t="s">
        <v>90</v>
      </c>
      <c r="AC279" t="s">
        <v>154</v>
      </c>
      <c r="AD279" t="s">
        <v>67</v>
      </c>
      <c r="AE279">
        <v>-19</v>
      </c>
      <c r="AF279">
        <v>0</v>
      </c>
      <c r="AG279">
        <v>0</v>
      </c>
      <c r="AH279" s="6">
        <v>45.8</v>
      </c>
      <c r="AI279" s="6">
        <v>0</v>
      </c>
      <c r="AJ279" s="6">
        <v>0.68799999999999994</v>
      </c>
      <c r="AK279" s="6">
        <v>0.73099999999999998</v>
      </c>
      <c r="AL279" s="8">
        <v>3484.45</v>
      </c>
      <c r="AM279" s="6" t="s">
        <v>68</v>
      </c>
      <c r="AN279" s="6">
        <v>1</v>
      </c>
      <c r="AO279" s="6">
        <v>1</v>
      </c>
      <c r="AP279" s="6">
        <v>0</v>
      </c>
      <c r="AQ279" s="6">
        <v>1</v>
      </c>
      <c r="AR279" s="6">
        <v>0</v>
      </c>
      <c r="AS279" s="6">
        <v>1</v>
      </c>
      <c r="AT279" s="6">
        <v>0</v>
      </c>
      <c r="AU279" s="6">
        <v>2.44</v>
      </c>
      <c r="AV279" s="6">
        <v>1.64</v>
      </c>
      <c r="AW279" s="6">
        <v>242.86</v>
      </c>
      <c r="AX279" s="6">
        <v>40.6</v>
      </c>
      <c r="AY279" s="6">
        <v>143.38999999999999</v>
      </c>
      <c r="AZ279" s="6">
        <v>13.1</v>
      </c>
      <c r="BA279" s="6">
        <v>67.599999999999994</v>
      </c>
    </row>
    <row r="280" spans="1:53" x14ac:dyDescent="0.3">
      <c r="A280" s="6">
        <v>575788930</v>
      </c>
      <c r="B280" s="6">
        <v>634277</v>
      </c>
      <c r="C280" s="6">
        <v>1059486</v>
      </c>
      <c r="D280" s="6">
        <v>6232</v>
      </c>
      <c r="E280" s="6" t="s">
        <v>106</v>
      </c>
      <c r="F280" s="6">
        <v>51854</v>
      </c>
      <c r="G280" s="6" t="s">
        <v>115</v>
      </c>
      <c r="H280" s="10">
        <v>45835</v>
      </c>
      <c r="I280" s="10">
        <v>45835</v>
      </c>
      <c r="J280" s="4">
        <v>45835.3125</v>
      </c>
      <c r="K280" s="4">
        <v>45835.557870370372</v>
      </c>
      <c r="L280" s="11">
        <v>45835.530787037038</v>
      </c>
      <c r="M280" s="10">
        <v>45835</v>
      </c>
      <c r="N280" s="6" t="s">
        <v>109</v>
      </c>
      <c r="O280" t="s">
        <v>161</v>
      </c>
      <c r="P280" s="6" t="s">
        <v>109</v>
      </c>
      <c r="Q280" t="s">
        <v>193</v>
      </c>
      <c r="R280" t="s">
        <v>88</v>
      </c>
      <c r="S280" s="6">
        <v>705397</v>
      </c>
      <c r="T280" s="6" t="s">
        <v>1</v>
      </c>
      <c r="U280">
        <v>209</v>
      </c>
      <c r="V280" s="6">
        <v>59.3</v>
      </c>
      <c r="W280" s="6">
        <v>27.7</v>
      </c>
      <c r="X280" s="6">
        <v>204.6</v>
      </c>
      <c r="Y280" s="6">
        <v>291.60000000000002</v>
      </c>
      <c r="Z280" s="6" t="s">
        <v>63</v>
      </c>
      <c r="AA280" t="s">
        <v>394</v>
      </c>
      <c r="AB280" s="6" t="s">
        <v>97</v>
      </c>
      <c r="AC280" t="s">
        <v>154</v>
      </c>
      <c r="AD280" t="s">
        <v>67</v>
      </c>
      <c r="AE280">
        <v>-39</v>
      </c>
      <c r="AF280">
        <v>0</v>
      </c>
      <c r="AG280">
        <v>0</v>
      </c>
      <c r="AH280" s="6">
        <v>31.2</v>
      </c>
      <c r="AI280" s="6">
        <v>0</v>
      </c>
      <c r="AJ280" s="6">
        <v>0.65800000000000003</v>
      </c>
      <c r="AK280" s="6">
        <v>0.38400000000000001</v>
      </c>
      <c r="AL280" s="8">
        <v>10100.32</v>
      </c>
      <c r="AM280" s="6" t="s">
        <v>114</v>
      </c>
      <c r="AN280" s="6">
        <v>1</v>
      </c>
      <c r="AO280" s="6">
        <v>1</v>
      </c>
      <c r="AP280" s="6">
        <v>0</v>
      </c>
      <c r="AQ280" s="6">
        <v>1</v>
      </c>
      <c r="AR280" s="6">
        <v>0</v>
      </c>
      <c r="AS280" s="6">
        <v>1</v>
      </c>
      <c r="AT280" s="6">
        <v>0</v>
      </c>
      <c r="AU280" s="6">
        <v>1.83</v>
      </c>
      <c r="AV280" s="6">
        <v>1.08</v>
      </c>
      <c r="AW280" s="6">
        <v>263.77</v>
      </c>
      <c r="AX280" s="6">
        <v>62.94</v>
      </c>
      <c r="AY280" s="6">
        <v>155.97999999999999</v>
      </c>
      <c r="AZ280" s="6">
        <v>4.7</v>
      </c>
      <c r="BA280" s="6">
        <v>34.299999999999997</v>
      </c>
    </row>
    <row r="281" spans="1:53" x14ac:dyDescent="0.3">
      <c r="A281" s="6">
        <v>810751262</v>
      </c>
      <c r="B281" s="6">
        <v>301629</v>
      </c>
      <c r="C281" s="6">
        <v>8633773</v>
      </c>
      <c r="D281" s="6">
        <v>7331</v>
      </c>
      <c r="E281" s="6" t="s">
        <v>84</v>
      </c>
      <c r="F281" s="6">
        <v>53231</v>
      </c>
      <c r="G281" s="6" t="s">
        <v>127</v>
      </c>
      <c r="H281" s="10">
        <v>45787</v>
      </c>
      <c r="I281" s="10">
        <v>45787</v>
      </c>
      <c r="J281" s="4">
        <v>45787.298611111109</v>
      </c>
      <c r="K281" s="4">
        <v>45787.365543981483</v>
      </c>
      <c r="L281" s="11">
        <v>45787.347488425927</v>
      </c>
      <c r="M281" s="10">
        <v>45787</v>
      </c>
      <c r="N281" s="6" t="s">
        <v>129</v>
      </c>
      <c r="O281" t="s">
        <v>130</v>
      </c>
      <c r="P281" s="6" t="s">
        <v>59</v>
      </c>
      <c r="Q281" t="s">
        <v>85</v>
      </c>
      <c r="R281" t="s">
        <v>62</v>
      </c>
      <c r="S281" s="6">
        <v>798676</v>
      </c>
      <c r="T281" s="6" t="s">
        <v>3</v>
      </c>
      <c r="U281">
        <v>69</v>
      </c>
      <c r="V281" s="6">
        <v>44.8</v>
      </c>
      <c r="W281" s="6">
        <v>14.5</v>
      </c>
      <c r="X281" s="6">
        <v>67.2</v>
      </c>
      <c r="Y281" s="6">
        <v>126.5</v>
      </c>
      <c r="Z281" s="6" t="s">
        <v>112</v>
      </c>
      <c r="AA281" t="s">
        <v>466</v>
      </c>
      <c r="AB281" s="6" t="s">
        <v>97</v>
      </c>
      <c r="AC281" t="s">
        <v>76</v>
      </c>
      <c r="AD281" t="s">
        <v>67</v>
      </c>
      <c r="AE281">
        <v>-26</v>
      </c>
      <c r="AF281">
        <v>0</v>
      </c>
      <c r="AG281">
        <v>0</v>
      </c>
      <c r="AH281" s="6">
        <v>45.4</v>
      </c>
      <c r="AI281" s="6">
        <v>0</v>
      </c>
      <c r="AJ281" s="6">
        <v>0.70599999999999996</v>
      </c>
      <c r="AK281" s="6">
        <v>0.61399999999999999</v>
      </c>
      <c r="AL281" s="8">
        <v>10194.52</v>
      </c>
      <c r="AM281" s="6" t="s">
        <v>114</v>
      </c>
      <c r="AN281" s="6">
        <v>1</v>
      </c>
      <c r="AO281" s="6">
        <v>1</v>
      </c>
      <c r="AP281" s="6">
        <v>0</v>
      </c>
      <c r="AQ281" s="6">
        <v>1</v>
      </c>
      <c r="AR281" s="6">
        <v>0</v>
      </c>
      <c r="AS281" s="6">
        <v>1</v>
      </c>
      <c r="AT281" s="6">
        <v>0</v>
      </c>
      <c r="AU281" s="6">
        <v>1.97</v>
      </c>
      <c r="AV281" s="6">
        <v>1.3</v>
      </c>
      <c r="AW281" s="6">
        <v>91.91</v>
      </c>
      <c r="AX281" s="6">
        <v>24.78</v>
      </c>
      <c r="AY281" s="6">
        <v>75.319999999999993</v>
      </c>
      <c r="AZ281" s="6">
        <v>63.5</v>
      </c>
      <c r="BA281" s="6">
        <v>9.6</v>
      </c>
    </row>
    <row r="282" spans="1:53" x14ac:dyDescent="0.3">
      <c r="A282" s="6">
        <v>555282394</v>
      </c>
      <c r="B282" s="6">
        <v>322086</v>
      </c>
      <c r="C282" s="6">
        <v>7751158</v>
      </c>
      <c r="D282" s="6">
        <v>4987</v>
      </c>
      <c r="E282" s="6" t="s">
        <v>92</v>
      </c>
      <c r="F282" s="6">
        <v>52597</v>
      </c>
      <c r="G282" s="6" t="s">
        <v>127</v>
      </c>
      <c r="H282" s="10">
        <v>45983</v>
      </c>
      <c r="I282" s="10">
        <v>45983</v>
      </c>
      <c r="J282" s="4">
        <v>45983.569444444445</v>
      </c>
      <c r="K282" s="4">
        <v>45983.757986111108</v>
      </c>
      <c r="L282" s="11">
        <v>45983.743402777778</v>
      </c>
      <c r="M282" s="10">
        <v>45983</v>
      </c>
      <c r="N282" s="6" t="s">
        <v>109</v>
      </c>
      <c r="O282" t="s">
        <v>161</v>
      </c>
      <c r="P282" s="6" t="s">
        <v>150</v>
      </c>
      <c r="Q282" t="s">
        <v>311</v>
      </c>
      <c r="R282" t="s">
        <v>73</v>
      </c>
      <c r="S282" s="6">
        <v>703172</v>
      </c>
      <c r="T282" s="6" t="s">
        <v>1</v>
      </c>
      <c r="U282">
        <v>210</v>
      </c>
      <c r="V282" s="6">
        <v>0</v>
      </c>
      <c r="W282" s="6">
        <v>2.5</v>
      </c>
      <c r="X282" s="6">
        <v>206.9</v>
      </c>
      <c r="Y282" s="6">
        <v>209.4</v>
      </c>
      <c r="Z282" s="6" t="s">
        <v>80</v>
      </c>
      <c r="AA282" t="s">
        <v>467</v>
      </c>
      <c r="AB282" s="6" t="s">
        <v>75</v>
      </c>
      <c r="AC282" t="s">
        <v>76</v>
      </c>
      <c r="AD282" t="s">
        <v>67</v>
      </c>
      <c r="AE282">
        <v>-21</v>
      </c>
      <c r="AF282">
        <v>0</v>
      </c>
      <c r="AG282">
        <v>0</v>
      </c>
      <c r="AH282" s="6">
        <v>58.9</v>
      </c>
      <c r="AI282" s="6">
        <v>0</v>
      </c>
      <c r="AJ282" s="6">
        <v>0.89300000000000002</v>
      </c>
      <c r="AK282" s="6">
        <v>0.69199999999999995</v>
      </c>
      <c r="AL282" s="8">
        <v>20040.759999999998</v>
      </c>
      <c r="AM282" s="6" t="s">
        <v>114</v>
      </c>
      <c r="AN282" s="6">
        <v>1</v>
      </c>
      <c r="AO282" s="6">
        <v>1</v>
      </c>
      <c r="AP282" s="6">
        <v>0</v>
      </c>
      <c r="AQ282" s="6">
        <v>1</v>
      </c>
      <c r="AR282" s="6">
        <v>0</v>
      </c>
      <c r="AS282" s="6">
        <v>1</v>
      </c>
      <c r="AT282" s="6">
        <v>0</v>
      </c>
      <c r="AU282" s="6">
        <v>2.08</v>
      </c>
      <c r="AV282" s="6">
        <v>1.27</v>
      </c>
      <c r="AW282" s="6">
        <v>130.46</v>
      </c>
      <c r="AX282" s="6">
        <v>23.64</v>
      </c>
      <c r="AY282" s="6">
        <v>100.89</v>
      </c>
      <c r="AZ282" s="6">
        <v>23.2</v>
      </c>
      <c r="BA282" s="6">
        <v>55.8</v>
      </c>
    </row>
    <row r="283" spans="1:53" x14ac:dyDescent="0.3">
      <c r="A283" s="6">
        <v>621475287</v>
      </c>
      <c r="B283" s="6">
        <v>246316</v>
      </c>
      <c r="C283" s="6">
        <v>1352896</v>
      </c>
      <c r="D283" s="6">
        <v>5426</v>
      </c>
      <c r="E283" s="6" t="s">
        <v>185</v>
      </c>
      <c r="F283" s="6">
        <v>57829</v>
      </c>
      <c r="G283" s="6" t="s">
        <v>98</v>
      </c>
      <c r="H283" s="10">
        <v>45718</v>
      </c>
      <c r="I283" s="10">
        <v>45718</v>
      </c>
      <c r="J283" s="4">
        <v>45718.510416666664</v>
      </c>
      <c r="K283" s="4">
        <v>45718.816030092596</v>
      </c>
      <c r="L283" s="11">
        <v>45718.765335648146</v>
      </c>
      <c r="M283" s="10">
        <v>45718</v>
      </c>
      <c r="N283" s="6" t="s">
        <v>129</v>
      </c>
      <c r="O283" t="s">
        <v>130</v>
      </c>
      <c r="P283" s="6" t="s">
        <v>129</v>
      </c>
      <c r="Q283" t="s">
        <v>157</v>
      </c>
      <c r="R283" t="s">
        <v>123</v>
      </c>
      <c r="S283" s="6">
        <v>739365</v>
      </c>
      <c r="T283" s="6" t="s">
        <v>111</v>
      </c>
      <c r="U283">
        <v>420</v>
      </c>
      <c r="V283" s="6">
        <v>4.4000000000000004</v>
      </c>
      <c r="W283" s="6">
        <v>17.600000000000001</v>
      </c>
      <c r="X283" s="6">
        <v>413.6</v>
      </c>
      <c r="Y283" s="6">
        <v>435.6</v>
      </c>
      <c r="Z283" s="6" t="s">
        <v>63</v>
      </c>
      <c r="AA283" t="s">
        <v>468</v>
      </c>
      <c r="AB283" s="6" t="s">
        <v>75</v>
      </c>
      <c r="AC283" t="s">
        <v>91</v>
      </c>
      <c r="AD283" t="s">
        <v>67</v>
      </c>
      <c r="AE283">
        <v>-73</v>
      </c>
      <c r="AF283">
        <v>0</v>
      </c>
      <c r="AG283">
        <v>0</v>
      </c>
      <c r="AH283" s="6">
        <v>89.1</v>
      </c>
      <c r="AI283" s="6">
        <v>0</v>
      </c>
      <c r="AJ283" s="6">
        <v>0.84399999999999997</v>
      </c>
      <c r="AK283" s="6">
        <v>0.502</v>
      </c>
      <c r="AL283" s="8">
        <v>2419.8000000000002</v>
      </c>
      <c r="AM283" s="6" t="s">
        <v>68</v>
      </c>
      <c r="AN283" s="6">
        <v>1</v>
      </c>
      <c r="AO283" s="6">
        <v>1</v>
      </c>
      <c r="AP283" s="6">
        <v>0</v>
      </c>
      <c r="AQ283" s="6">
        <v>1</v>
      </c>
      <c r="AR283" s="6">
        <v>0</v>
      </c>
      <c r="AS283" s="6">
        <v>1</v>
      </c>
      <c r="AT283" s="6">
        <v>0</v>
      </c>
      <c r="AU283" s="6">
        <v>2.4500000000000002</v>
      </c>
      <c r="AV283" s="6">
        <v>1.59</v>
      </c>
      <c r="AW283" s="6">
        <v>342.28</v>
      </c>
      <c r="AX283" s="6">
        <v>52.37</v>
      </c>
      <c r="AY283" s="6">
        <v>309.98</v>
      </c>
      <c r="AZ283" s="6">
        <v>28.1</v>
      </c>
      <c r="BA283" s="6">
        <v>16.899999999999999</v>
      </c>
    </row>
    <row r="284" spans="1:53" x14ac:dyDescent="0.3">
      <c r="A284" s="6">
        <v>751842899</v>
      </c>
      <c r="B284" s="6">
        <v>249811</v>
      </c>
      <c r="C284" s="6">
        <v>2795765</v>
      </c>
      <c r="D284" s="6">
        <v>8392</v>
      </c>
      <c r="E284" s="6" t="s">
        <v>92</v>
      </c>
      <c r="F284" s="6">
        <v>58186</v>
      </c>
      <c r="G284" s="6" t="s">
        <v>203</v>
      </c>
      <c r="H284" s="10">
        <v>45712</v>
      </c>
      <c r="I284" s="10">
        <v>45712</v>
      </c>
      <c r="J284" s="4">
        <v>45712.951388888891</v>
      </c>
      <c r="K284" s="4">
        <v>45713.209432870368</v>
      </c>
      <c r="L284" s="11">
        <v>45713.198321759257</v>
      </c>
      <c r="M284" s="10">
        <v>45713</v>
      </c>
      <c r="N284" s="6" t="s">
        <v>200</v>
      </c>
      <c r="O284" t="s">
        <v>201</v>
      </c>
      <c r="P284" s="6" t="s">
        <v>70</v>
      </c>
      <c r="Q284" t="s">
        <v>72</v>
      </c>
      <c r="R284" t="s">
        <v>73</v>
      </c>
      <c r="S284" s="6">
        <v>758407</v>
      </c>
      <c r="T284" s="6" t="s">
        <v>1</v>
      </c>
      <c r="U284">
        <v>258</v>
      </c>
      <c r="V284" s="6">
        <v>1.7</v>
      </c>
      <c r="W284" s="6">
        <v>22.6</v>
      </c>
      <c r="X284" s="6">
        <v>255.1</v>
      </c>
      <c r="Y284" s="6">
        <v>279.39999999999998</v>
      </c>
      <c r="Z284" s="6" t="s">
        <v>63</v>
      </c>
      <c r="AA284" t="s">
        <v>249</v>
      </c>
      <c r="AB284" s="6" t="s">
        <v>65</v>
      </c>
      <c r="AC284" t="s">
        <v>83</v>
      </c>
      <c r="AD284" t="s">
        <v>67</v>
      </c>
      <c r="AE284">
        <v>-16</v>
      </c>
      <c r="AF284">
        <v>0</v>
      </c>
      <c r="AG284">
        <v>0</v>
      </c>
      <c r="AH284" s="6">
        <v>40</v>
      </c>
      <c r="AI284" s="6">
        <v>0</v>
      </c>
      <c r="AJ284" s="6">
        <v>0.67100000000000004</v>
      </c>
      <c r="AK284" s="6">
        <v>0.46800000000000003</v>
      </c>
      <c r="AL284" s="8">
        <v>921.32</v>
      </c>
      <c r="AM284" s="6" t="s">
        <v>68</v>
      </c>
      <c r="AN284" s="6">
        <v>1</v>
      </c>
      <c r="AO284" s="6">
        <v>1</v>
      </c>
      <c r="AP284" s="6">
        <v>0</v>
      </c>
      <c r="AQ284" s="6">
        <v>1</v>
      </c>
      <c r="AR284" s="6">
        <v>0</v>
      </c>
      <c r="AS284" s="6">
        <v>1</v>
      </c>
      <c r="AT284" s="6">
        <v>0</v>
      </c>
      <c r="AU284" s="6">
        <v>1.75</v>
      </c>
      <c r="AV284" s="6">
        <v>1.05</v>
      </c>
      <c r="AW284" s="6">
        <v>249.81</v>
      </c>
      <c r="AX284" s="6">
        <v>51.48</v>
      </c>
      <c r="AY284" s="6">
        <v>136.27000000000001</v>
      </c>
      <c r="AZ284" s="6">
        <v>11.1</v>
      </c>
      <c r="BA284" s="6">
        <v>15.9</v>
      </c>
    </row>
    <row r="285" spans="1:53" x14ac:dyDescent="0.3">
      <c r="A285" s="6">
        <v>574641329</v>
      </c>
      <c r="B285" s="6">
        <v>263032</v>
      </c>
      <c r="C285" s="6">
        <v>4191175</v>
      </c>
      <c r="D285" s="6">
        <v>6486</v>
      </c>
      <c r="E285" s="6" t="s">
        <v>225</v>
      </c>
      <c r="F285" s="6">
        <v>53983</v>
      </c>
      <c r="G285" s="6" t="s">
        <v>115</v>
      </c>
      <c r="H285" s="10">
        <v>45868</v>
      </c>
      <c r="I285" s="10">
        <v>45868</v>
      </c>
      <c r="J285" s="4">
        <v>45868.329861111109</v>
      </c>
      <c r="K285" s="4">
        <v>45868.626192129632</v>
      </c>
      <c r="L285" s="11">
        <v>45868.649108796293</v>
      </c>
      <c r="M285" s="10">
        <v>45868</v>
      </c>
      <c r="N285" s="6" t="s">
        <v>129</v>
      </c>
      <c r="O285" t="s">
        <v>156</v>
      </c>
      <c r="P285" s="6" t="s">
        <v>150</v>
      </c>
      <c r="Q285" t="s">
        <v>265</v>
      </c>
      <c r="R285" t="s">
        <v>73</v>
      </c>
      <c r="S285" s="6">
        <v>734732</v>
      </c>
      <c r="T285" s="6" t="s">
        <v>111</v>
      </c>
      <c r="U285">
        <v>315</v>
      </c>
      <c r="V285" s="6">
        <v>43</v>
      </c>
      <c r="W285" s="6">
        <v>19.899999999999999</v>
      </c>
      <c r="X285" s="6">
        <v>317.7</v>
      </c>
      <c r="Y285" s="6">
        <v>380.6</v>
      </c>
      <c r="Z285" s="6" t="s">
        <v>215</v>
      </c>
      <c r="AA285" t="s">
        <v>340</v>
      </c>
      <c r="AB285" s="6" t="s">
        <v>97</v>
      </c>
      <c r="AC285" t="s">
        <v>125</v>
      </c>
      <c r="AD285" t="s">
        <v>67</v>
      </c>
      <c r="AE285">
        <v>33</v>
      </c>
      <c r="AF285">
        <v>0</v>
      </c>
      <c r="AG285">
        <v>0</v>
      </c>
      <c r="AH285" s="6">
        <v>60.6</v>
      </c>
      <c r="AI285" s="6">
        <v>0</v>
      </c>
      <c r="AJ285" s="6">
        <v>0.74399999999999999</v>
      </c>
      <c r="AK285" s="6">
        <v>0.28999999999999998</v>
      </c>
      <c r="AL285" s="8">
        <v>74889.490000000005</v>
      </c>
      <c r="AM285" s="6" t="s">
        <v>155</v>
      </c>
      <c r="AN285" s="6">
        <v>1</v>
      </c>
      <c r="AO285" s="6">
        <v>0</v>
      </c>
      <c r="AP285" s="6">
        <v>1</v>
      </c>
      <c r="AQ285" s="6">
        <v>0</v>
      </c>
      <c r="AR285" s="6">
        <v>1</v>
      </c>
      <c r="AS285" s="6">
        <v>0</v>
      </c>
      <c r="AT285" s="6">
        <v>1</v>
      </c>
      <c r="AU285" s="6">
        <v>2.73</v>
      </c>
      <c r="AV285" s="6">
        <v>1.69</v>
      </c>
      <c r="AW285" s="6">
        <v>250.18</v>
      </c>
      <c r="AX285" s="6">
        <v>45.36</v>
      </c>
      <c r="AY285" s="6">
        <v>237.14</v>
      </c>
      <c r="AZ285" s="6">
        <v>13.2</v>
      </c>
      <c r="BA285" s="6">
        <v>19.899999999999999</v>
      </c>
    </row>
    <row r="286" spans="1:53" x14ac:dyDescent="0.3">
      <c r="A286" s="6">
        <v>544726404</v>
      </c>
      <c r="B286" s="6">
        <v>220116</v>
      </c>
      <c r="C286" s="6">
        <v>6933742</v>
      </c>
      <c r="D286" s="6">
        <v>5218</v>
      </c>
      <c r="E286" s="6" t="s">
        <v>57</v>
      </c>
      <c r="F286" s="6">
        <v>56963</v>
      </c>
      <c r="G286" s="6" t="s">
        <v>146</v>
      </c>
      <c r="H286" s="10">
        <v>45897</v>
      </c>
      <c r="I286" s="10">
        <v>45897</v>
      </c>
      <c r="J286" s="4">
        <v>45897.34375</v>
      </c>
      <c r="K286" s="4">
        <v>45897.628159722219</v>
      </c>
      <c r="L286" s="11">
        <v>45897.609409722223</v>
      </c>
      <c r="M286" s="10">
        <v>45897</v>
      </c>
      <c r="N286" s="6" t="s">
        <v>170</v>
      </c>
      <c r="O286" t="s">
        <v>189</v>
      </c>
      <c r="P286" s="6" t="s">
        <v>121</v>
      </c>
      <c r="Q286" t="s">
        <v>237</v>
      </c>
      <c r="R286" t="s">
        <v>123</v>
      </c>
      <c r="S286" s="6">
        <v>739953</v>
      </c>
      <c r="T286" s="6" t="s">
        <v>1</v>
      </c>
      <c r="U286">
        <v>266</v>
      </c>
      <c r="V286" s="6">
        <v>8.8000000000000007</v>
      </c>
      <c r="W286" s="6">
        <v>10.7</v>
      </c>
      <c r="X286" s="6">
        <v>266.2</v>
      </c>
      <c r="Y286" s="6">
        <v>285.7</v>
      </c>
      <c r="Z286" s="6" t="s">
        <v>63</v>
      </c>
      <c r="AA286" t="s">
        <v>469</v>
      </c>
      <c r="AB286" s="6" t="s">
        <v>97</v>
      </c>
      <c r="AC286" t="s">
        <v>137</v>
      </c>
      <c r="AD286" t="s">
        <v>67</v>
      </c>
      <c r="AE286">
        <v>-27</v>
      </c>
      <c r="AF286">
        <v>0</v>
      </c>
      <c r="AG286">
        <v>0</v>
      </c>
      <c r="AH286" s="6">
        <v>73</v>
      </c>
      <c r="AI286" s="6">
        <v>0</v>
      </c>
      <c r="AJ286" s="6">
        <v>0.752</v>
      </c>
      <c r="AK286" s="6">
        <v>0.66</v>
      </c>
      <c r="AL286" s="8">
        <v>5848.49</v>
      </c>
      <c r="AM286" s="6" t="s">
        <v>68</v>
      </c>
      <c r="AN286" s="6">
        <v>1</v>
      </c>
      <c r="AO286" s="6">
        <v>1</v>
      </c>
      <c r="AP286" s="6">
        <v>0</v>
      </c>
      <c r="AQ286" s="6">
        <v>1</v>
      </c>
      <c r="AR286" s="6">
        <v>0</v>
      </c>
      <c r="AS286" s="6">
        <v>1</v>
      </c>
      <c r="AT286" s="6">
        <v>0</v>
      </c>
      <c r="AU286" s="6">
        <v>2.71</v>
      </c>
      <c r="AV286" s="6">
        <v>1.65</v>
      </c>
      <c r="AW286" s="6">
        <v>227.75</v>
      </c>
      <c r="AX286" s="6">
        <v>61.16</v>
      </c>
      <c r="AY286" s="6">
        <v>161.41</v>
      </c>
      <c r="AZ286" s="6">
        <v>31.9</v>
      </c>
      <c r="BA286" s="6">
        <v>42</v>
      </c>
    </row>
    <row r="287" spans="1:53" x14ac:dyDescent="0.3">
      <c r="A287" s="6">
        <v>393310667</v>
      </c>
      <c r="B287" s="6">
        <v>207175</v>
      </c>
      <c r="C287" s="6">
        <v>8077999</v>
      </c>
      <c r="D287" s="6">
        <v>4152</v>
      </c>
      <c r="E287" s="6" t="s">
        <v>142</v>
      </c>
      <c r="F287" s="6">
        <v>56684</v>
      </c>
      <c r="G287" s="6" t="s">
        <v>146</v>
      </c>
      <c r="H287" s="10">
        <v>45729</v>
      </c>
      <c r="I287" s="10">
        <v>45729</v>
      </c>
      <c r="J287" s="4">
        <v>45729.743055555555</v>
      </c>
      <c r="K287" s="4">
        <v>45729.805555555555</v>
      </c>
      <c r="L287" s="11">
        <v>45729.793749999997</v>
      </c>
      <c r="M287" s="10">
        <v>45729</v>
      </c>
      <c r="N287" s="6" t="s">
        <v>59</v>
      </c>
      <c r="O287" t="s">
        <v>85</v>
      </c>
      <c r="P287" s="6" t="s">
        <v>59</v>
      </c>
      <c r="Q287" t="s">
        <v>99</v>
      </c>
      <c r="R287" t="s">
        <v>62</v>
      </c>
      <c r="S287" s="6">
        <v>797593</v>
      </c>
      <c r="T287" s="6" t="s">
        <v>3</v>
      </c>
      <c r="U287">
        <v>32</v>
      </c>
      <c r="V287" s="6">
        <v>30.2</v>
      </c>
      <c r="W287" s="6">
        <v>7.3</v>
      </c>
      <c r="X287" s="6">
        <v>26</v>
      </c>
      <c r="Y287" s="6">
        <v>63.5</v>
      </c>
      <c r="Z287" s="6" t="s">
        <v>112</v>
      </c>
      <c r="AA287" t="s">
        <v>89</v>
      </c>
      <c r="AB287" s="6" t="s">
        <v>90</v>
      </c>
      <c r="AC287" t="s">
        <v>137</v>
      </c>
      <c r="AD287" t="s">
        <v>67</v>
      </c>
      <c r="AE287">
        <v>-17</v>
      </c>
      <c r="AF287">
        <v>0</v>
      </c>
      <c r="AG287">
        <v>0</v>
      </c>
      <c r="AH287" s="6">
        <v>45.3</v>
      </c>
      <c r="AI287" s="6">
        <v>0</v>
      </c>
      <c r="AJ287" s="6">
        <v>0.56000000000000005</v>
      </c>
      <c r="AK287" s="6">
        <v>0.2</v>
      </c>
      <c r="AL287" s="8">
        <v>7265.53</v>
      </c>
      <c r="AM287" s="6" t="s">
        <v>114</v>
      </c>
      <c r="AN287" s="6">
        <v>1</v>
      </c>
      <c r="AO287" s="6">
        <v>1</v>
      </c>
      <c r="AP287" s="6">
        <v>0</v>
      </c>
      <c r="AQ287" s="6">
        <v>1</v>
      </c>
      <c r="AR287" s="6">
        <v>0</v>
      </c>
      <c r="AS287" s="6">
        <v>1</v>
      </c>
      <c r="AT287" s="6">
        <v>0</v>
      </c>
      <c r="AU287" s="6">
        <v>2.4900000000000002</v>
      </c>
      <c r="AV287" s="6">
        <v>1.47</v>
      </c>
      <c r="AW287" s="6">
        <v>53.31</v>
      </c>
      <c r="AX287" s="6">
        <v>13.92</v>
      </c>
      <c r="AY287" s="6">
        <v>32.049999999999997</v>
      </c>
      <c r="AZ287" s="6">
        <v>16.8</v>
      </c>
      <c r="BA287" s="6">
        <v>7.7</v>
      </c>
    </row>
    <row r="288" spans="1:53" x14ac:dyDescent="0.3">
      <c r="A288" s="6">
        <v>331465414</v>
      </c>
      <c r="B288" s="6">
        <v>946335</v>
      </c>
      <c r="C288" s="6">
        <v>1247595</v>
      </c>
      <c r="D288" s="6">
        <v>6675</v>
      </c>
      <c r="E288" s="6" t="s">
        <v>84</v>
      </c>
      <c r="F288" s="6">
        <v>50656</v>
      </c>
      <c r="G288" s="6" t="s">
        <v>102</v>
      </c>
      <c r="H288" s="10">
        <v>45800</v>
      </c>
      <c r="I288" s="10">
        <v>45800</v>
      </c>
      <c r="J288" s="4">
        <v>45800.305555555555</v>
      </c>
      <c r="K288" s="4">
        <v>45800.368055555555</v>
      </c>
      <c r="L288" s="11">
        <v>45800.343055555553</v>
      </c>
      <c r="M288" s="10">
        <v>45800</v>
      </c>
      <c r="N288" s="6" t="s">
        <v>70</v>
      </c>
      <c r="O288" t="s">
        <v>322</v>
      </c>
      <c r="P288" s="6" t="s">
        <v>170</v>
      </c>
      <c r="Q288" t="s">
        <v>183</v>
      </c>
      <c r="R288" t="s">
        <v>62</v>
      </c>
      <c r="S288" s="6">
        <v>722184</v>
      </c>
      <c r="T288" s="6" t="s">
        <v>3</v>
      </c>
      <c r="U288">
        <v>25</v>
      </c>
      <c r="V288" s="6">
        <v>18.899999999999999</v>
      </c>
      <c r="W288" s="6">
        <v>25</v>
      </c>
      <c r="X288" s="6">
        <v>19.8</v>
      </c>
      <c r="Y288" s="6">
        <v>63.7</v>
      </c>
      <c r="Z288" s="6" t="s">
        <v>63</v>
      </c>
      <c r="AA288" t="s">
        <v>470</v>
      </c>
      <c r="AB288" s="6" t="s">
        <v>97</v>
      </c>
      <c r="AC288" t="s">
        <v>154</v>
      </c>
      <c r="AD288" t="s">
        <v>67</v>
      </c>
      <c r="AE288">
        <v>-36</v>
      </c>
      <c r="AF288">
        <v>0</v>
      </c>
      <c r="AG288">
        <v>0</v>
      </c>
      <c r="AH288" s="6">
        <v>68.900000000000006</v>
      </c>
      <c r="AI288" s="6">
        <v>0</v>
      </c>
      <c r="AJ288" s="6">
        <v>0.7</v>
      </c>
      <c r="AK288" s="6">
        <v>0.64</v>
      </c>
      <c r="AL288" s="8">
        <v>2288.7600000000002</v>
      </c>
      <c r="AM288" s="6" t="s">
        <v>68</v>
      </c>
      <c r="AN288" s="6">
        <v>1</v>
      </c>
      <c r="AO288" s="6">
        <v>1</v>
      </c>
      <c r="AP288" s="6">
        <v>0</v>
      </c>
      <c r="AQ288" s="6">
        <v>1</v>
      </c>
      <c r="AR288" s="6">
        <v>0</v>
      </c>
      <c r="AS288" s="6">
        <v>1</v>
      </c>
      <c r="AT288" s="6">
        <v>0</v>
      </c>
      <c r="AU288" s="6">
        <v>2.0099999999999998</v>
      </c>
      <c r="AV288" s="6">
        <v>1.3</v>
      </c>
      <c r="AW288" s="6">
        <v>42.07</v>
      </c>
      <c r="AX288" s="6">
        <v>12.32</v>
      </c>
      <c r="AY288" s="6">
        <v>30.95</v>
      </c>
      <c r="AZ288" s="6">
        <v>32.6</v>
      </c>
      <c r="BA288" s="6">
        <v>7.1</v>
      </c>
    </row>
    <row r="289" spans="1:53" x14ac:dyDescent="0.3">
      <c r="A289" s="6">
        <v>910614025</v>
      </c>
      <c r="B289" s="6">
        <v>913694</v>
      </c>
      <c r="C289" s="6">
        <v>2229110</v>
      </c>
      <c r="D289" s="6">
        <v>8408</v>
      </c>
      <c r="E289" s="6" t="s">
        <v>106</v>
      </c>
      <c r="F289" s="6">
        <v>57743</v>
      </c>
      <c r="G289" s="6" t="s">
        <v>115</v>
      </c>
      <c r="H289" s="10">
        <v>46003</v>
      </c>
      <c r="I289" s="10">
        <v>46003</v>
      </c>
      <c r="J289" s="4">
        <v>46003.3125</v>
      </c>
      <c r="K289" s="4">
        <v>46003.576956018522</v>
      </c>
      <c r="L289" s="11">
        <v>46003.547789351855</v>
      </c>
      <c r="M289" s="10">
        <v>46003</v>
      </c>
      <c r="N289" s="6" t="s">
        <v>129</v>
      </c>
      <c r="O289" t="s">
        <v>241</v>
      </c>
      <c r="P289" s="6" t="s">
        <v>150</v>
      </c>
      <c r="Q289" t="s">
        <v>196</v>
      </c>
      <c r="R289" t="s">
        <v>73</v>
      </c>
      <c r="S289" s="6">
        <v>734732</v>
      </c>
      <c r="T289" s="6" t="s">
        <v>1</v>
      </c>
      <c r="U289">
        <v>314</v>
      </c>
      <c r="V289" s="6">
        <v>0.4</v>
      </c>
      <c r="W289" s="6">
        <v>9.8000000000000007</v>
      </c>
      <c r="X289" s="6">
        <v>314.7</v>
      </c>
      <c r="Y289" s="6">
        <v>324.89999999999998</v>
      </c>
      <c r="Z289" s="6" t="s">
        <v>63</v>
      </c>
      <c r="AA289" t="s">
        <v>471</v>
      </c>
      <c r="AB289" s="6" t="s">
        <v>97</v>
      </c>
      <c r="AC289" t="s">
        <v>154</v>
      </c>
      <c r="AD289" t="s">
        <v>67</v>
      </c>
      <c r="AE289">
        <v>-42</v>
      </c>
      <c r="AF289">
        <v>0</v>
      </c>
      <c r="AG289">
        <v>0</v>
      </c>
      <c r="AH289" s="6">
        <v>42.1</v>
      </c>
      <c r="AI289" s="6">
        <v>0</v>
      </c>
      <c r="AJ289" s="6">
        <v>0.63200000000000001</v>
      </c>
      <c r="AK289" s="6">
        <v>0.875</v>
      </c>
      <c r="AL289" s="8">
        <v>3241.42</v>
      </c>
      <c r="AM289" s="6" t="s">
        <v>68</v>
      </c>
      <c r="AN289" s="6">
        <v>1</v>
      </c>
      <c r="AO289" s="6">
        <v>1</v>
      </c>
      <c r="AP289" s="6">
        <v>0</v>
      </c>
      <c r="AQ289" s="6">
        <v>1</v>
      </c>
      <c r="AR289" s="6">
        <v>0</v>
      </c>
      <c r="AS289" s="6">
        <v>1</v>
      </c>
      <c r="AT289" s="6">
        <v>0</v>
      </c>
      <c r="AU289" s="6">
        <v>2.27</v>
      </c>
      <c r="AV289" s="6">
        <v>1.79</v>
      </c>
      <c r="AW289" s="6">
        <v>251.47</v>
      </c>
      <c r="AX289" s="6">
        <v>33.53</v>
      </c>
      <c r="AY289" s="6">
        <v>176.41</v>
      </c>
      <c r="AZ289" s="6">
        <v>9.1</v>
      </c>
      <c r="BA289" s="6">
        <v>56.6</v>
      </c>
    </row>
    <row r="290" spans="1:53" x14ac:dyDescent="0.3">
      <c r="A290" s="6">
        <v>650127661</v>
      </c>
      <c r="B290" s="6">
        <v>903035</v>
      </c>
      <c r="C290" s="6">
        <v>7110622</v>
      </c>
      <c r="D290" s="6">
        <v>3200</v>
      </c>
      <c r="E290" s="6" t="s">
        <v>92</v>
      </c>
      <c r="F290" s="6">
        <v>56839</v>
      </c>
      <c r="G290" s="6" t="s">
        <v>98</v>
      </c>
      <c r="H290" s="10">
        <v>45748</v>
      </c>
      <c r="I290" s="10">
        <v>45748</v>
      </c>
      <c r="J290" s="4">
        <v>45748.53125</v>
      </c>
      <c r="K290" s="4">
        <v>45748.739212962966</v>
      </c>
      <c r="L290" s="11">
        <v>45748.721851851849</v>
      </c>
      <c r="M290" s="10">
        <v>45748</v>
      </c>
      <c r="N290" s="6" t="s">
        <v>103</v>
      </c>
      <c r="O290" t="s">
        <v>232</v>
      </c>
      <c r="P290" s="6" t="s">
        <v>103</v>
      </c>
      <c r="Q290" t="s">
        <v>285</v>
      </c>
      <c r="R290" t="s">
        <v>73</v>
      </c>
      <c r="S290" s="6">
        <v>783084</v>
      </c>
      <c r="T290" s="6" t="s">
        <v>1</v>
      </c>
      <c r="U290">
        <v>310</v>
      </c>
      <c r="V290" s="6">
        <v>26.5</v>
      </c>
      <c r="W290" s="6">
        <v>46.1</v>
      </c>
      <c r="X290" s="6">
        <v>304.10000000000002</v>
      </c>
      <c r="Y290" s="6">
        <v>376.7</v>
      </c>
      <c r="Z290" s="6" t="s">
        <v>2</v>
      </c>
      <c r="AA290" t="s">
        <v>258</v>
      </c>
      <c r="AB290" s="6" t="s">
        <v>75</v>
      </c>
      <c r="AC290" t="s">
        <v>66</v>
      </c>
      <c r="AD290" t="s">
        <v>67</v>
      </c>
      <c r="AE290">
        <v>-25</v>
      </c>
      <c r="AF290">
        <v>33</v>
      </c>
      <c r="AG290">
        <v>0</v>
      </c>
      <c r="AH290" s="6">
        <v>55.8</v>
      </c>
      <c r="AI290" s="6">
        <v>0</v>
      </c>
      <c r="AJ290" s="6">
        <v>0.64</v>
      </c>
      <c r="AK290" s="6">
        <v>0.53300000000000003</v>
      </c>
      <c r="AL290" s="8">
        <v>21038.53</v>
      </c>
      <c r="AM290" s="6" t="s">
        <v>114</v>
      </c>
      <c r="AN290" s="6">
        <v>1</v>
      </c>
      <c r="AO290" s="6">
        <v>1</v>
      </c>
      <c r="AP290" s="6">
        <v>0</v>
      </c>
      <c r="AQ290" s="6">
        <v>1</v>
      </c>
      <c r="AR290" s="6">
        <v>0</v>
      </c>
      <c r="AS290" s="6">
        <v>1</v>
      </c>
      <c r="AT290" s="6">
        <v>0</v>
      </c>
      <c r="AU290" s="6">
        <v>2.39</v>
      </c>
      <c r="AV290" s="6">
        <v>1.89</v>
      </c>
      <c r="AW290" s="6">
        <v>243.59</v>
      </c>
      <c r="AX290" s="6">
        <v>59.49</v>
      </c>
      <c r="AY290" s="6">
        <v>190.46</v>
      </c>
      <c r="AZ290" s="6">
        <v>26.8</v>
      </c>
      <c r="BA290" s="6">
        <v>0.7</v>
      </c>
    </row>
    <row r="291" spans="1:53" x14ac:dyDescent="0.3">
      <c r="A291" s="6">
        <v>222210617</v>
      </c>
      <c r="B291" s="6">
        <v>733052</v>
      </c>
      <c r="C291" s="6">
        <v>2642635</v>
      </c>
      <c r="D291" s="6">
        <v>8989</v>
      </c>
      <c r="E291" s="6" t="s">
        <v>84</v>
      </c>
      <c r="F291" s="6">
        <v>59988</v>
      </c>
      <c r="G291" s="6" t="s">
        <v>69</v>
      </c>
      <c r="H291" s="10">
        <v>45901</v>
      </c>
      <c r="I291" s="10">
        <v>45901</v>
      </c>
      <c r="J291" s="4">
        <v>45901.597222222219</v>
      </c>
      <c r="K291" s="4">
        <v>45901.659722222219</v>
      </c>
      <c r="L291" s="11">
        <v>45901.656944444447</v>
      </c>
      <c r="M291" s="10">
        <v>45901</v>
      </c>
      <c r="N291" s="6" t="s">
        <v>59</v>
      </c>
      <c r="O291" t="s">
        <v>99</v>
      </c>
      <c r="P291" s="6" t="s">
        <v>134</v>
      </c>
      <c r="Q291" t="s">
        <v>248</v>
      </c>
      <c r="R291" t="s">
        <v>73</v>
      </c>
      <c r="S291" s="6">
        <v>745838</v>
      </c>
      <c r="T291" s="6" t="s">
        <v>3</v>
      </c>
      <c r="U291">
        <v>25</v>
      </c>
      <c r="V291" s="6">
        <v>18.8</v>
      </c>
      <c r="W291" s="6">
        <v>33.799999999999997</v>
      </c>
      <c r="X291" s="6">
        <v>19.600000000000001</v>
      </c>
      <c r="Y291" s="6">
        <v>72.2</v>
      </c>
      <c r="Z291" s="6" t="s">
        <v>2</v>
      </c>
      <c r="AA291" t="s">
        <v>472</v>
      </c>
      <c r="AB291" s="6" t="s">
        <v>90</v>
      </c>
      <c r="AC291" t="s">
        <v>83</v>
      </c>
      <c r="AD291" t="s">
        <v>67</v>
      </c>
      <c r="AE291">
        <v>-4</v>
      </c>
      <c r="AF291">
        <v>0</v>
      </c>
      <c r="AG291">
        <v>0</v>
      </c>
      <c r="AH291" s="6">
        <v>37.700000000000003</v>
      </c>
      <c r="AI291" s="6">
        <v>0</v>
      </c>
      <c r="AJ291" s="6">
        <v>0.57099999999999995</v>
      </c>
      <c r="AK291" s="6">
        <v>0.71899999999999997</v>
      </c>
      <c r="AL291" s="8">
        <v>3633.18</v>
      </c>
      <c r="AM291" s="6" t="s">
        <v>68</v>
      </c>
      <c r="AN291" s="6">
        <v>1</v>
      </c>
      <c r="AO291" s="6">
        <v>1</v>
      </c>
      <c r="AP291" s="6">
        <v>0</v>
      </c>
      <c r="AQ291" s="6">
        <v>1</v>
      </c>
      <c r="AR291" s="6">
        <v>0</v>
      </c>
      <c r="AS291" s="6">
        <v>1</v>
      </c>
      <c r="AT291" s="6">
        <v>0</v>
      </c>
      <c r="AU291" s="6">
        <v>2.67</v>
      </c>
      <c r="AV291" s="6">
        <v>2.0499999999999998</v>
      </c>
      <c r="AW291" s="6">
        <v>56.85</v>
      </c>
      <c r="AX291" s="6">
        <v>10.74</v>
      </c>
      <c r="AY291" s="6">
        <v>50.95</v>
      </c>
      <c r="AZ291" s="6">
        <v>11.9</v>
      </c>
      <c r="BA291" s="6">
        <v>19.5</v>
      </c>
    </row>
    <row r="292" spans="1:53" x14ac:dyDescent="0.3">
      <c r="A292" s="6">
        <v>470626529</v>
      </c>
      <c r="B292" s="6">
        <v>391704</v>
      </c>
      <c r="C292" s="6">
        <v>7897151</v>
      </c>
      <c r="D292" s="6">
        <v>4556</v>
      </c>
      <c r="E292" s="6" t="s">
        <v>84</v>
      </c>
      <c r="F292" s="6">
        <v>56312</v>
      </c>
      <c r="G292" s="6" t="s">
        <v>102</v>
      </c>
      <c r="H292" s="10">
        <v>45928</v>
      </c>
      <c r="I292" s="10">
        <v>45928</v>
      </c>
      <c r="J292" s="4">
        <v>45928.28125</v>
      </c>
      <c r="K292" s="4">
        <v>45928.49013888889</v>
      </c>
      <c r="L292" s="11">
        <v>45928.474166666667</v>
      </c>
      <c r="M292" s="10">
        <v>45928</v>
      </c>
      <c r="N292" s="6" t="s">
        <v>93</v>
      </c>
      <c r="O292" t="s">
        <v>290</v>
      </c>
      <c r="P292" s="6" t="s">
        <v>59</v>
      </c>
      <c r="Q292" t="s">
        <v>61</v>
      </c>
      <c r="R292" t="s">
        <v>62</v>
      </c>
      <c r="S292" s="6">
        <v>756614</v>
      </c>
      <c r="T292" s="6" t="s">
        <v>1</v>
      </c>
      <c r="U292">
        <v>200</v>
      </c>
      <c r="V292" s="6">
        <v>36.5</v>
      </c>
      <c r="W292" s="6">
        <v>2.8</v>
      </c>
      <c r="X292" s="6">
        <v>196.6</v>
      </c>
      <c r="Y292" s="6">
        <v>235.9</v>
      </c>
      <c r="Z292" s="6" t="s">
        <v>215</v>
      </c>
      <c r="AA292" t="s">
        <v>96</v>
      </c>
      <c r="AB292" s="6" t="s">
        <v>97</v>
      </c>
      <c r="AC292" t="s">
        <v>91</v>
      </c>
      <c r="AD292" t="s">
        <v>67</v>
      </c>
      <c r="AE292">
        <v>-23</v>
      </c>
      <c r="AF292">
        <v>0</v>
      </c>
      <c r="AG292">
        <v>0</v>
      </c>
      <c r="AH292" s="6">
        <v>57.6</v>
      </c>
      <c r="AI292" s="6">
        <v>0</v>
      </c>
      <c r="AJ292" s="6">
        <v>0.68600000000000005</v>
      </c>
      <c r="AK292" s="6">
        <v>0.70299999999999996</v>
      </c>
      <c r="AL292" s="8">
        <v>55681.15</v>
      </c>
      <c r="AM292" s="6" t="s">
        <v>155</v>
      </c>
      <c r="AN292" s="6">
        <v>1</v>
      </c>
      <c r="AO292" s="6">
        <v>1</v>
      </c>
      <c r="AP292" s="6">
        <v>0</v>
      </c>
      <c r="AQ292" s="6">
        <v>1</v>
      </c>
      <c r="AR292" s="6">
        <v>0</v>
      </c>
      <c r="AS292" s="6">
        <v>1</v>
      </c>
      <c r="AT292" s="6">
        <v>0</v>
      </c>
      <c r="AU292" s="6">
        <v>2.75</v>
      </c>
      <c r="AV292" s="6">
        <v>1.6</v>
      </c>
      <c r="AW292" s="6">
        <v>177.55</v>
      </c>
      <c r="AX292" s="6">
        <v>46.22</v>
      </c>
      <c r="AY292" s="6">
        <v>127.09</v>
      </c>
      <c r="AZ292" s="6">
        <v>11.3</v>
      </c>
      <c r="BA292" s="6">
        <v>35.700000000000003</v>
      </c>
    </row>
    <row r="293" spans="1:53" x14ac:dyDescent="0.3">
      <c r="A293" s="6">
        <v>561616250</v>
      </c>
      <c r="B293" s="6">
        <v>854639</v>
      </c>
      <c r="C293" s="6">
        <v>7417985</v>
      </c>
      <c r="D293" s="6">
        <v>3811</v>
      </c>
      <c r="E293" s="6" t="s">
        <v>142</v>
      </c>
      <c r="F293" s="6">
        <v>57938</v>
      </c>
      <c r="G293" s="6" t="s">
        <v>127</v>
      </c>
      <c r="H293" s="10">
        <v>45821</v>
      </c>
      <c r="I293" s="10">
        <v>45821</v>
      </c>
      <c r="J293" s="4">
        <v>45821.75</v>
      </c>
      <c r="K293" s="4">
        <v>45821.846053240741</v>
      </c>
      <c r="L293" s="11">
        <v>45821.827997685185</v>
      </c>
      <c r="M293" s="10">
        <v>45821</v>
      </c>
      <c r="N293" s="6" t="s">
        <v>132</v>
      </c>
      <c r="O293" t="s">
        <v>229</v>
      </c>
      <c r="P293" s="6" t="s">
        <v>93</v>
      </c>
      <c r="Q293" t="s">
        <v>94</v>
      </c>
      <c r="R293" t="s">
        <v>73</v>
      </c>
      <c r="S293" s="6">
        <v>780769</v>
      </c>
      <c r="T293" s="6" t="s">
        <v>1</v>
      </c>
      <c r="U293">
        <v>145</v>
      </c>
      <c r="V293" s="6">
        <v>7.3</v>
      </c>
      <c r="W293" s="6">
        <v>29.4</v>
      </c>
      <c r="X293" s="6">
        <v>139.19999999999999</v>
      </c>
      <c r="Y293" s="6">
        <v>175.9</v>
      </c>
      <c r="Z293" s="6" t="s">
        <v>63</v>
      </c>
      <c r="AA293" t="s">
        <v>364</v>
      </c>
      <c r="AB293" s="6" t="s">
        <v>65</v>
      </c>
      <c r="AC293" t="s">
        <v>154</v>
      </c>
      <c r="AD293" t="s">
        <v>67</v>
      </c>
      <c r="AE293">
        <v>-26</v>
      </c>
      <c r="AF293">
        <v>0</v>
      </c>
      <c r="AG293">
        <v>0</v>
      </c>
      <c r="AH293" s="6">
        <v>55.8</v>
      </c>
      <c r="AI293" s="6">
        <v>0</v>
      </c>
      <c r="AJ293" s="6">
        <v>0.46800000000000003</v>
      </c>
      <c r="AK293" s="6">
        <v>0.57599999999999996</v>
      </c>
      <c r="AL293" s="8">
        <v>12151.92</v>
      </c>
      <c r="AM293" s="6" t="s">
        <v>114</v>
      </c>
      <c r="AN293" s="6">
        <v>1</v>
      </c>
      <c r="AO293" s="6">
        <v>1</v>
      </c>
      <c r="AP293" s="6">
        <v>0</v>
      </c>
      <c r="AQ293" s="6">
        <v>1</v>
      </c>
      <c r="AR293" s="6">
        <v>0</v>
      </c>
      <c r="AS293" s="6">
        <v>1</v>
      </c>
      <c r="AT293" s="6">
        <v>0</v>
      </c>
      <c r="AU293" s="6">
        <v>1.99</v>
      </c>
      <c r="AV293" s="6">
        <v>1.17</v>
      </c>
      <c r="AW293" s="6">
        <v>123.03</v>
      </c>
      <c r="AX293" s="6">
        <v>23.65</v>
      </c>
      <c r="AY293" s="6">
        <v>88.41</v>
      </c>
      <c r="AZ293" s="6">
        <v>11.8</v>
      </c>
      <c r="BA293" s="6">
        <v>14.9</v>
      </c>
    </row>
    <row r="294" spans="1:53" x14ac:dyDescent="0.3">
      <c r="A294" s="6">
        <v>219066986</v>
      </c>
      <c r="B294" s="6">
        <v>961722</v>
      </c>
      <c r="C294" s="6">
        <v>5449324</v>
      </c>
      <c r="D294" s="6">
        <v>7019</v>
      </c>
      <c r="E294" s="6" t="s">
        <v>106</v>
      </c>
      <c r="F294" s="6">
        <v>59954</v>
      </c>
      <c r="G294" s="6" t="s">
        <v>164</v>
      </c>
      <c r="H294" s="10">
        <v>46000</v>
      </c>
      <c r="I294" s="10">
        <v>46000</v>
      </c>
      <c r="J294" s="4">
        <v>46000.579861111109</v>
      </c>
      <c r="K294" s="4">
        <v>46000.832974537036</v>
      </c>
      <c r="L294" s="11">
        <v>46000.828113425923</v>
      </c>
      <c r="M294" s="10">
        <v>46000</v>
      </c>
      <c r="N294" s="6" t="s">
        <v>109</v>
      </c>
      <c r="O294" t="s">
        <v>198</v>
      </c>
      <c r="P294" s="6" t="s">
        <v>121</v>
      </c>
      <c r="Q294" t="s">
        <v>122</v>
      </c>
      <c r="R294" t="s">
        <v>123</v>
      </c>
      <c r="S294" s="6">
        <v>757961</v>
      </c>
      <c r="T294" s="6" t="s">
        <v>1</v>
      </c>
      <c r="U294">
        <v>209</v>
      </c>
      <c r="V294" s="6">
        <v>5.9</v>
      </c>
      <c r="W294" s="6">
        <v>37.4</v>
      </c>
      <c r="X294" s="6">
        <v>209.6</v>
      </c>
      <c r="Y294" s="6">
        <v>252.9</v>
      </c>
      <c r="Z294" s="6" t="s">
        <v>2</v>
      </c>
      <c r="AA294" t="s">
        <v>184</v>
      </c>
      <c r="AB294" s="6" t="s">
        <v>75</v>
      </c>
      <c r="AC294" t="s">
        <v>66</v>
      </c>
      <c r="AD294" t="s">
        <v>67</v>
      </c>
      <c r="AE294">
        <v>-7</v>
      </c>
      <c r="AF294">
        <v>0</v>
      </c>
      <c r="AG294">
        <v>0</v>
      </c>
      <c r="AH294" s="6">
        <v>81.400000000000006</v>
      </c>
      <c r="AI294" s="6">
        <v>0</v>
      </c>
      <c r="AJ294" s="6">
        <v>0.503</v>
      </c>
      <c r="AK294" s="6">
        <v>0.64</v>
      </c>
      <c r="AL294" s="8">
        <v>60883.57</v>
      </c>
      <c r="AM294" s="6" t="s">
        <v>155</v>
      </c>
      <c r="AN294" s="6">
        <v>1</v>
      </c>
      <c r="AO294" s="6">
        <v>1</v>
      </c>
      <c r="AP294" s="6">
        <v>0</v>
      </c>
      <c r="AQ294" s="6">
        <v>1</v>
      </c>
      <c r="AR294" s="6">
        <v>0</v>
      </c>
      <c r="AS294" s="6">
        <v>1</v>
      </c>
      <c r="AT294" s="6">
        <v>0</v>
      </c>
      <c r="AU294" s="6">
        <v>2.58</v>
      </c>
      <c r="AV294" s="6">
        <v>1.5</v>
      </c>
      <c r="AW294" s="6">
        <v>221.52</v>
      </c>
      <c r="AX294" s="6">
        <v>37.01</v>
      </c>
      <c r="AY294" s="6">
        <v>168.11</v>
      </c>
      <c r="AZ294" s="6">
        <v>12.7</v>
      </c>
      <c r="BA294" s="6">
        <v>7.1</v>
      </c>
    </row>
    <row r="295" spans="1:53" x14ac:dyDescent="0.3">
      <c r="A295" s="6">
        <v>404133583</v>
      </c>
      <c r="B295" s="6">
        <v>903035</v>
      </c>
      <c r="C295" s="6">
        <v>7110622</v>
      </c>
      <c r="D295" s="6">
        <v>3200</v>
      </c>
      <c r="E295" s="6" t="s">
        <v>92</v>
      </c>
      <c r="F295" s="6">
        <v>56176</v>
      </c>
      <c r="G295" s="6" t="s">
        <v>69</v>
      </c>
      <c r="H295" s="10">
        <v>45926</v>
      </c>
      <c r="I295" s="10">
        <v>45926</v>
      </c>
      <c r="J295" s="4">
        <v>45926.878472222219</v>
      </c>
      <c r="K295" s="4">
        <v>45927.327048611114</v>
      </c>
      <c r="L295" s="11">
        <v>45927.447881944441</v>
      </c>
      <c r="M295" s="10">
        <v>45927</v>
      </c>
      <c r="N295" s="6" t="s">
        <v>109</v>
      </c>
      <c r="O295" t="s">
        <v>198</v>
      </c>
      <c r="P295" s="6" t="s">
        <v>109</v>
      </c>
      <c r="Q295" t="s">
        <v>193</v>
      </c>
      <c r="R295" t="s">
        <v>88</v>
      </c>
      <c r="S295" s="6">
        <v>705397</v>
      </c>
      <c r="T295" s="6" t="s">
        <v>111</v>
      </c>
      <c r="U295">
        <v>480</v>
      </c>
      <c r="V295" s="6">
        <v>6.3</v>
      </c>
      <c r="W295" s="6">
        <v>17.399999999999999</v>
      </c>
      <c r="X295" s="6">
        <v>478.2</v>
      </c>
      <c r="Y295" s="6">
        <v>501.9</v>
      </c>
      <c r="Z295" s="6" t="s">
        <v>2</v>
      </c>
      <c r="AA295" t="s">
        <v>473</v>
      </c>
      <c r="AB295" s="6" t="s">
        <v>65</v>
      </c>
      <c r="AC295" t="s">
        <v>154</v>
      </c>
      <c r="AD295" t="s">
        <v>206</v>
      </c>
      <c r="AE295">
        <v>174</v>
      </c>
      <c r="AF295">
        <v>178</v>
      </c>
      <c r="AG295">
        <v>0</v>
      </c>
      <c r="AH295" s="6">
        <v>81</v>
      </c>
      <c r="AI295" s="6">
        <v>0</v>
      </c>
      <c r="AJ295" s="6">
        <v>0.59299999999999997</v>
      </c>
      <c r="AK295" s="6">
        <v>0.67200000000000004</v>
      </c>
      <c r="AL295" s="8">
        <v>11422.21</v>
      </c>
      <c r="AM295" s="6" t="s">
        <v>114</v>
      </c>
      <c r="AN295" s="6">
        <v>1</v>
      </c>
      <c r="AO295" s="6">
        <v>0</v>
      </c>
      <c r="AP295" s="6">
        <v>1</v>
      </c>
      <c r="AQ295" s="6">
        <v>0</v>
      </c>
      <c r="AR295" s="6">
        <v>1</v>
      </c>
      <c r="AS295" s="6">
        <v>0</v>
      </c>
      <c r="AT295" s="6">
        <v>1</v>
      </c>
      <c r="AU295" s="6">
        <v>2.2000000000000002</v>
      </c>
      <c r="AV295" s="6">
        <v>1.45</v>
      </c>
      <c r="AW295" s="6">
        <v>368.66</v>
      </c>
      <c r="AX295" s="6">
        <v>55.82</v>
      </c>
      <c r="AY295" s="6">
        <v>290.81</v>
      </c>
      <c r="AZ295" s="6">
        <v>26.8</v>
      </c>
      <c r="BA295" s="6">
        <v>9.9</v>
      </c>
    </row>
    <row r="296" spans="1:53" x14ac:dyDescent="0.3">
      <c r="A296" s="6">
        <v>828230915</v>
      </c>
      <c r="B296" s="6">
        <v>944962</v>
      </c>
      <c r="C296" s="6">
        <v>2016911</v>
      </c>
      <c r="D296" s="6">
        <v>9792</v>
      </c>
      <c r="E296" s="6" t="s">
        <v>185</v>
      </c>
      <c r="F296" s="6">
        <v>53285</v>
      </c>
      <c r="G296" s="6" t="s">
        <v>146</v>
      </c>
      <c r="H296" s="10">
        <v>45825</v>
      </c>
      <c r="I296" s="10">
        <v>45825</v>
      </c>
      <c r="J296" s="4">
        <v>45825.545138888891</v>
      </c>
      <c r="K296" s="4">
        <v>45825.98678240741</v>
      </c>
      <c r="L296" s="11">
        <v>45825.978449074071</v>
      </c>
      <c r="M296" s="10">
        <v>45825</v>
      </c>
      <c r="N296" s="6" t="s">
        <v>121</v>
      </c>
      <c r="O296" t="s">
        <v>195</v>
      </c>
      <c r="P296" s="6" t="s">
        <v>86</v>
      </c>
      <c r="Q296" t="s">
        <v>87</v>
      </c>
      <c r="R296" t="s">
        <v>88</v>
      </c>
      <c r="S296" s="6">
        <v>781681</v>
      </c>
      <c r="T296" s="6" t="s">
        <v>111</v>
      </c>
      <c r="U296">
        <v>508</v>
      </c>
      <c r="V296" s="6">
        <v>40.1</v>
      </c>
      <c r="W296" s="6">
        <v>23.3</v>
      </c>
      <c r="X296" s="6">
        <v>516.4</v>
      </c>
      <c r="Y296" s="6">
        <v>579.79999999999995</v>
      </c>
      <c r="Z296" s="6" t="s">
        <v>63</v>
      </c>
      <c r="AA296" t="s">
        <v>474</v>
      </c>
      <c r="AB296" s="6" t="s">
        <v>75</v>
      </c>
      <c r="AC296" t="s">
        <v>66</v>
      </c>
      <c r="AD296" t="s">
        <v>67</v>
      </c>
      <c r="AE296">
        <v>-12</v>
      </c>
      <c r="AF296">
        <v>47</v>
      </c>
      <c r="AG296">
        <v>0.4</v>
      </c>
      <c r="AH296" s="6">
        <v>64.5</v>
      </c>
      <c r="AI296" s="6">
        <v>0</v>
      </c>
      <c r="AJ296" s="6">
        <v>0.59599999999999997</v>
      </c>
      <c r="AK296" s="6">
        <v>0.64400000000000002</v>
      </c>
      <c r="AL296" s="8">
        <v>5561.46</v>
      </c>
      <c r="AM296" s="6" t="s">
        <v>68</v>
      </c>
      <c r="AN296" s="6">
        <v>1</v>
      </c>
      <c r="AO296" s="6">
        <v>1</v>
      </c>
      <c r="AP296" s="6">
        <v>0</v>
      </c>
      <c r="AQ296" s="6">
        <v>1</v>
      </c>
      <c r="AR296" s="6">
        <v>0</v>
      </c>
      <c r="AS296" s="6">
        <v>1</v>
      </c>
      <c r="AT296" s="6">
        <v>0</v>
      </c>
      <c r="AU296" s="6">
        <v>2.42</v>
      </c>
      <c r="AV296" s="6">
        <v>1.93</v>
      </c>
      <c r="AW296" s="6">
        <v>481.2</v>
      </c>
      <c r="AX296" s="6">
        <v>81.819999999999993</v>
      </c>
      <c r="AY296" s="6">
        <v>395.7</v>
      </c>
      <c r="AZ296" s="6">
        <v>11.5</v>
      </c>
      <c r="BA296" s="6">
        <v>15.6</v>
      </c>
    </row>
    <row r="297" spans="1:53" x14ac:dyDescent="0.3">
      <c r="A297" s="6">
        <v>828519068</v>
      </c>
      <c r="B297" s="6">
        <v>195325</v>
      </c>
      <c r="C297" s="6">
        <v>3194789</v>
      </c>
      <c r="D297" s="6">
        <v>7585</v>
      </c>
      <c r="E297" s="6" t="s">
        <v>185</v>
      </c>
      <c r="F297" s="6">
        <v>59777</v>
      </c>
      <c r="G297" s="6" t="s">
        <v>127</v>
      </c>
      <c r="H297" s="10">
        <v>45865</v>
      </c>
      <c r="I297" s="10">
        <v>45865</v>
      </c>
      <c r="J297" s="4">
        <v>45865.329861111109</v>
      </c>
      <c r="K297" s="4">
        <v>45865.566666666666</v>
      </c>
      <c r="L297" s="11">
        <v>45865.572222222225</v>
      </c>
      <c r="M297" s="10">
        <v>45865</v>
      </c>
      <c r="N297" s="6" t="s">
        <v>129</v>
      </c>
      <c r="O297" t="s">
        <v>157</v>
      </c>
      <c r="P297" s="6" t="s">
        <v>121</v>
      </c>
      <c r="Q297" t="s">
        <v>237</v>
      </c>
      <c r="R297" t="s">
        <v>123</v>
      </c>
      <c r="S297" s="6">
        <v>775399</v>
      </c>
      <c r="T297" s="6" t="s">
        <v>1</v>
      </c>
      <c r="U297">
        <v>241</v>
      </c>
      <c r="V297" s="6">
        <v>17.7</v>
      </c>
      <c r="W297" s="6">
        <v>7.3</v>
      </c>
      <c r="X297" s="6">
        <v>234</v>
      </c>
      <c r="Y297" s="6">
        <v>259</v>
      </c>
      <c r="Z297" s="6" t="s">
        <v>63</v>
      </c>
      <c r="AA297" t="s">
        <v>475</v>
      </c>
      <c r="AB297" s="6" t="s">
        <v>97</v>
      </c>
      <c r="AC297" t="s">
        <v>91</v>
      </c>
      <c r="AD297" t="s">
        <v>67</v>
      </c>
      <c r="AE297">
        <v>8</v>
      </c>
      <c r="AF297">
        <v>0</v>
      </c>
      <c r="AG297">
        <v>0</v>
      </c>
      <c r="AH297" s="6">
        <v>72.099999999999994</v>
      </c>
      <c r="AI297" s="6">
        <v>0</v>
      </c>
      <c r="AJ297" s="6">
        <v>0.56100000000000005</v>
      </c>
      <c r="AK297" s="6">
        <v>0.83599999999999997</v>
      </c>
      <c r="AL297" s="8">
        <v>4923.13</v>
      </c>
      <c r="AM297" s="6" t="s">
        <v>68</v>
      </c>
      <c r="AN297" s="6">
        <v>1</v>
      </c>
      <c r="AO297" s="6">
        <v>1</v>
      </c>
      <c r="AP297" s="6">
        <v>0</v>
      </c>
      <c r="AQ297" s="6">
        <v>1</v>
      </c>
      <c r="AR297" s="6">
        <v>0</v>
      </c>
      <c r="AS297" s="6">
        <v>1</v>
      </c>
      <c r="AT297" s="6">
        <v>0</v>
      </c>
      <c r="AU297" s="6">
        <v>2.2200000000000002</v>
      </c>
      <c r="AV297" s="6">
        <v>1.73</v>
      </c>
      <c r="AW297" s="6">
        <v>222.02</v>
      </c>
      <c r="AX297" s="6">
        <v>56.17</v>
      </c>
      <c r="AY297" s="6">
        <v>176.44</v>
      </c>
      <c r="AZ297" s="6">
        <v>15</v>
      </c>
      <c r="BA297" s="6">
        <v>39</v>
      </c>
    </row>
    <row r="298" spans="1:53" x14ac:dyDescent="0.3">
      <c r="A298" s="6">
        <v>736873048</v>
      </c>
      <c r="B298" s="6">
        <v>946335</v>
      </c>
      <c r="C298" s="6">
        <v>1247595</v>
      </c>
      <c r="D298" s="6">
        <v>6675</v>
      </c>
      <c r="E298" s="6" t="s">
        <v>84</v>
      </c>
      <c r="F298" s="6">
        <v>55559</v>
      </c>
      <c r="G298" s="6" t="s">
        <v>175</v>
      </c>
      <c r="H298" s="10">
        <v>45910</v>
      </c>
      <c r="I298" s="10">
        <v>45910</v>
      </c>
      <c r="J298" s="4">
        <v>45910.364583333336</v>
      </c>
      <c r="K298" s="4">
        <v>45910.66097222222</v>
      </c>
      <c r="L298" s="11">
        <v>45910.664444444446</v>
      </c>
      <c r="M298" s="10">
        <v>45910</v>
      </c>
      <c r="N298" s="6" t="s">
        <v>109</v>
      </c>
      <c r="O298" t="s">
        <v>198</v>
      </c>
      <c r="P298" s="6" t="s">
        <v>78</v>
      </c>
      <c r="Q298" t="s">
        <v>222</v>
      </c>
      <c r="R298" t="s">
        <v>88</v>
      </c>
      <c r="S298" s="6">
        <v>717088</v>
      </c>
      <c r="T298" s="6" t="s">
        <v>111</v>
      </c>
      <c r="U298">
        <v>371</v>
      </c>
      <c r="V298" s="6">
        <v>43.3</v>
      </c>
      <c r="W298" s="6">
        <v>7.1</v>
      </c>
      <c r="X298" s="6">
        <v>377.9</v>
      </c>
      <c r="Y298" s="6">
        <v>428.3</v>
      </c>
      <c r="Z298" s="6" t="s">
        <v>63</v>
      </c>
      <c r="AA298" t="s">
        <v>476</v>
      </c>
      <c r="AB298" s="6" t="s">
        <v>97</v>
      </c>
      <c r="AC298" t="s">
        <v>125</v>
      </c>
      <c r="AD298" t="s">
        <v>67</v>
      </c>
      <c r="AE298">
        <v>5</v>
      </c>
      <c r="AF298">
        <v>0</v>
      </c>
      <c r="AG298">
        <v>0</v>
      </c>
      <c r="AH298" s="6">
        <v>41</v>
      </c>
      <c r="AI298" s="6">
        <v>0</v>
      </c>
      <c r="AJ298" s="6">
        <v>0.66700000000000004</v>
      </c>
      <c r="AK298" s="6">
        <v>0.92400000000000004</v>
      </c>
      <c r="AL298" s="8">
        <v>21610.28</v>
      </c>
      <c r="AM298" s="6" t="s">
        <v>114</v>
      </c>
      <c r="AN298" s="6">
        <v>1</v>
      </c>
      <c r="AO298" s="6">
        <v>1</v>
      </c>
      <c r="AP298" s="6">
        <v>0</v>
      </c>
      <c r="AQ298" s="6">
        <v>1</v>
      </c>
      <c r="AR298" s="6">
        <v>0</v>
      </c>
      <c r="AS298" s="6">
        <v>1</v>
      </c>
      <c r="AT298" s="6">
        <v>0</v>
      </c>
      <c r="AU298" s="6">
        <v>2.14</v>
      </c>
      <c r="AV298" s="6">
        <v>1.36</v>
      </c>
      <c r="AW298" s="6">
        <v>288.5</v>
      </c>
      <c r="AX298" s="6">
        <v>91.25</v>
      </c>
      <c r="AY298" s="6">
        <v>307.58999999999997</v>
      </c>
      <c r="AZ298" s="6">
        <v>32.6</v>
      </c>
      <c r="BA298" s="6">
        <v>15.5</v>
      </c>
    </row>
    <row r="299" spans="1:53" x14ac:dyDescent="0.3">
      <c r="A299" s="6">
        <v>622517939</v>
      </c>
      <c r="B299" s="6">
        <v>263032</v>
      </c>
      <c r="C299" s="6">
        <v>4191175</v>
      </c>
      <c r="D299" s="6">
        <v>6486</v>
      </c>
      <c r="E299" s="6" t="s">
        <v>225</v>
      </c>
      <c r="F299" s="6">
        <v>53563</v>
      </c>
      <c r="G299" s="6" t="s">
        <v>115</v>
      </c>
      <c r="H299" s="10">
        <v>45874</v>
      </c>
      <c r="I299" s="10">
        <v>45874</v>
      </c>
      <c r="J299" s="4">
        <v>45874.152777777781</v>
      </c>
      <c r="K299" s="4">
        <v>45874.479849537034</v>
      </c>
      <c r="L299" s="11">
        <v>45874.490266203706</v>
      </c>
      <c r="M299" s="10">
        <v>45874</v>
      </c>
      <c r="N299" s="6" t="s">
        <v>129</v>
      </c>
      <c r="O299" t="s">
        <v>156</v>
      </c>
      <c r="P299" s="6" t="s">
        <v>132</v>
      </c>
      <c r="Q299" t="s">
        <v>186</v>
      </c>
      <c r="R299" t="s">
        <v>62</v>
      </c>
      <c r="S299" s="6">
        <v>719112</v>
      </c>
      <c r="T299" s="6" t="s">
        <v>111</v>
      </c>
      <c r="U299">
        <v>428</v>
      </c>
      <c r="V299" s="6">
        <v>14.8</v>
      </c>
      <c r="W299" s="6">
        <v>37.1</v>
      </c>
      <c r="X299" s="6">
        <v>429.4</v>
      </c>
      <c r="Y299" s="6">
        <v>481.3</v>
      </c>
      <c r="Z299" s="6" t="s">
        <v>215</v>
      </c>
      <c r="AA299" t="s">
        <v>477</v>
      </c>
      <c r="AB299" s="6" t="s">
        <v>82</v>
      </c>
      <c r="AC299" t="s">
        <v>66</v>
      </c>
      <c r="AD299" t="s">
        <v>67</v>
      </c>
      <c r="AE299">
        <v>15</v>
      </c>
      <c r="AF299">
        <v>71</v>
      </c>
      <c r="AG299">
        <v>0</v>
      </c>
      <c r="AH299" s="6">
        <v>7.2</v>
      </c>
      <c r="AI299" s="6">
        <v>0</v>
      </c>
      <c r="AJ299" s="6">
        <v>0.94699999999999995</v>
      </c>
      <c r="AK299" s="6">
        <v>0.373</v>
      </c>
      <c r="AL299" s="8">
        <v>2729.17</v>
      </c>
      <c r="AM299" s="6" t="s">
        <v>68</v>
      </c>
      <c r="AN299" s="6">
        <v>1</v>
      </c>
      <c r="AO299" s="6">
        <v>1</v>
      </c>
      <c r="AP299" s="6">
        <v>0</v>
      </c>
      <c r="AQ299" s="6">
        <v>1</v>
      </c>
      <c r="AR299" s="6">
        <v>0</v>
      </c>
      <c r="AS299" s="6">
        <v>1</v>
      </c>
      <c r="AT299" s="6">
        <v>0</v>
      </c>
      <c r="AU299" s="6">
        <v>2.58</v>
      </c>
      <c r="AV299" s="6">
        <v>1.73</v>
      </c>
      <c r="AW299" s="6">
        <v>315.60000000000002</v>
      </c>
      <c r="AX299" s="6">
        <v>91.46</v>
      </c>
      <c r="AY299" s="6">
        <v>323.88</v>
      </c>
      <c r="AZ299" s="6">
        <v>13.2</v>
      </c>
      <c r="BA299" s="6">
        <v>12.8</v>
      </c>
    </row>
    <row r="300" spans="1:53" x14ac:dyDescent="0.3">
      <c r="A300" s="6">
        <v>665791188</v>
      </c>
      <c r="B300" s="6">
        <v>724834</v>
      </c>
      <c r="C300" s="6">
        <v>1701771</v>
      </c>
      <c r="D300" s="6">
        <v>6249</v>
      </c>
      <c r="E300" s="6" t="s">
        <v>142</v>
      </c>
      <c r="F300" s="6">
        <v>54584</v>
      </c>
      <c r="G300" s="6" t="s">
        <v>102</v>
      </c>
      <c r="H300" s="10">
        <v>45978</v>
      </c>
      <c r="I300" s="10">
        <v>45978</v>
      </c>
      <c r="J300" s="4">
        <v>45978.579861111109</v>
      </c>
      <c r="K300" s="4">
        <v>45978.777349537035</v>
      </c>
      <c r="L300" s="11">
        <v>45978.829432870371</v>
      </c>
      <c r="M300" s="10">
        <v>45978</v>
      </c>
      <c r="N300" s="6" t="s">
        <v>86</v>
      </c>
      <c r="O300" t="s">
        <v>253</v>
      </c>
      <c r="P300" s="6" t="s">
        <v>121</v>
      </c>
      <c r="Q300" t="s">
        <v>195</v>
      </c>
      <c r="R300" t="s">
        <v>123</v>
      </c>
      <c r="S300" s="6">
        <v>767013</v>
      </c>
      <c r="T300" s="6" t="s">
        <v>1</v>
      </c>
      <c r="U300">
        <v>172</v>
      </c>
      <c r="V300" s="6">
        <v>26</v>
      </c>
      <c r="W300" s="6">
        <v>21.3</v>
      </c>
      <c r="X300" s="6">
        <v>180.9</v>
      </c>
      <c r="Y300" s="6">
        <v>228.2</v>
      </c>
      <c r="Z300" s="6" t="s">
        <v>2</v>
      </c>
      <c r="AA300" t="s">
        <v>478</v>
      </c>
      <c r="AB300" s="6" t="s">
        <v>75</v>
      </c>
      <c r="AC300" t="s">
        <v>83</v>
      </c>
      <c r="AD300" t="s">
        <v>206</v>
      </c>
      <c r="AE300">
        <v>75</v>
      </c>
      <c r="AF300">
        <v>291</v>
      </c>
      <c r="AG300">
        <v>0</v>
      </c>
      <c r="AH300" s="6">
        <v>83.4</v>
      </c>
      <c r="AI300" s="6">
        <v>0</v>
      </c>
      <c r="AJ300" s="6">
        <v>0.76</v>
      </c>
      <c r="AK300" s="6">
        <v>0.64500000000000002</v>
      </c>
      <c r="AL300" s="8">
        <v>8110.73</v>
      </c>
      <c r="AM300" s="6" t="s">
        <v>114</v>
      </c>
      <c r="AN300" s="6">
        <v>1</v>
      </c>
      <c r="AO300" s="6">
        <v>0</v>
      </c>
      <c r="AP300" s="6">
        <v>1</v>
      </c>
      <c r="AQ300" s="6">
        <v>0</v>
      </c>
      <c r="AR300" s="6">
        <v>1</v>
      </c>
      <c r="AS300" s="6">
        <v>0</v>
      </c>
      <c r="AT300" s="6">
        <v>1</v>
      </c>
      <c r="AU300" s="6">
        <v>2.37</v>
      </c>
      <c r="AV300" s="6">
        <v>1.8</v>
      </c>
      <c r="AW300" s="6">
        <v>142.02000000000001</v>
      </c>
      <c r="AX300" s="6">
        <v>47.66</v>
      </c>
      <c r="AY300" s="6">
        <v>121.26</v>
      </c>
      <c r="AZ300" s="6">
        <v>4.4000000000000004</v>
      </c>
      <c r="BA300" s="6">
        <v>7.6</v>
      </c>
    </row>
    <row r="301" spans="1:53" x14ac:dyDescent="0.3">
      <c r="A301" s="6">
        <v>816328133</v>
      </c>
      <c r="B301" s="6">
        <v>358607</v>
      </c>
      <c r="C301" s="6">
        <v>5727085</v>
      </c>
      <c r="D301" s="6">
        <v>6864</v>
      </c>
      <c r="E301" s="6" t="s">
        <v>84</v>
      </c>
      <c r="F301" s="6">
        <v>54817</v>
      </c>
      <c r="G301" s="6" t="s">
        <v>175</v>
      </c>
      <c r="H301" s="10">
        <v>45788</v>
      </c>
      <c r="I301" s="10">
        <v>45788</v>
      </c>
      <c r="J301" s="4">
        <v>45788.371527777781</v>
      </c>
      <c r="K301" s="4">
        <v>45788.64434027778</v>
      </c>
      <c r="L301" s="11">
        <v>45788.797118055554</v>
      </c>
      <c r="M301" s="10">
        <v>45788</v>
      </c>
      <c r="N301" s="6" t="s">
        <v>116</v>
      </c>
      <c r="O301" t="s">
        <v>251</v>
      </c>
      <c r="P301" s="6" t="s">
        <v>129</v>
      </c>
      <c r="Q301" t="s">
        <v>157</v>
      </c>
      <c r="R301" t="s">
        <v>123</v>
      </c>
      <c r="S301" s="6">
        <v>778087</v>
      </c>
      <c r="T301" s="6" t="s">
        <v>1</v>
      </c>
      <c r="U301">
        <v>300</v>
      </c>
      <c r="V301" s="6">
        <v>48.7</v>
      </c>
      <c r="W301" s="6">
        <v>5.6</v>
      </c>
      <c r="X301" s="6">
        <v>308.10000000000002</v>
      </c>
      <c r="Y301" s="6">
        <v>362.4</v>
      </c>
      <c r="Z301" s="6" t="s">
        <v>63</v>
      </c>
      <c r="AA301" t="s">
        <v>413</v>
      </c>
      <c r="AB301" s="6" t="s">
        <v>97</v>
      </c>
      <c r="AC301" t="s">
        <v>91</v>
      </c>
      <c r="AD301" t="s">
        <v>206</v>
      </c>
      <c r="AE301">
        <v>220</v>
      </c>
      <c r="AF301">
        <v>271</v>
      </c>
      <c r="AG301">
        <v>0</v>
      </c>
      <c r="AH301" s="6">
        <v>93.4</v>
      </c>
      <c r="AI301" s="6">
        <v>0</v>
      </c>
      <c r="AJ301" s="6">
        <v>0.80600000000000005</v>
      </c>
      <c r="AK301" s="6">
        <v>0.79400000000000004</v>
      </c>
      <c r="AL301" s="8">
        <v>7848.02</v>
      </c>
      <c r="AM301" s="6" t="s">
        <v>114</v>
      </c>
      <c r="AN301" s="6">
        <v>1</v>
      </c>
      <c r="AO301" s="6">
        <v>0</v>
      </c>
      <c r="AP301" s="6">
        <v>1</v>
      </c>
      <c r="AQ301" s="6">
        <v>0</v>
      </c>
      <c r="AR301" s="6">
        <v>1</v>
      </c>
      <c r="AS301" s="6">
        <v>0</v>
      </c>
      <c r="AT301" s="6">
        <v>1</v>
      </c>
      <c r="AU301" s="6">
        <v>2.29</v>
      </c>
      <c r="AV301" s="6">
        <v>1.71</v>
      </c>
      <c r="AW301" s="6">
        <v>257.94</v>
      </c>
      <c r="AX301" s="6">
        <v>45.42</v>
      </c>
      <c r="AY301" s="6">
        <v>224.96</v>
      </c>
      <c r="AZ301" s="6">
        <v>7.3</v>
      </c>
      <c r="BA301" s="6">
        <v>44.4</v>
      </c>
    </row>
    <row r="302" spans="1:53" x14ac:dyDescent="0.3">
      <c r="A302" s="6">
        <v>431162800</v>
      </c>
      <c r="B302" s="6">
        <v>857168</v>
      </c>
      <c r="C302" s="6">
        <v>2813543</v>
      </c>
      <c r="D302" s="6">
        <v>1659</v>
      </c>
      <c r="E302" s="6" t="s">
        <v>142</v>
      </c>
      <c r="F302" s="6">
        <v>55041</v>
      </c>
      <c r="G302" s="6" t="s">
        <v>146</v>
      </c>
      <c r="H302" s="10">
        <v>45767</v>
      </c>
      <c r="I302" s="10">
        <v>45767</v>
      </c>
      <c r="J302" s="4">
        <v>45767.548611111109</v>
      </c>
      <c r="K302" s="4">
        <v>45767.638368055559</v>
      </c>
      <c r="L302" s="11">
        <v>45767.650868055556</v>
      </c>
      <c r="M302" s="10">
        <v>45767</v>
      </c>
      <c r="N302" s="6" t="s">
        <v>150</v>
      </c>
      <c r="O302" t="s">
        <v>311</v>
      </c>
      <c r="P302" s="6" t="s">
        <v>200</v>
      </c>
      <c r="Q302" t="s">
        <v>275</v>
      </c>
      <c r="R302" t="s">
        <v>62</v>
      </c>
      <c r="S302" s="6">
        <v>720079</v>
      </c>
      <c r="T302" s="6" t="s">
        <v>3</v>
      </c>
      <c r="U302">
        <v>98</v>
      </c>
      <c r="V302" s="6">
        <v>9.9</v>
      </c>
      <c r="W302" s="6">
        <v>9.1</v>
      </c>
      <c r="X302" s="6">
        <v>95.4</v>
      </c>
      <c r="Y302" s="6">
        <v>114.4</v>
      </c>
      <c r="Z302" s="6" t="s">
        <v>112</v>
      </c>
      <c r="AA302" t="s">
        <v>479</v>
      </c>
      <c r="AB302" s="6" t="s">
        <v>75</v>
      </c>
      <c r="AC302" t="s">
        <v>91</v>
      </c>
      <c r="AD302" t="s">
        <v>67</v>
      </c>
      <c r="AE302">
        <v>18</v>
      </c>
      <c r="AF302">
        <v>0</v>
      </c>
      <c r="AG302">
        <v>0</v>
      </c>
      <c r="AH302" s="6">
        <v>53.6</v>
      </c>
      <c r="AI302" s="6">
        <v>0</v>
      </c>
      <c r="AJ302" s="6">
        <v>0.58299999999999996</v>
      </c>
      <c r="AK302" s="6">
        <v>0.81499999999999995</v>
      </c>
      <c r="AL302" s="8">
        <v>11719.74</v>
      </c>
      <c r="AM302" s="6" t="s">
        <v>114</v>
      </c>
      <c r="AN302" s="6">
        <v>1</v>
      </c>
      <c r="AO302" s="6">
        <v>0</v>
      </c>
      <c r="AP302" s="6">
        <v>1</v>
      </c>
      <c r="AQ302" s="6">
        <v>0</v>
      </c>
      <c r="AR302" s="6">
        <v>1</v>
      </c>
      <c r="AS302" s="6">
        <v>0</v>
      </c>
      <c r="AT302" s="6">
        <v>1</v>
      </c>
      <c r="AU302" s="6">
        <v>2.36</v>
      </c>
      <c r="AV302" s="6">
        <v>1.44</v>
      </c>
      <c r="AW302" s="6">
        <v>98.93</v>
      </c>
      <c r="AX302" s="6">
        <v>19.98</v>
      </c>
      <c r="AY302" s="6">
        <v>69.36</v>
      </c>
      <c r="AZ302" s="6">
        <v>23.7</v>
      </c>
      <c r="BA302" s="6">
        <v>44.7</v>
      </c>
    </row>
    <row r="303" spans="1:53" x14ac:dyDescent="0.3">
      <c r="A303" s="6">
        <v>148766522</v>
      </c>
      <c r="B303" s="6">
        <v>705397</v>
      </c>
      <c r="C303" s="6">
        <v>5449368</v>
      </c>
      <c r="D303" s="6">
        <v>5859</v>
      </c>
      <c r="E303" s="6" t="s">
        <v>84</v>
      </c>
      <c r="F303" s="6">
        <v>56182</v>
      </c>
      <c r="G303" s="6" t="s">
        <v>207</v>
      </c>
      <c r="H303" s="10">
        <v>45736</v>
      </c>
      <c r="I303" s="10">
        <v>45736</v>
      </c>
      <c r="J303" s="4">
        <v>45736.479166666664</v>
      </c>
      <c r="K303" s="4">
        <v>45736.915451388886</v>
      </c>
      <c r="L303" s="11">
        <v>45736.93072916667</v>
      </c>
      <c r="M303" s="10">
        <v>45736</v>
      </c>
      <c r="N303" s="6" t="s">
        <v>86</v>
      </c>
      <c r="O303" t="s">
        <v>243</v>
      </c>
      <c r="P303" s="6" t="s">
        <v>134</v>
      </c>
      <c r="Q303" t="s">
        <v>135</v>
      </c>
      <c r="R303" t="s">
        <v>73</v>
      </c>
      <c r="S303" s="6">
        <v>757732</v>
      </c>
      <c r="T303" s="6" t="s">
        <v>111</v>
      </c>
      <c r="U303">
        <v>418</v>
      </c>
      <c r="V303" s="6">
        <v>22.5</v>
      </c>
      <c r="W303" s="6">
        <v>17.2</v>
      </c>
      <c r="X303" s="6">
        <v>409.5</v>
      </c>
      <c r="Y303" s="6">
        <v>449.2</v>
      </c>
      <c r="Z303" s="6" t="s">
        <v>2</v>
      </c>
      <c r="AA303" t="s">
        <v>480</v>
      </c>
      <c r="AB303" s="6" t="s">
        <v>75</v>
      </c>
      <c r="AC303" t="s">
        <v>137</v>
      </c>
      <c r="AD303" t="s">
        <v>192</v>
      </c>
      <c r="AE303">
        <v>22</v>
      </c>
      <c r="AF303">
        <v>0</v>
      </c>
      <c r="AG303">
        <v>0</v>
      </c>
      <c r="AH303" s="6">
        <v>49.1</v>
      </c>
      <c r="AI303" s="6">
        <v>0</v>
      </c>
      <c r="AJ303" s="6">
        <v>0.628</v>
      </c>
      <c r="AK303" s="6">
        <v>0.67900000000000005</v>
      </c>
      <c r="AL303" s="8">
        <v>22343.86</v>
      </c>
      <c r="AM303" s="6" t="s">
        <v>114</v>
      </c>
      <c r="AN303" s="6">
        <v>1</v>
      </c>
      <c r="AO303" s="6">
        <v>0</v>
      </c>
      <c r="AP303" s="6">
        <v>1</v>
      </c>
      <c r="AQ303" s="6">
        <v>0</v>
      </c>
      <c r="AR303" s="6">
        <v>1</v>
      </c>
      <c r="AS303" s="6">
        <v>0</v>
      </c>
      <c r="AT303" s="6">
        <v>1</v>
      </c>
      <c r="AU303" s="6">
        <v>2.2999999999999998</v>
      </c>
      <c r="AV303" s="6">
        <v>1.39</v>
      </c>
      <c r="AW303" s="6">
        <v>382.64</v>
      </c>
      <c r="AX303" s="6">
        <v>71.87</v>
      </c>
      <c r="AY303" s="6">
        <v>270.39999999999998</v>
      </c>
      <c r="AZ303" s="6">
        <v>11.4</v>
      </c>
      <c r="BA303" s="6">
        <v>34.299999999999997</v>
      </c>
    </row>
    <row r="304" spans="1:53" x14ac:dyDescent="0.3">
      <c r="A304" s="6">
        <v>336779871</v>
      </c>
      <c r="B304" s="6">
        <v>864544</v>
      </c>
      <c r="C304" s="6">
        <v>5374922</v>
      </c>
      <c r="D304" s="6">
        <v>8385</v>
      </c>
      <c r="E304" s="6" t="s">
        <v>84</v>
      </c>
      <c r="F304" s="6">
        <v>58026</v>
      </c>
      <c r="G304" s="6" t="s">
        <v>102</v>
      </c>
      <c r="H304" s="10">
        <v>45671</v>
      </c>
      <c r="I304" s="10">
        <v>45671</v>
      </c>
      <c r="J304" s="4">
        <v>45671.291666666664</v>
      </c>
      <c r="K304" s="4">
        <v>45671.464004629626</v>
      </c>
      <c r="L304" s="11">
        <v>45671.451504629629</v>
      </c>
      <c r="M304" s="10">
        <v>45671</v>
      </c>
      <c r="N304" s="6" t="s">
        <v>132</v>
      </c>
      <c r="O304" t="s">
        <v>186</v>
      </c>
      <c r="P304" s="6" t="s">
        <v>132</v>
      </c>
      <c r="Q304" t="s">
        <v>186</v>
      </c>
      <c r="R304" t="s">
        <v>62</v>
      </c>
      <c r="S304" s="6">
        <v>711807</v>
      </c>
      <c r="T304" s="6" t="s">
        <v>1</v>
      </c>
      <c r="U304">
        <v>174</v>
      </c>
      <c r="V304" s="6">
        <v>21.4</v>
      </c>
      <c r="W304" s="6">
        <v>2.4</v>
      </c>
      <c r="X304" s="6">
        <v>173.1</v>
      </c>
      <c r="Y304" s="6">
        <v>196.9</v>
      </c>
      <c r="Z304" s="6" t="s">
        <v>63</v>
      </c>
      <c r="AA304" t="s">
        <v>345</v>
      </c>
      <c r="AB304" s="6" t="s">
        <v>97</v>
      </c>
      <c r="AC304" t="s">
        <v>66</v>
      </c>
      <c r="AD304" t="s">
        <v>67</v>
      </c>
      <c r="AE304">
        <v>-18</v>
      </c>
      <c r="AF304">
        <v>0</v>
      </c>
      <c r="AG304">
        <v>0</v>
      </c>
      <c r="AH304" s="6">
        <v>72.8</v>
      </c>
      <c r="AI304" s="6">
        <v>0</v>
      </c>
      <c r="AJ304" s="6">
        <v>0.57799999999999996</v>
      </c>
      <c r="AK304" s="6">
        <v>0.53200000000000003</v>
      </c>
      <c r="AL304" s="8">
        <v>21697.360000000001</v>
      </c>
      <c r="AM304" s="6" t="s">
        <v>114</v>
      </c>
      <c r="AN304" s="6">
        <v>1</v>
      </c>
      <c r="AO304" s="6">
        <v>1</v>
      </c>
      <c r="AP304" s="6">
        <v>0</v>
      </c>
      <c r="AQ304" s="6">
        <v>1</v>
      </c>
      <c r="AR304" s="6">
        <v>0</v>
      </c>
      <c r="AS304" s="6">
        <v>1</v>
      </c>
      <c r="AT304" s="6">
        <v>0</v>
      </c>
      <c r="AU304" s="6">
        <v>2.19</v>
      </c>
      <c r="AV304" s="6">
        <v>1.53</v>
      </c>
      <c r="AW304" s="6">
        <v>173.58</v>
      </c>
      <c r="AX304" s="6">
        <v>29.68</v>
      </c>
      <c r="AY304" s="6">
        <v>108.54</v>
      </c>
      <c r="AZ304" s="6">
        <v>24.5</v>
      </c>
      <c r="BA304" s="6">
        <v>59.7</v>
      </c>
    </row>
    <row r="305" spans="1:53" x14ac:dyDescent="0.3">
      <c r="A305" s="6">
        <v>524410834</v>
      </c>
      <c r="B305" s="6">
        <v>816751</v>
      </c>
      <c r="C305" s="6">
        <v>3011363</v>
      </c>
      <c r="D305" s="6">
        <v>9996</v>
      </c>
      <c r="E305" s="6" t="s">
        <v>185</v>
      </c>
      <c r="F305" s="6">
        <v>53244</v>
      </c>
      <c r="G305" s="6" t="s">
        <v>69</v>
      </c>
      <c r="H305" s="10">
        <v>45673</v>
      </c>
      <c r="I305" s="10">
        <v>45673</v>
      </c>
      <c r="J305" s="4">
        <v>45673.34375</v>
      </c>
      <c r="K305" s="4">
        <v>45673.888807870368</v>
      </c>
      <c r="L305" s="11">
        <v>45673.867974537039</v>
      </c>
      <c r="M305" s="10">
        <v>45673</v>
      </c>
      <c r="N305" s="6" t="s">
        <v>103</v>
      </c>
      <c r="O305" t="s">
        <v>285</v>
      </c>
      <c r="P305" s="6" t="s">
        <v>103</v>
      </c>
      <c r="Q305" t="s">
        <v>104</v>
      </c>
      <c r="R305" t="s">
        <v>73</v>
      </c>
      <c r="S305" s="6">
        <v>783084</v>
      </c>
      <c r="T305" s="6" t="s">
        <v>140</v>
      </c>
      <c r="U305">
        <v>647</v>
      </c>
      <c r="V305" s="6">
        <v>6.5</v>
      </c>
      <c r="W305" s="6">
        <v>34</v>
      </c>
      <c r="X305" s="6">
        <v>635.1</v>
      </c>
      <c r="Y305" s="6">
        <v>675.6</v>
      </c>
      <c r="Z305" s="6" t="s">
        <v>63</v>
      </c>
      <c r="AA305" t="s">
        <v>481</v>
      </c>
      <c r="AB305" s="6" t="s">
        <v>97</v>
      </c>
      <c r="AC305" t="s">
        <v>137</v>
      </c>
      <c r="AD305" t="s">
        <v>67</v>
      </c>
      <c r="AE305">
        <v>-30</v>
      </c>
      <c r="AF305">
        <v>0</v>
      </c>
      <c r="AG305">
        <v>0</v>
      </c>
      <c r="AH305" s="6">
        <v>67.900000000000006</v>
      </c>
      <c r="AI305" s="6">
        <v>0</v>
      </c>
      <c r="AJ305" s="6">
        <v>0.61299999999999999</v>
      </c>
      <c r="AK305" s="6">
        <v>0.54200000000000004</v>
      </c>
      <c r="AL305" s="8">
        <v>5074.38</v>
      </c>
      <c r="AM305" s="6" t="s">
        <v>68</v>
      </c>
      <c r="AN305" s="6">
        <v>1</v>
      </c>
      <c r="AO305" s="6">
        <v>1</v>
      </c>
      <c r="AP305" s="6">
        <v>0</v>
      </c>
      <c r="AQ305" s="6">
        <v>1</v>
      </c>
      <c r="AR305" s="6">
        <v>0</v>
      </c>
      <c r="AS305" s="6">
        <v>1</v>
      </c>
      <c r="AT305" s="6">
        <v>0</v>
      </c>
      <c r="AU305" s="6">
        <v>2.1</v>
      </c>
      <c r="AV305" s="6">
        <v>1.27</v>
      </c>
      <c r="AW305" s="6">
        <v>573.03</v>
      </c>
      <c r="AX305" s="6">
        <v>93.9</v>
      </c>
      <c r="AY305" s="6">
        <v>358.36</v>
      </c>
      <c r="AZ305" s="6">
        <v>13.3</v>
      </c>
      <c r="BA305" s="6">
        <v>33.700000000000003</v>
      </c>
    </row>
    <row r="306" spans="1:53" x14ac:dyDescent="0.3">
      <c r="A306" s="6">
        <v>743520276</v>
      </c>
      <c r="B306" s="6">
        <v>518373</v>
      </c>
      <c r="C306" s="6">
        <v>7812810</v>
      </c>
      <c r="D306" s="6">
        <v>2045</v>
      </c>
      <c r="E306" s="6" t="s">
        <v>106</v>
      </c>
      <c r="F306" s="6">
        <v>51040</v>
      </c>
      <c r="G306" s="6" t="s">
        <v>175</v>
      </c>
      <c r="H306" s="10">
        <v>45975</v>
      </c>
      <c r="I306" s="10">
        <v>45975</v>
      </c>
      <c r="J306" s="4">
        <v>45975.590277777781</v>
      </c>
      <c r="K306" s="4">
        <v>45975.850717592592</v>
      </c>
      <c r="L306" s="11">
        <v>45975.837523148148</v>
      </c>
      <c r="M306" s="10">
        <v>45975</v>
      </c>
      <c r="N306" s="6" t="s">
        <v>59</v>
      </c>
      <c r="O306" t="s">
        <v>61</v>
      </c>
      <c r="P306" s="6" t="s">
        <v>59</v>
      </c>
      <c r="Q306" t="s">
        <v>60</v>
      </c>
      <c r="R306" t="s">
        <v>62</v>
      </c>
      <c r="S306" s="6">
        <v>797593</v>
      </c>
      <c r="T306" s="6" t="s">
        <v>111</v>
      </c>
      <c r="U306">
        <v>297</v>
      </c>
      <c r="V306" s="6">
        <v>19.100000000000001</v>
      </c>
      <c r="W306" s="6">
        <v>10.7</v>
      </c>
      <c r="X306" s="6">
        <v>301</v>
      </c>
      <c r="Y306" s="6">
        <v>330.8</v>
      </c>
      <c r="Z306" s="6" t="s">
        <v>63</v>
      </c>
      <c r="AA306" t="s">
        <v>249</v>
      </c>
      <c r="AB306" s="6" t="s">
        <v>90</v>
      </c>
      <c r="AC306" t="s">
        <v>154</v>
      </c>
      <c r="AD306" t="s">
        <v>67</v>
      </c>
      <c r="AE306">
        <v>-19</v>
      </c>
      <c r="AF306">
        <v>0</v>
      </c>
      <c r="AG306">
        <v>0</v>
      </c>
      <c r="AH306" s="6">
        <v>11.3</v>
      </c>
      <c r="AI306" s="6">
        <v>0</v>
      </c>
      <c r="AJ306" s="6">
        <v>0.69299999999999995</v>
      </c>
      <c r="AK306" s="6">
        <v>0.254</v>
      </c>
      <c r="AL306" s="8">
        <v>2039.81</v>
      </c>
      <c r="AM306" s="6" t="s">
        <v>68</v>
      </c>
      <c r="AN306" s="6">
        <v>1</v>
      </c>
      <c r="AO306" s="6">
        <v>1</v>
      </c>
      <c r="AP306" s="6">
        <v>0</v>
      </c>
      <c r="AQ306" s="6">
        <v>1</v>
      </c>
      <c r="AR306" s="6">
        <v>0</v>
      </c>
      <c r="AS306" s="6">
        <v>1</v>
      </c>
      <c r="AT306" s="6">
        <v>0</v>
      </c>
      <c r="AU306" s="6">
        <v>1.93</v>
      </c>
      <c r="AV306" s="6">
        <v>1.47</v>
      </c>
      <c r="AW306" s="6">
        <v>207.48</v>
      </c>
      <c r="AX306" s="6">
        <v>67.47</v>
      </c>
      <c r="AY306" s="6">
        <v>215.7</v>
      </c>
      <c r="AZ306" s="6">
        <v>21.7</v>
      </c>
      <c r="BA306" s="6">
        <v>2.5</v>
      </c>
    </row>
    <row r="307" spans="1:53" x14ac:dyDescent="0.3">
      <c r="A307" s="6">
        <v>158821683</v>
      </c>
      <c r="B307" s="6">
        <v>705397</v>
      </c>
      <c r="C307" s="6">
        <v>5449368</v>
      </c>
      <c r="D307" s="6">
        <v>5859</v>
      </c>
      <c r="E307" s="6" t="s">
        <v>84</v>
      </c>
      <c r="F307" s="6">
        <v>52273</v>
      </c>
      <c r="G307" s="6" t="s">
        <v>69</v>
      </c>
      <c r="H307" s="10">
        <v>45905</v>
      </c>
      <c r="I307" s="10">
        <v>45905</v>
      </c>
      <c r="J307" s="4">
        <v>45905.947916666664</v>
      </c>
      <c r="K307" s="4">
        <v>45906.195138888892</v>
      </c>
      <c r="L307" s="11">
        <v>45906.2</v>
      </c>
      <c r="M307" s="10">
        <v>45906</v>
      </c>
      <c r="N307" s="6" t="s">
        <v>59</v>
      </c>
      <c r="O307" t="s">
        <v>99</v>
      </c>
      <c r="P307" s="6" t="s">
        <v>70</v>
      </c>
      <c r="Q307" t="s">
        <v>152</v>
      </c>
      <c r="R307" t="s">
        <v>73</v>
      </c>
      <c r="S307" s="6">
        <v>736170</v>
      </c>
      <c r="T307" s="6" t="s">
        <v>1</v>
      </c>
      <c r="U307">
        <v>280</v>
      </c>
      <c r="V307" s="6">
        <v>27.6</v>
      </c>
      <c r="W307" s="6">
        <v>10.5</v>
      </c>
      <c r="X307" s="6">
        <v>280.89999999999998</v>
      </c>
      <c r="Y307" s="6">
        <v>319</v>
      </c>
      <c r="Z307" s="6" t="s">
        <v>2</v>
      </c>
      <c r="AA307" t="s">
        <v>233</v>
      </c>
      <c r="AB307" s="6" t="s">
        <v>65</v>
      </c>
      <c r="AC307" t="s">
        <v>154</v>
      </c>
      <c r="AD307" t="s">
        <v>67</v>
      </c>
      <c r="AE307">
        <v>7</v>
      </c>
      <c r="AF307">
        <v>0</v>
      </c>
      <c r="AG307">
        <v>0</v>
      </c>
      <c r="AH307" s="6">
        <v>50.5</v>
      </c>
      <c r="AI307" s="6">
        <v>0</v>
      </c>
      <c r="AJ307" s="6">
        <v>0.89200000000000002</v>
      </c>
      <c r="AK307" s="6">
        <v>0.77500000000000002</v>
      </c>
      <c r="AL307" s="8">
        <v>5861.95</v>
      </c>
      <c r="AM307" s="6" t="s">
        <v>68</v>
      </c>
      <c r="AN307" s="6">
        <v>1</v>
      </c>
      <c r="AO307" s="6">
        <v>1</v>
      </c>
      <c r="AP307" s="6">
        <v>0</v>
      </c>
      <c r="AQ307" s="6">
        <v>1</v>
      </c>
      <c r="AR307" s="6">
        <v>0</v>
      </c>
      <c r="AS307" s="6">
        <v>1</v>
      </c>
      <c r="AT307" s="6">
        <v>0</v>
      </c>
      <c r="AU307" s="6">
        <v>2.34</v>
      </c>
      <c r="AV307" s="6">
        <v>1.49</v>
      </c>
      <c r="AW307" s="6">
        <v>234.67</v>
      </c>
      <c r="AX307" s="6">
        <v>50.45</v>
      </c>
      <c r="AY307" s="6">
        <v>160.91</v>
      </c>
      <c r="AZ307" s="6">
        <v>11.4</v>
      </c>
      <c r="BA307" s="6">
        <v>33.799999999999997</v>
      </c>
    </row>
    <row r="308" spans="1:53" x14ac:dyDescent="0.3">
      <c r="A308" s="6">
        <v>108253947</v>
      </c>
      <c r="B308" s="6">
        <v>705397</v>
      </c>
      <c r="C308" s="6">
        <v>5449368</v>
      </c>
      <c r="D308" s="6">
        <v>5859</v>
      </c>
      <c r="E308" s="6" t="s">
        <v>84</v>
      </c>
      <c r="F308" s="6">
        <v>53629</v>
      </c>
      <c r="G308" s="6" t="s">
        <v>146</v>
      </c>
      <c r="H308" s="10">
        <v>45899</v>
      </c>
      <c r="I308" s="10">
        <v>45899</v>
      </c>
      <c r="J308" s="4">
        <v>45899.326388888891</v>
      </c>
      <c r="K308" s="4">
        <v>45899.603993055556</v>
      </c>
      <c r="L308" s="11">
        <v>45899.569965277777</v>
      </c>
      <c r="M308" s="10">
        <v>45899</v>
      </c>
      <c r="N308" s="6" t="s">
        <v>134</v>
      </c>
      <c r="O308" t="s">
        <v>172</v>
      </c>
      <c r="P308" s="6" t="s">
        <v>176</v>
      </c>
      <c r="Q308" t="s">
        <v>292</v>
      </c>
      <c r="R308" t="s">
        <v>88</v>
      </c>
      <c r="S308" s="6">
        <v>773553</v>
      </c>
      <c r="T308" s="6" t="s">
        <v>1</v>
      </c>
      <c r="U308">
        <v>201</v>
      </c>
      <c r="V308" s="6">
        <v>8.6</v>
      </c>
      <c r="W308" s="6">
        <v>29.1</v>
      </c>
      <c r="X308" s="6">
        <v>197.4</v>
      </c>
      <c r="Y308" s="6">
        <v>235.1</v>
      </c>
      <c r="Z308" s="6" t="s">
        <v>2</v>
      </c>
      <c r="AA308" t="s">
        <v>398</v>
      </c>
      <c r="AB308" s="6" t="s">
        <v>97</v>
      </c>
      <c r="AC308" t="s">
        <v>76</v>
      </c>
      <c r="AD308" t="s">
        <v>67</v>
      </c>
      <c r="AE308">
        <v>-49</v>
      </c>
      <c r="AF308">
        <v>0</v>
      </c>
      <c r="AG308">
        <v>0</v>
      </c>
      <c r="AH308" s="6">
        <v>52.4</v>
      </c>
      <c r="AI308" s="6">
        <v>0</v>
      </c>
      <c r="AJ308" s="6">
        <v>0.69</v>
      </c>
      <c r="AK308" s="6">
        <v>0.77200000000000002</v>
      </c>
      <c r="AL308" s="8">
        <v>5597.61</v>
      </c>
      <c r="AM308" s="6" t="s">
        <v>68</v>
      </c>
      <c r="AN308" s="6">
        <v>1</v>
      </c>
      <c r="AO308" s="6">
        <v>1</v>
      </c>
      <c r="AP308" s="6">
        <v>0</v>
      </c>
      <c r="AQ308" s="6">
        <v>1</v>
      </c>
      <c r="AR308" s="6">
        <v>0</v>
      </c>
      <c r="AS308" s="6">
        <v>1</v>
      </c>
      <c r="AT308" s="6">
        <v>0</v>
      </c>
      <c r="AU308" s="6">
        <v>2.5299999999999998</v>
      </c>
      <c r="AV308" s="6">
        <v>1.57</v>
      </c>
      <c r="AW308" s="6">
        <v>146.18</v>
      </c>
      <c r="AX308" s="6">
        <v>43.94</v>
      </c>
      <c r="AY308" s="6">
        <v>115.65</v>
      </c>
      <c r="AZ308" s="6">
        <v>11.4</v>
      </c>
      <c r="BA308" s="6">
        <v>42.5</v>
      </c>
    </row>
    <row r="309" spans="1:53" x14ac:dyDescent="0.3">
      <c r="A309" s="6">
        <v>319497661</v>
      </c>
      <c r="B309" s="6">
        <v>391476</v>
      </c>
      <c r="C309" s="6">
        <v>8999183</v>
      </c>
      <c r="D309" s="6">
        <v>6618</v>
      </c>
      <c r="E309" s="6" t="s">
        <v>92</v>
      </c>
      <c r="F309" s="6">
        <v>52114</v>
      </c>
      <c r="G309" s="6" t="s">
        <v>207</v>
      </c>
      <c r="H309" s="10">
        <v>45882</v>
      </c>
      <c r="I309" s="10">
        <v>45882</v>
      </c>
      <c r="J309" s="4">
        <v>45882.28125</v>
      </c>
      <c r="K309" s="4">
        <v>45882.464930555558</v>
      </c>
      <c r="L309" s="11">
        <v>45882.45590277778</v>
      </c>
      <c r="M309" s="10">
        <v>45882</v>
      </c>
      <c r="N309" s="6" t="s">
        <v>78</v>
      </c>
      <c r="O309" t="s">
        <v>147</v>
      </c>
      <c r="P309" s="6" t="s">
        <v>170</v>
      </c>
      <c r="Q309" t="s">
        <v>183</v>
      </c>
      <c r="R309" t="s">
        <v>62</v>
      </c>
      <c r="S309" s="6">
        <v>705882</v>
      </c>
      <c r="T309" s="6" t="s">
        <v>1</v>
      </c>
      <c r="U309">
        <v>174</v>
      </c>
      <c r="V309" s="6">
        <v>23</v>
      </c>
      <c r="W309" s="6">
        <v>3</v>
      </c>
      <c r="X309" s="6">
        <v>171.3</v>
      </c>
      <c r="Y309" s="6">
        <v>197.3</v>
      </c>
      <c r="Z309" s="6" t="s">
        <v>2</v>
      </c>
      <c r="AA309" t="s">
        <v>482</v>
      </c>
      <c r="AB309" s="6" t="s">
        <v>97</v>
      </c>
      <c r="AC309" t="s">
        <v>125</v>
      </c>
      <c r="AD309" t="s">
        <v>67</v>
      </c>
      <c r="AE309">
        <v>-13</v>
      </c>
      <c r="AF309">
        <v>0</v>
      </c>
      <c r="AG309">
        <v>0</v>
      </c>
      <c r="AH309" s="6">
        <v>19.100000000000001</v>
      </c>
      <c r="AI309" s="6">
        <v>0</v>
      </c>
      <c r="AJ309" s="6">
        <v>0.32600000000000001</v>
      </c>
      <c r="AK309" s="6">
        <v>0.60399999999999998</v>
      </c>
      <c r="AL309" s="8">
        <v>103088.04</v>
      </c>
      <c r="AM309" s="6" t="s">
        <v>155</v>
      </c>
      <c r="AN309" s="6">
        <v>1</v>
      </c>
      <c r="AO309" s="6">
        <v>1</v>
      </c>
      <c r="AP309" s="6">
        <v>0</v>
      </c>
      <c r="AQ309" s="6">
        <v>1</v>
      </c>
      <c r="AR309" s="6">
        <v>0</v>
      </c>
      <c r="AS309" s="6">
        <v>1</v>
      </c>
      <c r="AT309" s="6">
        <v>0</v>
      </c>
      <c r="AU309" s="6">
        <v>2.5299999999999998</v>
      </c>
      <c r="AV309" s="6">
        <v>1.57</v>
      </c>
      <c r="AW309" s="6">
        <v>124.46</v>
      </c>
      <c r="AX309" s="6">
        <v>36.44</v>
      </c>
      <c r="AY309" s="6">
        <v>112.76</v>
      </c>
      <c r="AZ309" s="6">
        <v>51.7</v>
      </c>
      <c r="BA309" s="6">
        <v>46.2</v>
      </c>
    </row>
    <row r="310" spans="1:53" x14ac:dyDescent="0.3">
      <c r="A310" s="6">
        <v>423646570</v>
      </c>
      <c r="B310" s="6">
        <v>623481</v>
      </c>
      <c r="C310" s="6">
        <v>2737893</v>
      </c>
      <c r="D310" s="6">
        <v>4627</v>
      </c>
      <c r="E310" s="6" t="s">
        <v>101</v>
      </c>
      <c r="F310" s="6">
        <v>57364</v>
      </c>
      <c r="G310" s="6" t="s">
        <v>164</v>
      </c>
      <c r="H310" s="10">
        <v>45967</v>
      </c>
      <c r="I310" s="10">
        <v>45967</v>
      </c>
      <c r="J310" s="4">
        <v>45967.923611111109</v>
      </c>
      <c r="K310" s="4">
        <v>45968.191203703704</v>
      </c>
      <c r="L310" s="11">
        <v>45968.170370370368</v>
      </c>
      <c r="M310" s="10">
        <v>45968</v>
      </c>
      <c r="N310" s="6" t="s">
        <v>150</v>
      </c>
      <c r="O310" t="s">
        <v>311</v>
      </c>
      <c r="P310" s="6" t="s">
        <v>176</v>
      </c>
      <c r="Q310" t="s">
        <v>355</v>
      </c>
      <c r="R310" t="s">
        <v>88</v>
      </c>
      <c r="S310" s="6">
        <v>730603</v>
      </c>
      <c r="T310" s="6" t="s">
        <v>1</v>
      </c>
      <c r="U310">
        <v>206</v>
      </c>
      <c r="V310" s="6">
        <v>3.6</v>
      </c>
      <c r="W310" s="6">
        <v>25.3</v>
      </c>
      <c r="X310" s="6">
        <v>199.9</v>
      </c>
      <c r="Y310" s="6">
        <v>228.8</v>
      </c>
      <c r="Z310" s="6" t="s">
        <v>63</v>
      </c>
      <c r="AA310" t="s">
        <v>483</v>
      </c>
      <c r="AB310" s="6" t="s">
        <v>65</v>
      </c>
      <c r="AC310" t="s">
        <v>137</v>
      </c>
      <c r="AD310" t="s">
        <v>67</v>
      </c>
      <c r="AE310">
        <v>-30</v>
      </c>
      <c r="AF310">
        <v>87</v>
      </c>
      <c r="AG310">
        <v>0</v>
      </c>
      <c r="AH310" s="6">
        <v>28.6</v>
      </c>
      <c r="AI310" s="6">
        <v>0</v>
      </c>
      <c r="AJ310" s="6">
        <v>0.60799999999999998</v>
      </c>
      <c r="AK310" s="6">
        <v>0.93</v>
      </c>
      <c r="AL310" s="8">
        <v>3450.7</v>
      </c>
      <c r="AM310" s="6" t="s">
        <v>68</v>
      </c>
      <c r="AN310" s="6">
        <v>1</v>
      </c>
      <c r="AO310" s="6">
        <v>1</v>
      </c>
      <c r="AP310" s="6">
        <v>0</v>
      </c>
      <c r="AQ310" s="6">
        <v>1</v>
      </c>
      <c r="AR310" s="6">
        <v>0</v>
      </c>
      <c r="AS310" s="6">
        <v>1</v>
      </c>
      <c r="AT310" s="6">
        <v>0</v>
      </c>
      <c r="AU310" s="6">
        <v>2.3199999999999998</v>
      </c>
      <c r="AV310" s="6">
        <v>1.37</v>
      </c>
      <c r="AW310" s="6">
        <v>174.7</v>
      </c>
      <c r="AX310" s="6">
        <v>26.62</v>
      </c>
      <c r="AY310" s="6">
        <v>150.66999999999999</v>
      </c>
      <c r="AZ310" s="6">
        <v>22.3</v>
      </c>
      <c r="BA310" s="6">
        <v>68.7</v>
      </c>
    </row>
    <row r="311" spans="1:53" x14ac:dyDescent="0.3">
      <c r="A311" s="6">
        <v>326810757</v>
      </c>
      <c r="B311" s="6">
        <v>581741</v>
      </c>
      <c r="C311" s="6">
        <v>3790237</v>
      </c>
      <c r="D311" s="6">
        <v>1995</v>
      </c>
      <c r="E311" s="6" t="s">
        <v>126</v>
      </c>
      <c r="F311" s="6">
        <v>51677</v>
      </c>
      <c r="G311" s="6" t="s">
        <v>69</v>
      </c>
      <c r="H311" s="10">
        <v>45833</v>
      </c>
      <c r="I311" s="10">
        <v>45833</v>
      </c>
      <c r="J311" s="4">
        <v>45833.177083333336</v>
      </c>
      <c r="K311" s="4">
        <v>45833.440416666665</v>
      </c>
      <c r="L311" s="11">
        <v>45833.608472222222</v>
      </c>
      <c r="M311" s="10">
        <v>45833</v>
      </c>
      <c r="N311" s="6" t="s">
        <v>129</v>
      </c>
      <c r="O311" t="s">
        <v>130</v>
      </c>
      <c r="P311" s="6" t="s">
        <v>176</v>
      </c>
      <c r="Q311" t="s">
        <v>177</v>
      </c>
      <c r="R311" t="s">
        <v>88</v>
      </c>
      <c r="S311" s="6">
        <v>739373</v>
      </c>
      <c r="T311" s="6" t="s">
        <v>1</v>
      </c>
      <c r="U311">
        <v>281</v>
      </c>
      <c r="V311" s="6">
        <v>18.3</v>
      </c>
      <c r="W311" s="6">
        <v>15.4</v>
      </c>
      <c r="X311" s="6">
        <v>280.8</v>
      </c>
      <c r="Y311" s="6">
        <v>314.5</v>
      </c>
      <c r="Z311" s="6" t="s">
        <v>2</v>
      </c>
      <c r="AA311" t="s">
        <v>484</v>
      </c>
      <c r="AB311" s="6" t="s">
        <v>82</v>
      </c>
      <c r="AC311" t="s">
        <v>125</v>
      </c>
      <c r="AD311" t="s">
        <v>206</v>
      </c>
      <c r="AE311">
        <v>242</v>
      </c>
      <c r="AF311">
        <v>125</v>
      </c>
      <c r="AG311">
        <v>1.8</v>
      </c>
      <c r="AH311" s="6">
        <v>67.599999999999994</v>
      </c>
      <c r="AI311" s="6">
        <v>0</v>
      </c>
      <c r="AJ311" s="6">
        <v>0.84299999999999997</v>
      </c>
      <c r="AK311" s="6">
        <v>0.83799999999999997</v>
      </c>
      <c r="AL311" s="8">
        <v>11667.82</v>
      </c>
      <c r="AM311" s="6" t="s">
        <v>114</v>
      </c>
      <c r="AN311" s="6">
        <v>1</v>
      </c>
      <c r="AO311" s="6">
        <v>0</v>
      </c>
      <c r="AP311" s="6">
        <v>1</v>
      </c>
      <c r="AQ311" s="6">
        <v>0</v>
      </c>
      <c r="AR311" s="6">
        <v>1</v>
      </c>
      <c r="AS311" s="6">
        <v>0</v>
      </c>
      <c r="AT311" s="6">
        <v>1</v>
      </c>
      <c r="AU311" s="6">
        <v>2.5299999999999998</v>
      </c>
      <c r="AV311" s="6">
        <v>1.82</v>
      </c>
      <c r="AW311" s="6">
        <v>228.96</v>
      </c>
      <c r="AX311" s="6">
        <v>33.299999999999997</v>
      </c>
      <c r="AY311" s="6">
        <v>216.52</v>
      </c>
      <c r="AZ311" s="6">
        <v>17.5</v>
      </c>
      <c r="BA311" s="6">
        <v>27.8</v>
      </c>
    </row>
    <row r="312" spans="1:53" x14ac:dyDescent="0.3">
      <c r="A312" s="6">
        <v>923935280</v>
      </c>
      <c r="B312" s="6">
        <v>903035</v>
      </c>
      <c r="C312" s="6">
        <v>7110622</v>
      </c>
      <c r="D312" s="6">
        <v>3200</v>
      </c>
      <c r="E312" s="6" t="s">
        <v>92</v>
      </c>
      <c r="F312" s="6">
        <v>53094</v>
      </c>
      <c r="G312" s="6" t="s">
        <v>77</v>
      </c>
      <c r="H312" s="10">
        <v>45975</v>
      </c>
      <c r="I312" s="10">
        <v>45975</v>
      </c>
      <c r="J312" s="4">
        <v>45975.795138888891</v>
      </c>
      <c r="K312" s="4">
        <v>45975.901597222219</v>
      </c>
      <c r="L312" s="11">
        <v>45975.89534722222</v>
      </c>
      <c r="M312" s="10">
        <v>45975</v>
      </c>
      <c r="N312" s="6" t="s">
        <v>176</v>
      </c>
      <c r="O312" t="s">
        <v>292</v>
      </c>
      <c r="P312" s="6" t="s">
        <v>129</v>
      </c>
      <c r="Q312" t="s">
        <v>157</v>
      </c>
      <c r="R312" t="s">
        <v>123</v>
      </c>
      <c r="S312" s="6">
        <v>726173</v>
      </c>
      <c r="T312" s="6" t="s">
        <v>1</v>
      </c>
      <c r="U312">
        <v>131</v>
      </c>
      <c r="V312" s="6">
        <v>38.700000000000003</v>
      </c>
      <c r="W312" s="6">
        <v>26.3</v>
      </c>
      <c r="X312" s="6">
        <v>125</v>
      </c>
      <c r="Y312" s="6">
        <v>190</v>
      </c>
      <c r="Z312" s="6" t="s">
        <v>2</v>
      </c>
      <c r="AA312" t="s">
        <v>485</v>
      </c>
      <c r="AB312" s="6" t="s">
        <v>65</v>
      </c>
      <c r="AC312" t="s">
        <v>154</v>
      </c>
      <c r="AD312" t="s">
        <v>67</v>
      </c>
      <c r="AE312">
        <v>-9</v>
      </c>
      <c r="AF312">
        <v>0</v>
      </c>
      <c r="AG312">
        <v>0</v>
      </c>
      <c r="AH312" s="6">
        <v>61.3</v>
      </c>
      <c r="AI312" s="6">
        <v>0</v>
      </c>
      <c r="AJ312" s="6">
        <v>0.627</v>
      </c>
      <c r="AK312" s="6">
        <v>0.57799999999999996</v>
      </c>
      <c r="AL312" s="8">
        <v>7422.51</v>
      </c>
      <c r="AM312" s="6" t="s">
        <v>114</v>
      </c>
      <c r="AN312" s="6">
        <v>1</v>
      </c>
      <c r="AO312" s="6">
        <v>1</v>
      </c>
      <c r="AP312" s="6">
        <v>0</v>
      </c>
      <c r="AQ312" s="6">
        <v>1</v>
      </c>
      <c r="AR312" s="6">
        <v>0</v>
      </c>
      <c r="AS312" s="6">
        <v>1</v>
      </c>
      <c r="AT312" s="6">
        <v>0</v>
      </c>
      <c r="AU312" s="6">
        <v>2.5</v>
      </c>
      <c r="AV312" s="6">
        <v>1.54</v>
      </c>
      <c r="AW312" s="6">
        <v>149.63999999999999</v>
      </c>
      <c r="AX312" s="6">
        <v>38.15</v>
      </c>
      <c r="AY312" s="6">
        <v>115.83</v>
      </c>
      <c r="AZ312" s="6">
        <v>26.8</v>
      </c>
      <c r="BA312" s="6">
        <v>0</v>
      </c>
    </row>
    <row r="313" spans="1:53" x14ac:dyDescent="0.3">
      <c r="A313" s="6">
        <v>247354744</v>
      </c>
      <c r="B313" s="6">
        <v>662275</v>
      </c>
      <c r="C313" s="6">
        <v>7818496</v>
      </c>
      <c r="D313" s="6">
        <v>8629</v>
      </c>
      <c r="E313" s="6" t="s">
        <v>106</v>
      </c>
      <c r="F313" s="6">
        <v>59190</v>
      </c>
      <c r="G313" s="6" t="s">
        <v>175</v>
      </c>
      <c r="H313" s="10">
        <v>45789</v>
      </c>
      <c r="I313" s="10">
        <v>45789</v>
      </c>
      <c r="J313" s="4">
        <v>45789.145833333336</v>
      </c>
      <c r="K313" s="4">
        <v>45789.400543981479</v>
      </c>
      <c r="L313" s="11">
        <v>45789.385960648149</v>
      </c>
      <c r="M313" s="10">
        <v>45789</v>
      </c>
      <c r="N313" s="6" t="s">
        <v>116</v>
      </c>
      <c r="O313" t="s">
        <v>117</v>
      </c>
      <c r="P313" s="6" t="s">
        <v>109</v>
      </c>
      <c r="Q313" t="s">
        <v>110</v>
      </c>
      <c r="R313" t="s">
        <v>88</v>
      </c>
      <c r="S313" s="6">
        <v>704543</v>
      </c>
      <c r="T313" s="6" t="s">
        <v>1</v>
      </c>
      <c r="U313">
        <v>289</v>
      </c>
      <c r="V313" s="6">
        <v>39.6</v>
      </c>
      <c r="W313" s="6">
        <v>9.4</v>
      </c>
      <c r="X313" s="6">
        <v>288.8</v>
      </c>
      <c r="Y313" s="6">
        <v>337.8</v>
      </c>
      <c r="Z313" s="6" t="s">
        <v>112</v>
      </c>
      <c r="AA313" t="s">
        <v>458</v>
      </c>
      <c r="AB313" s="6" t="s">
        <v>82</v>
      </c>
      <c r="AC313" t="s">
        <v>83</v>
      </c>
      <c r="AD313" t="s">
        <v>67</v>
      </c>
      <c r="AE313">
        <v>-21</v>
      </c>
      <c r="AF313">
        <v>0</v>
      </c>
      <c r="AG313">
        <v>0</v>
      </c>
      <c r="AH313" s="6">
        <v>30.9</v>
      </c>
      <c r="AI313" s="6">
        <v>0</v>
      </c>
      <c r="AJ313" s="6">
        <v>0.46899999999999997</v>
      </c>
      <c r="AK313" s="6">
        <v>0.23799999999999999</v>
      </c>
      <c r="AL313" s="8">
        <v>18720.419999999998</v>
      </c>
      <c r="AM313" s="6" t="s">
        <v>114</v>
      </c>
      <c r="AN313" s="6">
        <v>1</v>
      </c>
      <c r="AO313" s="6">
        <v>1</v>
      </c>
      <c r="AP313" s="6">
        <v>0</v>
      </c>
      <c r="AQ313" s="6">
        <v>1</v>
      </c>
      <c r="AR313" s="6">
        <v>0</v>
      </c>
      <c r="AS313" s="6">
        <v>1</v>
      </c>
      <c r="AT313" s="6">
        <v>0</v>
      </c>
      <c r="AU313" s="6">
        <v>2.1800000000000002</v>
      </c>
      <c r="AV313" s="6">
        <v>1.38</v>
      </c>
      <c r="AW313" s="6">
        <v>216.14</v>
      </c>
      <c r="AX313" s="6">
        <v>53.66</v>
      </c>
      <c r="AY313" s="6">
        <v>230.24</v>
      </c>
      <c r="AZ313" s="6">
        <v>31.4</v>
      </c>
      <c r="BA313" s="6">
        <v>53.6</v>
      </c>
    </row>
    <row r="314" spans="1:53" x14ac:dyDescent="0.3">
      <c r="A314" s="6">
        <v>920511515</v>
      </c>
      <c r="B314" s="6">
        <v>955662</v>
      </c>
      <c r="C314" s="6">
        <v>8315831</v>
      </c>
      <c r="D314" s="6">
        <v>9445</v>
      </c>
      <c r="E314" s="6" t="s">
        <v>84</v>
      </c>
      <c r="F314" s="6">
        <v>55873</v>
      </c>
      <c r="G314" s="6" t="s">
        <v>149</v>
      </c>
      <c r="H314" s="10">
        <v>45996</v>
      </c>
      <c r="I314" s="10">
        <v>45996</v>
      </c>
      <c r="J314" s="4">
        <v>45996.916666666664</v>
      </c>
      <c r="K314" s="4">
        <v>45997.006967592592</v>
      </c>
      <c r="L314" s="11">
        <v>45996.983356481483</v>
      </c>
      <c r="M314" s="10">
        <v>45996</v>
      </c>
      <c r="N314" s="6" t="s">
        <v>134</v>
      </c>
      <c r="O314" t="s">
        <v>135</v>
      </c>
      <c r="P314" s="6" t="s">
        <v>121</v>
      </c>
      <c r="Q314" t="s">
        <v>143</v>
      </c>
      <c r="R314" t="s">
        <v>123</v>
      </c>
      <c r="S314" s="6">
        <v>789831</v>
      </c>
      <c r="T314" s="6" t="s">
        <v>3</v>
      </c>
      <c r="U314">
        <v>100</v>
      </c>
      <c r="V314" s="6">
        <v>43.1</v>
      </c>
      <c r="W314" s="6">
        <v>35.200000000000003</v>
      </c>
      <c r="X314" s="6">
        <v>102.1</v>
      </c>
      <c r="Y314" s="6">
        <v>180.4</v>
      </c>
      <c r="Z314" s="6" t="s">
        <v>80</v>
      </c>
      <c r="AA314" t="s">
        <v>386</v>
      </c>
      <c r="AB314" s="6" t="s">
        <v>65</v>
      </c>
      <c r="AC314" t="s">
        <v>154</v>
      </c>
      <c r="AD314" t="s">
        <v>67</v>
      </c>
      <c r="AE314">
        <v>-34</v>
      </c>
      <c r="AF314">
        <v>0</v>
      </c>
      <c r="AG314">
        <v>0.9</v>
      </c>
      <c r="AH314" s="6">
        <v>48</v>
      </c>
      <c r="AI314" s="6">
        <v>0</v>
      </c>
      <c r="AJ314" s="6">
        <v>0.59199999999999997</v>
      </c>
      <c r="AK314" s="6">
        <v>0.59499999999999997</v>
      </c>
      <c r="AL314" s="8">
        <v>3557.29</v>
      </c>
      <c r="AM314" s="6" t="s">
        <v>68</v>
      </c>
      <c r="AN314" s="6">
        <v>1</v>
      </c>
      <c r="AO314" s="6">
        <v>1</v>
      </c>
      <c r="AP314" s="6">
        <v>0</v>
      </c>
      <c r="AQ314" s="6">
        <v>1</v>
      </c>
      <c r="AR314" s="6">
        <v>0</v>
      </c>
      <c r="AS314" s="6">
        <v>1</v>
      </c>
      <c r="AT314" s="6">
        <v>0</v>
      </c>
      <c r="AU314" s="6">
        <v>2.12</v>
      </c>
      <c r="AV314" s="6">
        <v>1.58</v>
      </c>
      <c r="AW314" s="6">
        <v>143.69</v>
      </c>
      <c r="AX314" s="6">
        <v>35.58</v>
      </c>
      <c r="AY314" s="6">
        <v>87.69</v>
      </c>
      <c r="AZ314" s="6">
        <v>18.100000000000001</v>
      </c>
      <c r="BA314" s="6">
        <v>33.299999999999997</v>
      </c>
    </row>
    <row r="315" spans="1:53" x14ac:dyDescent="0.3">
      <c r="A315" s="6">
        <v>374361983</v>
      </c>
      <c r="B315" s="6">
        <v>629903</v>
      </c>
      <c r="C315" s="6">
        <v>9143903</v>
      </c>
      <c r="D315" s="6">
        <v>9666</v>
      </c>
      <c r="E315" s="6" t="s">
        <v>225</v>
      </c>
      <c r="F315" s="6">
        <v>52284</v>
      </c>
      <c r="G315" s="6" t="s">
        <v>146</v>
      </c>
      <c r="H315" s="10">
        <v>45913</v>
      </c>
      <c r="I315" s="10">
        <v>45913</v>
      </c>
      <c r="J315" s="4">
        <v>45913.413194444445</v>
      </c>
      <c r="K315" s="4">
        <v>45914.446261574078</v>
      </c>
      <c r="L315" s="11">
        <v>45914.595567129632</v>
      </c>
      <c r="M315" s="10">
        <v>45914</v>
      </c>
      <c r="N315" s="6" t="s">
        <v>170</v>
      </c>
      <c r="O315" t="s">
        <v>171</v>
      </c>
      <c r="P315" s="6" t="s">
        <v>86</v>
      </c>
      <c r="Q315" t="s">
        <v>87</v>
      </c>
      <c r="R315" t="s">
        <v>88</v>
      </c>
      <c r="S315" s="6">
        <v>792123</v>
      </c>
      <c r="T315" s="6" t="s">
        <v>140</v>
      </c>
      <c r="U315">
        <v>1019</v>
      </c>
      <c r="V315" s="6">
        <v>35.1</v>
      </c>
      <c r="W315" s="6">
        <v>30</v>
      </c>
      <c r="X315" s="6">
        <v>1022.9</v>
      </c>
      <c r="Y315" s="6">
        <v>1088</v>
      </c>
      <c r="Z315" s="6" t="s">
        <v>112</v>
      </c>
      <c r="AA315" t="s">
        <v>486</v>
      </c>
      <c r="AB315" s="6" t="s">
        <v>97</v>
      </c>
      <c r="AC315" t="s">
        <v>76</v>
      </c>
      <c r="AD315" t="s">
        <v>192</v>
      </c>
      <c r="AE315">
        <v>215</v>
      </c>
      <c r="AF315">
        <v>0</v>
      </c>
      <c r="AG315">
        <v>0</v>
      </c>
      <c r="AH315" s="6">
        <v>47.6</v>
      </c>
      <c r="AI315" s="6">
        <v>0</v>
      </c>
      <c r="AJ315" s="6">
        <v>0.66</v>
      </c>
      <c r="AK315" s="6">
        <v>0.55200000000000005</v>
      </c>
      <c r="AL315" s="8">
        <v>14547</v>
      </c>
      <c r="AM315" s="6" t="s">
        <v>114</v>
      </c>
      <c r="AN315" s="6">
        <v>1</v>
      </c>
      <c r="AO315" s="6">
        <v>0</v>
      </c>
      <c r="AP315" s="6">
        <v>1</v>
      </c>
      <c r="AQ315" s="6">
        <v>0</v>
      </c>
      <c r="AR315" s="6">
        <v>1</v>
      </c>
      <c r="AS315" s="6">
        <v>0</v>
      </c>
      <c r="AT315" s="6">
        <v>1</v>
      </c>
      <c r="AU315" s="6">
        <v>2.34</v>
      </c>
      <c r="AV315" s="6">
        <v>1.39</v>
      </c>
      <c r="AW315" s="6">
        <v>695.78</v>
      </c>
      <c r="AX315" s="6">
        <v>147.58000000000001</v>
      </c>
      <c r="AY315" s="6">
        <v>641.15</v>
      </c>
      <c r="AZ315" s="6">
        <v>10.3</v>
      </c>
      <c r="BA315" s="6">
        <v>17.899999999999999</v>
      </c>
    </row>
    <row r="316" spans="1:53" x14ac:dyDescent="0.3">
      <c r="A316" s="6">
        <v>410791488</v>
      </c>
      <c r="B316" s="6">
        <v>813536</v>
      </c>
      <c r="C316" s="6">
        <v>3500715</v>
      </c>
      <c r="D316" s="6">
        <v>5737</v>
      </c>
      <c r="E316" s="6" t="s">
        <v>57</v>
      </c>
      <c r="F316" s="6">
        <v>55052</v>
      </c>
      <c r="G316" s="6" t="s">
        <v>102</v>
      </c>
      <c r="H316" s="10">
        <v>45751</v>
      </c>
      <c r="I316" s="10">
        <v>45751</v>
      </c>
      <c r="J316" s="4">
        <v>45751.770833333336</v>
      </c>
      <c r="K316" s="4">
        <v>45751.843148148146</v>
      </c>
      <c r="L316" s="11">
        <v>45751.834814814814</v>
      </c>
      <c r="M316" s="10">
        <v>45751</v>
      </c>
      <c r="N316" s="6" t="s">
        <v>70</v>
      </c>
      <c r="O316" t="s">
        <v>152</v>
      </c>
      <c r="P316" s="6" t="s">
        <v>78</v>
      </c>
      <c r="Q316" t="s">
        <v>222</v>
      </c>
      <c r="R316" t="s">
        <v>88</v>
      </c>
      <c r="S316" s="6">
        <v>796425</v>
      </c>
      <c r="T316" s="6" t="s">
        <v>3</v>
      </c>
      <c r="U316">
        <v>55</v>
      </c>
      <c r="V316" s="6">
        <v>16.100000000000001</v>
      </c>
      <c r="W316" s="6">
        <v>7</v>
      </c>
      <c r="X316" s="6">
        <v>57.7</v>
      </c>
      <c r="Y316" s="6">
        <v>80.8</v>
      </c>
      <c r="Z316" s="6" t="s">
        <v>2</v>
      </c>
      <c r="AA316" t="s">
        <v>487</v>
      </c>
      <c r="AB316" s="6" t="s">
        <v>65</v>
      </c>
      <c r="AC316" t="s">
        <v>154</v>
      </c>
      <c r="AD316" t="s">
        <v>67</v>
      </c>
      <c r="AE316">
        <v>-12</v>
      </c>
      <c r="AF316">
        <v>0</v>
      </c>
      <c r="AG316">
        <v>0</v>
      </c>
      <c r="AH316" s="6">
        <v>49.4</v>
      </c>
      <c r="AI316" s="6">
        <v>0</v>
      </c>
      <c r="AJ316" s="6">
        <v>0.48399999999999999</v>
      </c>
      <c r="AK316" s="6">
        <v>0.58199999999999996</v>
      </c>
      <c r="AL316" s="8">
        <v>22455.8</v>
      </c>
      <c r="AM316" s="6" t="s">
        <v>114</v>
      </c>
      <c r="AN316" s="6">
        <v>1</v>
      </c>
      <c r="AO316" s="6">
        <v>1</v>
      </c>
      <c r="AP316" s="6">
        <v>0</v>
      </c>
      <c r="AQ316" s="6">
        <v>1</v>
      </c>
      <c r="AR316" s="6">
        <v>0</v>
      </c>
      <c r="AS316" s="6">
        <v>1</v>
      </c>
      <c r="AT316" s="6">
        <v>0</v>
      </c>
      <c r="AU316" s="6">
        <v>2.23</v>
      </c>
      <c r="AV316" s="6">
        <v>1.39</v>
      </c>
      <c r="AW316" s="6">
        <v>60.37</v>
      </c>
      <c r="AX316" s="6">
        <v>16.440000000000001</v>
      </c>
      <c r="AY316" s="6">
        <v>41.37</v>
      </c>
      <c r="AZ316" s="6">
        <v>6.9</v>
      </c>
      <c r="BA316" s="6">
        <v>49</v>
      </c>
    </row>
    <row r="317" spans="1:53" x14ac:dyDescent="0.3">
      <c r="A317" s="6">
        <v>452318696</v>
      </c>
      <c r="B317" s="6">
        <v>897549</v>
      </c>
      <c r="C317" s="6">
        <v>9722815</v>
      </c>
      <c r="D317" s="6">
        <v>6592</v>
      </c>
      <c r="E317" s="6" t="s">
        <v>142</v>
      </c>
      <c r="F317" s="6">
        <v>57062</v>
      </c>
      <c r="G317" s="6" t="s">
        <v>107</v>
      </c>
      <c r="H317" s="10">
        <v>45863</v>
      </c>
      <c r="I317" s="10">
        <v>45863</v>
      </c>
      <c r="J317" s="4">
        <v>45863.340277777781</v>
      </c>
      <c r="K317" s="4">
        <v>45863.974965277775</v>
      </c>
      <c r="L317" s="11">
        <v>45864.017326388886</v>
      </c>
      <c r="M317" s="10">
        <v>45864</v>
      </c>
      <c r="N317" s="6" t="s">
        <v>86</v>
      </c>
      <c r="O317" t="s">
        <v>253</v>
      </c>
      <c r="P317" s="6" t="s">
        <v>86</v>
      </c>
      <c r="Q317" t="s">
        <v>268</v>
      </c>
      <c r="R317" t="s">
        <v>88</v>
      </c>
      <c r="S317" s="6">
        <v>742558</v>
      </c>
      <c r="T317" s="6" t="s">
        <v>140</v>
      </c>
      <c r="U317">
        <v>603</v>
      </c>
      <c r="V317" s="6">
        <v>42.3</v>
      </c>
      <c r="W317" s="6">
        <v>46.3</v>
      </c>
      <c r="X317" s="6">
        <v>601.20000000000005</v>
      </c>
      <c r="Y317" s="6">
        <v>689.8</v>
      </c>
      <c r="Z317" s="6" t="s">
        <v>63</v>
      </c>
      <c r="AA317" t="s">
        <v>488</v>
      </c>
      <c r="AB317" s="6" t="s">
        <v>97</v>
      </c>
      <c r="AC317" t="s">
        <v>154</v>
      </c>
      <c r="AD317" t="s">
        <v>206</v>
      </c>
      <c r="AE317">
        <v>61</v>
      </c>
      <c r="AF317">
        <v>152</v>
      </c>
      <c r="AG317">
        <v>0</v>
      </c>
      <c r="AH317" s="6">
        <v>61.5</v>
      </c>
      <c r="AI317" s="6">
        <v>0</v>
      </c>
      <c r="AJ317" s="6">
        <v>0.63</v>
      </c>
      <c r="AK317" s="6">
        <v>0.622</v>
      </c>
      <c r="AL317" s="8">
        <v>3328.38</v>
      </c>
      <c r="AM317" s="6" t="s">
        <v>68</v>
      </c>
      <c r="AN317" s="6">
        <v>1</v>
      </c>
      <c r="AO317" s="6">
        <v>0</v>
      </c>
      <c r="AP317" s="6">
        <v>1</v>
      </c>
      <c r="AQ317" s="6">
        <v>0</v>
      </c>
      <c r="AR317" s="6">
        <v>1</v>
      </c>
      <c r="AS317" s="6">
        <v>0</v>
      </c>
      <c r="AT317" s="6">
        <v>1</v>
      </c>
      <c r="AU317" s="6">
        <v>2.34</v>
      </c>
      <c r="AV317" s="6">
        <v>1.43</v>
      </c>
      <c r="AW317" s="6">
        <v>500.59</v>
      </c>
      <c r="AX317" s="6">
        <v>137.75</v>
      </c>
      <c r="AY317" s="6">
        <v>427.57</v>
      </c>
      <c r="AZ317" s="6">
        <v>13.4</v>
      </c>
      <c r="BA317" s="6">
        <v>48.9</v>
      </c>
    </row>
    <row r="318" spans="1:53" x14ac:dyDescent="0.3">
      <c r="A318" s="6">
        <v>228832213</v>
      </c>
      <c r="B318" s="6">
        <v>325772</v>
      </c>
      <c r="C318" s="6">
        <v>9997381</v>
      </c>
      <c r="D318" s="6">
        <v>8099</v>
      </c>
      <c r="E318" s="6" t="s">
        <v>211</v>
      </c>
      <c r="F318" s="6">
        <v>51589</v>
      </c>
      <c r="G318" s="6" t="s">
        <v>127</v>
      </c>
      <c r="H318" s="10">
        <v>45852</v>
      </c>
      <c r="I318" s="10">
        <v>45852</v>
      </c>
      <c r="J318" s="4">
        <v>45852.666666666664</v>
      </c>
      <c r="K318" s="4">
        <v>45853.275810185187</v>
      </c>
      <c r="L318" s="11">
        <v>45853.250810185185</v>
      </c>
      <c r="M318" s="10">
        <v>45853</v>
      </c>
      <c r="N318" s="6" t="s">
        <v>134</v>
      </c>
      <c r="O318" t="s">
        <v>278</v>
      </c>
      <c r="P318" s="6" t="s">
        <v>134</v>
      </c>
      <c r="Q318" t="s">
        <v>248</v>
      </c>
      <c r="R318" t="s">
        <v>73</v>
      </c>
      <c r="S318" s="6">
        <v>752322</v>
      </c>
      <c r="T318" s="6" t="s">
        <v>140</v>
      </c>
      <c r="U318">
        <v>692</v>
      </c>
      <c r="V318" s="6">
        <v>59.2</v>
      </c>
      <c r="W318" s="6">
        <v>17</v>
      </c>
      <c r="X318" s="6">
        <v>694.7</v>
      </c>
      <c r="Y318" s="6">
        <v>770.9</v>
      </c>
      <c r="Z318" s="6" t="s">
        <v>2</v>
      </c>
      <c r="AA318" t="s">
        <v>489</v>
      </c>
      <c r="AB318" s="6" t="s">
        <v>90</v>
      </c>
      <c r="AC318" t="s">
        <v>83</v>
      </c>
      <c r="AD318" t="s">
        <v>67</v>
      </c>
      <c r="AE318">
        <v>-36</v>
      </c>
      <c r="AF318">
        <v>0</v>
      </c>
      <c r="AG318">
        <v>0</v>
      </c>
      <c r="AH318" s="6">
        <v>69.2</v>
      </c>
      <c r="AI318" s="6">
        <v>0</v>
      </c>
      <c r="AJ318" s="6">
        <v>0.36499999999999999</v>
      </c>
      <c r="AK318" s="6">
        <v>0.45</v>
      </c>
      <c r="AL318" s="8">
        <v>12923.52</v>
      </c>
      <c r="AM318" s="6" t="s">
        <v>114</v>
      </c>
      <c r="AN318" s="6">
        <v>1</v>
      </c>
      <c r="AO318" s="6">
        <v>1</v>
      </c>
      <c r="AP318" s="6">
        <v>0</v>
      </c>
      <c r="AQ318" s="6">
        <v>1</v>
      </c>
      <c r="AR318" s="6">
        <v>0</v>
      </c>
      <c r="AS318" s="6">
        <v>1</v>
      </c>
      <c r="AT318" s="6">
        <v>0</v>
      </c>
      <c r="AU318" s="6">
        <v>2.3199999999999998</v>
      </c>
      <c r="AV318" s="6">
        <v>1.35</v>
      </c>
      <c r="AW318" s="6">
        <v>529.75</v>
      </c>
      <c r="AX318" s="6">
        <v>112.4</v>
      </c>
      <c r="AY318" s="6">
        <v>540.42999999999995</v>
      </c>
      <c r="AZ318" s="6">
        <v>4.7</v>
      </c>
      <c r="BA318" s="6">
        <v>11.1</v>
      </c>
    </row>
    <row r="319" spans="1:53" x14ac:dyDescent="0.3">
      <c r="A319" s="6">
        <v>108299923</v>
      </c>
      <c r="B319" s="6">
        <v>865388</v>
      </c>
      <c r="C319" s="6">
        <v>4218542</v>
      </c>
      <c r="D319" s="6">
        <v>5496</v>
      </c>
      <c r="E319" s="6" t="s">
        <v>92</v>
      </c>
      <c r="F319" s="6">
        <v>59353</v>
      </c>
      <c r="G319" s="6" t="s">
        <v>115</v>
      </c>
      <c r="H319" s="10">
        <v>45708</v>
      </c>
      <c r="I319" s="10">
        <v>45708</v>
      </c>
      <c r="J319" s="4">
        <v>45708.288194444445</v>
      </c>
      <c r="K319" s="4">
        <v>45708.424201388887</v>
      </c>
      <c r="L319" s="11">
        <v>45708.555451388886</v>
      </c>
      <c r="M319" s="10">
        <v>45708</v>
      </c>
      <c r="N319" s="6" t="s">
        <v>170</v>
      </c>
      <c r="O319" t="s">
        <v>189</v>
      </c>
      <c r="P319" s="6" t="s">
        <v>103</v>
      </c>
      <c r="Q319" t="s">
        <v>204</v>
      </c>
      <c r="R319" t="s">
        <v>73</v>
      </c>
      <c r="S319" s="6">
        <v>768731</v>
      </c>
      <c r="T319" s="6" t="s">
        <v>1</v>
      </c>
      <c r="U319">
        <v>176</v>
      </c>
      <c r="V319" s="6">
        <v>23.5</v>
      </c>
      <c r="W319" s="6">
        <v>26</v>
      </c>
      <c r="X319" s="6">
        <v>176.8</v>
      </c>
      <c r="Y319" s="6">
        <v>226.3</v>
      </c>
      <c r="Z319" s="6" t="s">
        <v>63</v>
      </c>
      <c r="AA319" t="s">
        <v>490</v>
      </c>
      <c r="AB319" s="6" t="s">
        <v>97</v>
      </c>
      <c r="AC319" t="s">
        <v>137</v>
      </c>
      <c r="AD319" t="s">
        <v>206</v>
      </c>
      <c r="AE319">
        <v>189</v>
      </c>
      <c r="AF319">
        <v>182</v>
      </c>
      <c r="AG319">
        <v>0</v>
      </c>
      <c r="AH319" s="6">
        <v>36</v>
      </c>
      <c r="AI319" s="6">
        <v>0</v>
      </c>
      <c r="AJ319" s="6">
        <v>0.78400000000000003</v>
      </c>
      <c r="AK319" s="6">
        <v>0.58799999999999997</v>
      </c>
      <c r="AL319" s="8">
        <v>2567.16</v>
      </c>
      <c r="AM319" s="6" t="s">
        <v>68</v>
      </c>
      <c r="AN319" s="6">
        <v>1</v>
      </c>
      <c r="AO319" s="6">
        <v>0</v>
      </c>
      <c r="AP319" s="6">
        <v>1</v>
      </c>
      <c r="AQ319" s="6">
        <v>0</v>
      </c>
      <c r="AR319" s="6">
        <v>1</v>
      </c>
      <c r="AS319" s="6">
        <v>0</v>
      </c>
      <c r="AT319" s="6">
        <v>1</v>
      </c>
      <c r="AU319" s="6">
        <v>1.82</v>
      </c>
      <c r="AV319" s="6">
        <v>1.27</v>
      </c>
      <c r="AW319" s="6">
        <v>161.49</v>
      </c>
      <c r="AX319" s="6">
        <v>33.81</v>
      </c>
      <c r="AY319" s="6">
        <v>109.01</v>
      </c>
      <c r="AZ319" s="6">
        <v>10.3</v>
      </c>
      <c r="BA319" s="6">
        <v>4.3</v>
      </c>
    </row>
    <row r="320" spans="1:53" x14ac:dyDescent="0.3">
      <c r="A320" s="6">
        <v>634063428</v>
      </c>
      <c r="B320" s="6">
        <v>356702</v>
      </c>
      <c r="C320" s="6">
        <v>4426900</v>
      </c>
      <c r="D320" s="6">
        <v>1502</v>
      </c>
      <c r="E320" s="6" t="s">
        <v>84</v>
      </c>
      <c r="F320" s="6">
        <v>52520</v>
      </c>
      <c r="G320" s="6" t="s">
        <v>207</v>
      </c>
      <c r="H320" s="10">
        <v>45873</v>
      </c>
      <c r="I320" s="10">
        <v>45873</v>
      </c>
      <c r="J320" s="4">
        <v>45873.364583333336</v>
      </c>
      <c r="K320" s="4">
        <v>45873.578043981484</v>
      </c>
      <c r="L320" s="11">
        <v>45873.554432870369</v>
      </c>
      <c r="M320" s="10">
        <v>45873</v>
      </c>
      <c r="N320" s="6" t="s">
        <v>93</v>
      </c>
      <c r="O320" t="s">
        <v>94</v>
      </c>
      <c r="P320" s="6" t="s">
        <v>59</v>
      </c>
      <c r="Q320" t="s">
        <v>99</v>
      </c>
      <c r="R320" t="s">
        <v>62</v>
      </c>
      <c r="S320" s="6">
        <v>756614</v>
      </c>
      <c r="T320" s="6" t="s">
        <v>111</v>
      </c>
      <c r="U320">
        <v>330</v>
      </c>
      <c r="V320" s="6">
        <v>49.2</v>
      </c>
      <c r="W320" s="6">
        <v>23.4</v>
      </c>
      <c r="X320" s="6">
        <v>330.8</v>
      </c>
      <c r="Y320" s="6">
        <v>403.4</v>
      </c>
      <c r="Z320" s="6" t="s">
        <v>63</v>
      </c>
      <c r="AA320" t="s">
        <v>434</v>
      </c>
      <c r="AB320" s="6" t="s">
        <v>97</v>
      </c>
      <c r="AC320" t="s">
        <v>83</v>
      </c>
      <c r="AD320" t="s">
        <v>67</v>
      </c>
      <c r="AE320">
        <v>-34</v>
      </c>
      <c r="AF320">
        <v>0</v>
      </c>
      <c r="AG320">
        <v>0</v>
      </c>
      <c r="AH320" s="6">
        <v>41.6</v>
      </c>
      <c r="AI320" s="6">
        <v>0</v>
      </c>
      <c r="AJ320" s="6">
        <v>0.54700000000000004</v>
      </c>
      <c r="AK320" s="6">
        <v>0.56599999999999995</v>
      </c>
      <c r="AL320" s="8">
        <v>6187.95</v>
      </c>
      <c r="AM320" s="6" t="s">
        <v>114</v>
      </c>
      <c r="AN320" s="6">
        <v>1</v>
      </c>
      <c r="AO320" s="6">
        <v>1</v>
      </c>
      <c r="AP320" s="6">
        <v>0</v>
      </c>
      <c r="AQ320" s="6">
        <v>1</v>
      </c>
      <c r="AR320" s="6">
        <v>0</v>
      </c>
      <c r="AS320" s="6">
        <v>1</v>
      </c>
      <c r="AT320" s="6">
        <v>0</v>
      </c>
      <c r="AU320" s="6">
        <v>2.34</v>
      </c>
      <c r="AV320" s="6">
        <v>1.46</v>
      </c>
      <c r="AW320" s="6">
        <v>250.17</v>
      </c>
      <c r="AX320" s="6">
        <v>57.33</v>
      </c>
      <c r="AY320" s="6">
        <v>258.33</v>
      </c>
      <c r="AZ320" s="6">
        <v>47.2</v>
      </c>
      <c r="BA320" s="6">
        <v>4.0999999999999996</v>
      </c>
    </row>
    <row r="321" spans="1:53" x14ac:dyDescent="0.3">
      <c r="A321" s="6">
        <v>902100304</v>
      </c>
      <c r="B321" s="6">
        <v>377932</v>
      </c>
      <c r="C321" s="6">
        <v>9508103</v>
      </c>
      <c r="D321" s="6">
        <v>6699</v>
      </c>
      <c r="E321" s="6" t="s">
        <v>92</v>
      </c>
      <c r="F321" s="6">
        <v>54648</v>
      </c>
      <c r="G321" s="6" t="s">
        <v>98</v>
      </c>
      <c r="H321" s="10">
        <v>45772</v>
      </c>
      <c r="I321" s="10">
        <v>45772</v>
      </c>
      <c r="J321" s="4">
        <v>45772.621527777781</v>
      </c>
      <c r="K321" s="4">
        <v>45772.858611111114</v>
      </c>
      <c r="L321" s="11">
        <v>45772.837083333332</v>
      </c>
      <c r="M321" s="10">
        <v>45772</v>
      </c>
      <c r="N321" s="6" t="s">
        <v>116</v>
      </c>
      <c r="O321" t="s">
        <v>128</v>
      </c>
      <c r="P321" s="6" t="s">
        <v>170</v>
      </c>
      <c r="Q321" t="s">
        <v>189</v>
      </c>
      <c r="R321" t="s">
        <v>62</v>
      </c>
      <c r="S321" s="6">
        <v>712499</v>
      </c>
      <c r="T321" s="6" t="s">
        <v>1</v>
      </c>
      <c r="U321">
        <v>235</v>
      </c>
      <c r="V321" s="6">
        <v>34.799999999999997</v>
      </c>
      <c r="W321" s="6">
        <v>20</v>
      </c>
      <c r="X321" s="6">
        <v>228.8</v>
      </c>
      <c r="Y321" s="6">
        <v>283.60000000000002</v>
      </c>
      <c r="Z321" s="6" t="s">
        <v>112</v>
      </c>
      <c r="AA321" t="s">
        <v>308</v>
      </c>
      <c r="AB321" s="6" t="s">
        <v>90</v>
      </c>
      <c r="AC321" t="s">
        <v>154</v>
      </c>
      <c r="AD321" t="s">
        <v>67</v>
      </c>
      <c r="AE321">
        <v>-31</v>
      </c>
      <c r="AF321">
        <v>75</v>
      </c>
      <c r="AG321">
        <v>0</v>
      </c>
      <c r="AH321" s="6">
        <v>57</v>
      </c>
      <c r="AI321" s="6">
        <v>0</v>
      </c>
      <c r="AJ321" s="6">
        <v>0.5</v>
      </c>
      <c r="AK321" s="6">
        <v>0.83</v>
      </c>
      <c r="AL321" s="8">
        <v>7957.62</v>
      </c>
      <c r="AM321" s="6" t="s">
        <v>114</v>
      </c>
      <c r="AN321" s="6">
        <v>1</v>
      </c>
      <c r="AO321" s="6">
        <v>1</v>
      </c>
      <c r="AP321" s="6">
        <v>0</v>
      </c>
      <c r="AQ321" s="6">
        <v>1</v>
      </c>
      <c r="AR321" s="6">
        <v>0</v>
      </c>
      <c r="AS321" s="6">
        <v>1</v>
      </c>
      <c r="AT321" s="6">
        <v>0</v>
      </c>
      <c r="AU321" s="6">
        <v>2.37</v>
      </c>
      <c r="AV321" s="6">
        <v>1.7</v>
      </c>
      <c r="AW321" s="6">
        <v>203.41</v>
      </c>
      <c r="AX321" s="6">
        <v>29.55</v>
      </c>
      <c r="AY321" s="6">
        <v>190.06</v>
      </c>
      <c r="AZ321" s="6">
        <v>13.9</v>
      </c>
      <c r="BA321" s="6">
        <v>38</v>
      </c>
    </row>
    <row r="322" spans="1:53" x14ac:dyDescent="0.3">
      <c r="A322" s="6">
        <v>562412302</v>
      </c>
      <c r="B322" s="6">
        <v>724834</v>
      </c>
      <c r="C322" s="6">
        <v>1701771</v>
      </c>
      <c r="D322" s="6">
        <v>6249</v>
      </c>
      <c r="E322" s="6" t="s">
        <v>142</v>
      </c>
      <c r="F322" s="6">
        <v>55729</v>
      </c>
      <c r="G322" s="6" t="s">
        <v>98</v>
      </c>
      <c r="H322" s="10">
        <v>45677</v>
      </c>
      <c r="I322" s="10">
        <v>45677</v>
      </c>
      <c r="J322" s="4">
        <v>45677.427083333336</v>
      </c>
      <c r="K322" s="4">
        <v>45677.676400462966</v>
      </c>
      <c r="L322" s="11">
        <v>45677.679178240738</v>
      </c>
      <c r="M322" s="10">
        <v>45677</v>
      </c>
      <c r="N322" s="6" t="s">
        <v>129</v>
      </c>
      <c r="O322" t="s">
        <v>162</v>
      </c>
      <c r="P322" s="6" t="s">
        <v>129</v>
      </c>
      <c r="Q322" t="s">
        <v>157</v>
      </c>
      <c r="R322" t="s">
        <v>123</v>
      </c>
      <c r="S322" s="6">
        <v>739365</v>
      </c>
      <c r="T322" s="6" t="s">
        <v>1</v>
      </c>
      <c r="U322">
        <v>207</v>
      </c>
      <c r="V322" s="6">
        <v>11.7</v>
      </c>
      <c r="W322" s="6">
        <v>15.9</v>
      </c>
      <c r="X322" s="6">
        <v>199.5</v>
      </c>
      <c r="Y322" s="6">
        <v>227.1</v>
      </c>
      <c r="Z322" s="6" t="s">
        <v>2</v>
      </c>
      <c r="AA322" t="s">
        <v>233</v>
      </c>
      <c r="AB322" s="6" t="s">
        <v>75</v>
      </c>
      <c r="AC322" t="s">
        <v>83</v>
      </c>
      <c r="AD322" t="s">
        <v>67</v>
      </c>
      <c r="AE322">
        <v>4</v>
      </c>
      <c r="AF322">
        <v>0</v>
      </c>
      <c r="AG322">
        <v>0</v>
      </c>
      <c r="AH322" s="6">
        <v>77.099999999999994</v>
      </c>
      <c r="AI322" s="6">
        <v>0</v>
      </c>
      <c r="AJ322" s="6">
        <v>0.629</v>
      </c>
      <c r="AK322" s="6">
        <v>0.68200000000000005</v>
      </c>
      <c r="AL322" s="8">
        <v>8160.13</v>
      </c>
      <c r="AM322" s="6" t="s">
        <v>114</v>
      </c>
      <c r="AN322" s="6">
        <v>1</v>
      </c>
      <c r="AO322" s="6">
        <v>1</v>
      </c>
      <c r="AP322" s="6">
        <v>0</v>
      </c>
      <c r="AQ322" s="6">
        <v>1</v>
      </c>
      <c r="AR322" s="6">
        <v>0</v>
      </c>
      <c r="AS322" s="6">
        <v>1</v>
      </c>
      <c r="AT322" s="6">
        <v>0</v>
      </c>
      <c r="AU322" s="6">
        <v>2.16</v>
      </c>
      <c r="AV322" s="6">
        <v>1.49</v>
      </c>
      <c r="AW322" s="6">
        <v>146.13999999999999</v>
      </c>
      <c r="AX322" s="6">
        <v>41.45</v>
      </c>
      <c r="AY322" s="6">
        <v>149.59</v>
      </c>
      <c r="AZ322" s="6">
        <v>4.4000000000000004</v>
      </c>
      <c r="BA322" s="6">
        <v>1</v>
      </c>
    </row>
    <row r="323" spans="1:53" x14ac:dyDescent="0.3">
      <c r="A323" s="6">
        <v>288650860</v>
      </c>
      <c r="B323" s="6">
        <v>705397</v>
      </c>
      <c r="C323" s="6">
        <v>5449368</v>
      </c>
      <c r="D323" s="6">
        <v>5859</v>
      </c>
      <c r="E323" s="6" t="s">
        <v>84</v>
      </c>
      <c r="F323" s="6">
        <v>50694</v>
      </c>
      <c r="G323" s="6" t="s">
        <v>164</v>
      </c>
      <c r="H323" s="10">
        <v>46004</v>
      </c>
      <c r="I323" s="10">
        <v>46004</v>
      </c>
      <c r="J323" s="4">
        <v>46004.760416666664</v>
      </c>
      <c r="K323" s="4">
        <v>46005.017060185186</v>
      </c>
      <c r="L323" s="11">
        <v>46005.018449074072</v>
      </c>
      <c r="M323" s="10">
        <v>46005</v>
      </c>
      <c r="N323" s="6" t="s">
        <v>78</v>
      </c>
      <c r="O323" t="s">
        <v>147</v>
      </c>
      <c r="P323" s="6" t="s">
        <v>109</v>
      </c>
      <c r="Q323" t="s">
        <v>193</v>
      </c>
      <c r="R323" t="s">
        <v>88</v>
      </c>
      <c r="S323" s="6">
        <v>728940</v>
      </c>
      <c r="T323" s="6" t="s">
        <v>1</v>
      </c>
      <c r="U323">
        <v>291</v>
      </c>
      <c r="V323" s="6">
        <v>13.9</v>
      </c>
      <c r="W323" s="6">
        <v>25.3</v>
      </c>
      <c r="X323" s="6">
        <v>292.5</v>
      </c>
      <c r="Y323" s="6">
        <v>331.7</v>
      </c>
      <c r="Z323" s="6" t="s">
        <v>2</v>
      </c>
      <c r="AA323" t="s">
        <v>491</v>
      </c>
      <c r="AB323" s="6" t="s">
        <v>65</v>
      </c>
      <c r="AC323" t="s">
        <v>76</v>
      </c>
      <c r="AD323" t="s">
        <v>67</v>
      </c>
      <c r="AE323">
        <v>2</v>
      </c>
      <c r="AF323">
        <v>0</v>
      </c>
      <c r="AG323">
        <v>0</v>
      </c>
      <c r="AH323" s="6">
        <v>54.7</v>
      </c>
      <c r="AI323" s="6">
        <v>0</v>
      </c>
      <c r="AJ323" s="6">
        <v>0.75800000000000001</v>
      </c>
      <c r="AK323" s="6">
        <v>0.57599999999999996</v>
      </c>
      <c r="AL323" s="8">
        <v>2968.67</v>
      </c>
      <c r="AM323" s="6" t="s">
        <v>68</v>
      </c>
      <c r="AN323" s="6">
        <v>1</v>
      </c>
      <c r="AO323" s="6">
        <v>1</v>
      </c>
      <c r="AP323" s="6">
        <v>0</v>
      </c>
      <c r="AQ323" s="6">
        <v>1</v>
      </c>
      <c r="AR323" s="6">
        <v>0</v>
      </c>
      <c r="AS323" s="6">
        <v>1</v>
      </c>
      <c r="AT323" s="6">
        <v>0</v>
      </c>
      <c r="AU323" s="6">
        <v>2.23</v>
      </c>
      <c r="AV323" s="6">
        <v>1.62</v>
      </c>
      <c r="AW323" s="6">
        <v>297.33</v>
      </c>
      <c r="AX323" s="6">
        <v>44.03</v>
      </c>
      <c r="AY323" s="6">
        <v>160.79</v>
      </c>
      <c r="AZ323" s="6">
        <v>11.4</v>
      </c>
      <c r="BA323" s="6">
        <v>35.6</v>
      </c>
    </row>
    <row r="324" spans="1:53" x14ac:dyDescent="0.3">
      <c r="A324" s="6">
        <v>238712095</v>
      </c>
      <c r="B324" s="6">
        <v>197251</v>
      </c>
      <c r="C324" s="6">
        <v>4078418</v>
      </c>
      <c r="D324" s="6">
        <v>2585</v>
      </c>
      <c r="E324" s="6" t="s">
        <v>106</v>
      </c>
      <c r="F324" s="6">
        <v>57807</v>
      </c>
      <c r="G324" s="6" t="s">
        <v>127</v>
      </c>
      <c r="H324" s="10">
        <v>45892</v>
      </c>
      <c r="I324" s="10">
        <v>45892</v>
      </c>
      <c r="J324" s="4">
        <v>45892.489583333336</v>
      </c>
      <c r="K324" s="4">
        <v>45892.574502314812</v>
      </c>
      <c r="L324" s="11">
        <v>45892.552974537037</v>
      </c>
      <c r="M324" s="10">
        <v>45892</v>
      </c>
      <c r="N324" s="6" t="s">
        <v>132</v>
      </c>
      <c r="O324" t="s">
        <v>186</v>
      </c>
      <c r="P324" s="6" t="s">
        <v>200</v>
      </c>
      <c r="Q324" t="s">
        <v>201</v>
      </c>
      <c r="R324" t="s">
        <v>62</v>
      </c>
      <c r="S324" s="6">
        <v>748997</v>
      </c>
      <c r="T324" s="6" t="s">
        <v>1</v>
      </c>
      <c r="U324">
        <v>111</v>
      </c>
      <c r="V324" s="6">
        <v>21.3</v>
      </c>
      <c r="W324" s="6">
        <v>31.4</v>
      </c>
      <c r="X324" s="6">
        <v>113.9</v>
      </c>
      <c r="Y324" s="6">
        <v>166.6</v>
      </c>
      <c r="Z324" s="6" t="s">
        <v>63</v>
      </c>
      <c r="AA324" t="s">
        <v>492</v>
      </c>
      <c r="AB324" s="6" t="s">
        <v>75</v>
      </c>
      <c r="AC324" t="s">
        <v>76</v>
      </c>
      <c r="AD324" t="s">
        <v>67</v>
      </c>
      <c r="AE324">
        <v>-31</v>
      </c>
      <c r="AF324">
        <v>0</v>
      </c>
      <c r="AG324">
        <v>0</v>
      </c>
      <c r="AH324" s="6">
        <v>70.8</v>
      </c>
      <c r="AI324" s="6">
        <v>0</v>
      </c>
      <c r="AJ324" s="6">
        <v>0.73399999999999999</v>
      </c>
      <c r="AK324" s="6">
        <v>0.89200000000000002</v>
      </c>
      <c r="AL324" s="8">
        <v>1136.19</v>
      </c>
      <c r="AM324" s="6" t="s">
        <v>68</v>
      </c>
      <c r="AN324" s="6">
        <v>1</v>
      </c>
      <c r="AO324" s="6">
        <v>1</v>
      </c>
      <c r="AP324" s="6">
        <v>0</v>
      </c>
      <c r="AQ324" s="6">
        <v>1</v>
      </c>
      <c r="AR324" s="6">
        <v>0</v>
      </c>
      <c r="AS324" s="6">
        <v>1</v>
      </c>
      <c r="AT324" s="6">
        <v>0</v>
      </c>
      <c r="AU324" s="6">
        <v>2.13</v>
      </c>
      <c r="AV324" s="6">
        <v>1.7</v>
      </c>
      <c r="AW324" s="6">
        <v>107.01</v>
      </c>
      <c r="AX324" s="6">
        <v>34.33</v>
      </c>
      <c r="AY324" s="6">
        <v>86.92</v>
      </c>
      <c r="AZ324" s="6">
        <v>11.9</v>
      </c>
      <c r="BA324" s="6">
        <v>15.9</v>
      </c>
    </row>
    <row r="325" spans="1:53" x14ac:dyDescent="0.3">
      <c r="A325" s="6">
        <v>508244633</v>
      </c>
      <c r="B325" s="6">
        <v>705397</v>
      </c>
      <c r="C325" s="6">
        <v>5449368</v>
      </c>
      <c r="D325" s="6">
        <v>5859</v>
      </c>
      <c r="E325" s="6" t="s">
        <v>84</v>
      </c>
      <c r="F325" s="6">
        <v>53683</v>
      </c>
      <c r="G325" s="6" t="s">
        <v>164</v>
      </c>
      <c r="H325" s="10">
        <v>45978</v>
      </c>
      <c r="I325" s="10">
        <v>45978</v>
      </c>
      <c r="J325" s="4">
        <v>45978.861111111109</v>
      </c>
      <c r="K325" s="4">
        <v>45979.118796296294</v>
      </c>
      <c r="L325" s="11">
        <v>45979.124351851853</v>
      </c>
      <c r="M325" s="10">
        <v>45979</v>
      </c>
      <c r="N325" s="6" t="s">
        <v>170</v>
      </c>
      <c r="O325" t="s">
        <v>269</v>
      </c>
      <c r="P325" s="6" t="s">
        <v>170</v>
      </c>
      <c r="Q325" t="s">
        <v>269</v>
      </c>
      <c r="R325" t="s">
        <v>62</v>
      </c>
      <c r="S325" s="6">
        <v>774798</v>
      </c>
      <c r="T325" s="6" t="s">
        <v>1</v>
      </c>
      <c r="U325">
        <v>243</v>
      </c>
      <c r="V325" s="6">
        <v>6.3</v>
      </c>
      <c r="W325" s="6">
        <v>16.899999999999999</v>
      </c>
      <c r="X325" s="6">
        <v>239.3</v>
      </c>
      <c r="Y325" s="6">
        <v>262.5</v>
      </c>
      <c r="Z325" s="6" t="s">
        <v>2</v>
      </c>
      <c r="AA325" t="s">
        <v>493</v>
      </c>
      <c r="AB325" s="6" t="s">
        <v>65</v>
      </c>
      <c r="AC325" t="s">
        <v>83</v>
      </c>
      <c r="AD325" t="s">
        <v>67</v>
      </c>
      <c r="AE325">
        <v>8</v>
      </c>
      <c r="AF325">
        <v>0</v>
      </c>
      <c r="AG325">
        <v>0</v>
      </c>
      <c r="AH325" s="6">
        <v>80.7</v>
      </c>
      <c r="AI325" s="6">
        <v>0</v>
      </c>
      <c r="AJ325" s="6">
        <v>0.71</v>
      </c>
      <c r="AK325" s="6">
        <v>0.56699999999999995</v>
      </c>
      <c r="AL325" s="8">
        <v>12858.35</v>
      </c>
      <c r="AM325" s="6" t="s">
        <v>114</v>
      </c>
      <c r="AN325" s="6">
        <v>1</v>
      </c>
      <c r="AO325" s="6">
        <v>1</v>
      </c>
      <c r="AP325" s="6">
        <v>0</v>
      </c>
      <c r="AQ325" s="6">
        <v>1</v>
      </c>
      <c r="AR325" s="6">
        <v>0</v>
      </c>
      <c r="AS325" s="6">
        <v>1</v>
      </c>
      <c r="AT325" s="6">
        <v>0</v>
      </c>
      <c r="AU325" s="6">
        <v>2.35</v>
      </c>
      <c r="AV325" s="6">
        <v>1.48</v>
      </c>
      <c r="AW325" s="6">
        <v>237.81</v>
      </c>
      <c r="AX325" s="6">
        <v>54.52</v>
      </c>
      <c r="AY325" s="6">
        <v>131.94999999999999</v>
      </c>
      <c r="AZ325" s="6">
        <v>11.4</v>
      </c>
      <c r="BA325" s="6">
        <v>29.2</v>
      </c>
    </row>
    <row r="326" spans="1:53" x14ac:dyDescent="0.3">
      <c r="A326" s="6">
        <v>671855941</v>
      </c>
      <c r="B326" s="6">
        <v>198246</v>
      </c>
      <c r="C326" s="6">
        <v>9626108</v>
      </c>
      <c r="D326" s="6">
        <v>5555</v>
      </c>
      <c r="E326" s="6" t="s">
        <v>57</v>
      </c>
      <c r="F326" s="6">
        <v>56704</v>
      </c>
      <c r="G326" s="6" t="s">
        <v>115</v>
      </c>
      <c r="H326" s="10">
        <v>45904</v>
      </c>
      <c r="I326" s="10">
        <v>45904</v>
      </c>
      <c r="J326" s="4">
        <v>45904.527777777781</v>
      </c>
      <c r="K326" s="4">
        <v>45904.798078703701</v>
      </c>
      <c r="L326" s="11">
        <v>45904.774467592593</v>
      </c>
      <c r="M326" s="10">
        <v>45904</v>
      </c>
      <c r="N326" s="6" t="s">
        <v>132</v>
      </c>
      <c r="O326" t="s">
        <v>133</v>
      </c>
      <c r="P326" s="6" t="s">
        <v>150</v>
      </c>
      <c r="Q326" t="s">
        <v>311</v>
      </c>
      <c r="R326" t="s">
        <v>73</v>
      </c>
      <c r="S326" s="6">
        <v>712046</v>
      </c>
      <c r="T326" s="6" t="s">
        <v>1</v>
      </c>
      <c r="U326">
        <v>269</v>
      </c>
      <c r="V326" s="6">
        <v>12</v>
      </c>
      <c r="W326" s="6">
        <v>23.5</v>
      </c>
      <c r="X326" s="6">
        <v>276</v>
      </c>
      <c r="Y326" s="6">
        <v>311.5</v>
      </c>
      <c r="Z326" s="6" t="s">
        <v>80</v>
      </c>
      <c r="AA326" t="s">
        <v>483</v>
      </c>
      <c r="AB326" s="6" t="s">
        <v>75</v>
      </c>
      <c r="AC326" t="s">
        <v>137</v>
      </c>
      <c r="AD326" t="s">
        <v>67</v>
      </c>
      <c r="AE326">
        <v>-34</v>
      </c>
      <c r="AF326">
        <v>0</v>
      </c>
      <c r="AG326">
        <v>0</v>
      </c>
      <c r="AH326" s="6">
        <v>18.7</v>
      </c>
      <c r="AI326" s="6">
        <v>0</v>
      </c>
      <c r="AJ326" s="6">
        <v>0.60699999999999998</v>
      </c>
      <c r="AK326" s="6">
        <v>0.85699999999999998</v>
      </c>
      <c r="AL326" s="8">
        <v>1455.87</v>
      </c>
      <c r="AM326" s="6" t="s">
        <v>68</v>
      </c>
      <c r="AN326" s="6">
        <v>1</v>
      </c>
      <c r="AO326" s="6">
        <v>1</v>
      </c>
      <c r="AP326" s="6">
        <v>0</v>
      </c>
      <c r="AQ326" s="6">
        <v>1</v>
      </c>
      <c r="AR326" s="6">
        <v>0</v>
      </c>
      <c r="AS326" s="6">
        <v>1</v>
      </c>
      <c r="AT326" s="6">
        <v>0</v>
      </c>
      <c r="AU326" s="6">
        <v>2.4300000000000002</v>
      </c>
      <c r="AV326" s="6">
        <v>1.77</v>
      </c>
      <c r="AW326" s="6">
        <v>239.05</v>
      </c>
      <c r="AX326" s="6">
        <v>58.16</v>
      </c>
      <c r="AY326" s="6">
        <v>155.91</v>
      </c>
      <c r="AZ326" s="6">
        <v>11.5</v>
      </c>
      <c r="BA326" s="6">
        <v>5.9</v>
      </c>
    </row>
    <row r="327" spans="1:53" x14ac:dyDescent="0.3">
      <c r="A327" s="6">
        <v>855561271</v>
      </c>
      <c r="B327" s="6">
        <v>391704</v>
      </c>
      <c r="C327" s="6">
        <v>7897151</v>
      </c>
      <c r="D327" s="6">
        <v>4556</v>
      </c>
      <c r="E327" s="6" t="s">
        <v>84</v>
      </c>
      <c r="F327" s="6">
        <v>57368</v>
      </c>
      <c r="G327" s="6" t="s">
        <v>69</v>
      </c>
      <c r="H327" s="10">
        <v>45788</v>
      </c>
      <c r="I327" s="10">
        <v>45788</v>
      </c>
      <c r="J327" s="4">
        <v>45788.798611111109</v>
      </c>
      <c r="K327" s="4">
        <v>45789.035787037035</v>
      </c>
      <c r="L327" s="11">
        <v>45789.048981481479</v>
      </c>
      <c r="M327" s="10">
        <v>45789</v>
      </c>
      <c r="N327" s="6" t="s">
        <v>121</v>
      </c>
      <c r="O327" t="s">
        <v>179</v>
      </c>
      <c r="P327" s="6" t="s">
        <v>132</v>
      </c>
      <c r="Q327" t="s">
        <v>328</v>
      </c>
      <c r="R327" t="s">
        <v>62</v>
      </c>
      <c r="S327" s="6">
        <v>701498</v>
      </c>
      <c r="T327" s="6" t="s">
        <v>1</v>
      </c>
      <c r="U327">
        <v>268</v>
      </c>
      <c r="V327" s="6">
        <v>42.5</v>
      </c>
      <c r="W327" s="6">
        <v>28.1</v>
      </c>
      <c r="X327" s="6">
        <v>281.3</v>
      </c>
      <c r="Y327" s="6">
        <v>351.9</v>
      </c>
      <c r="Z327" s="6" t="s">
        <v>215</v>
      </c>
      <c r="AA327" t="s">
        <v>494</v>
      </c>
      <c r="AB327" s="6" t="s">
        <v>65</v>
      </c>
      <c r="AC327" t="s">
        <v>91</v>
      </c>
      <c r="AD327" t="s">
        <v>67</v>
      </c>
      <c r="AE327">
        <v>19</v>
      </c>
      <c r="AF327">
        <v>0</v>
      </c>
      <c r="AG327">
        <v>0</v>
      </c>
      <c r="AH327" s="6">
        <v>75.3</v>
      </c>
      <c r="AI327" s="6">
        <v>0</v>
      </c>
      <c r="AJ327" s="6">
        <v>0.80900000000000005</v>
      </c>
      <c r="AK327" s="6">
        <v>0.46800000000000003</v>
      </c>
      <c r="AL327" s="8">
        <v>20686.7</v>
      </c>
      <c r="AM327" s="6" t="s">
        <v>114</v>
      </c>
      <c r="AN327" s="6">
        <v>1</v>
      </c>
      <c r="AO327" s="6">
        <v>0</v>
      </c>
      <c r="AP327" s="6">
        <v>1</v>
      </c>
      <c r="AQ327" s="6">
        <v>0</v>
      </c>
      <c r="AR327" s="6">
        <v>1</v>
      </c>
      <c r="AS327" s="6">
        <v>0</v>
      </c>
      <c r="AT327" s="6">
        <v>1</v>
      </c>
      <c r="AU327" s="6">
        <v>2.38</v>
      </c>
      <c r="AV327" s="6">
        <v>1.82</v>
      </c>
      <c r="AW327" s="6">
        <v>272.35000000000002</v>
      </c>
      <c r="AX327" s="6">
        <v>42.86</v>
      </c>
      <c r="AY327" s="6">
        <v>230.58</v>
      </c>
      <c r="AZ327" s="6">
        <v>11.3</v>
      </c>
      <c r="BA327" s="6">
        <v>42.9</v>
      </c>
    </row>
    <row r="328" spans="1:53" x14ac:dyDescent="0.3">
      <c r="A328" s="6">
        <v>347079497</v>
      </c>
      <c r="B328" s="6">
        <v>629903</v>
      </c>
      <c r="C328" s="6">
        <v>9143903</v>
      </c>
      <c r="D328" s="6">
        <v>9666</v>
      </c>
      <c r="E328" s="6" t="s">
        <v>225</v>
      </c>
      <c r="F328" s="6">
        <v>51971</v>
      </c>
      <c r="G328" s="6" t="s">
        <v>175</v>
      </c>
      <c r="H328" s="10">
        <v>45845</v>
      </c>
      <c r="I328" s="10">
        <v>45845</v>
      </c>
      <c r="J328" s="4">
        <v>45845.826388888891</v>
      </c>
      <c r="K328" s="4">
        <v>45846.05672453704</v>
      </c>
      <c r="L328" s="11">
        <v>45846.052557870367</v>
      </c>
      <c r="M328" s="10">
        <v>45846</v>
      </c>
      <c r="N328" s="6" t="s">
        <v>70</v>
      </c>
      <c r="O328" t="s">
        <v>71</v>
      </c>
      <c r="P328" s="6" t="s">
        <v>70</v>
      </c>
      <c r="Q328" t="s">
        <v>152</v>
      </c>
      <c r="R328" t="s">
        <v>73</v>
      </c>
      <c r="S328" s="6">
        <v>733303</v>
      </c>
      <c r="T328" s="6" t="s">
        <v>1</v>
      </c>
      <c r="U328">
        <v>295</v>
      </c>
      <c r="V328" s="6">
        <v>46.2</v>
      </c>
      <c r="W328" s="6">
        <v>37.5</v>
      </c>
      <c r="X328" s="6">
        <v>305.5</v>
      </c>
      <c r="Y328" s="6">
        <v>389.2</v>
      </c>
      <c r="Z328" s="6" t="s">
        <v>112</v>
      </c>
      <c r="AA328" t="s">
        <v>495</v>
      </c>
      <c r="AB328" s="6" t="s">
        <v>65</v>
      </c>
      <c r="AC328" t="s">
        <v>83</v>
      </c>
      <c r="AD328" t="s">
        <v>67</v>
      </c>
      <c r="AE328">
        <v>-6</v>
      </c>
      <c r="AF328">
        <v>0</v>
      </c>
      <c r="AG328">
        <v>0</v>
      </c>
      <c r="AH328" s="6">
        <v>71.400000000000006</v>
      </c>
      <c r="AI328" s="6">
        <v>0</v>
      </c>
      <c r="AJ328" s="6">
        <v>0.79300000000000004</v>
      </c>
      <c r="AK328" s="6">
        <v>0.72799999999999998</v>
      </c>
      <c r="AL328" s="8">
        <v>5679.6</v>
      </c>
      <c r="AM328" s="6" t="s">
        <v>68</v>
      </c>
      <c r="AN328" s="6">
        <v>1</v>
      </c>
      <c r="AO328" s="6">
        <v>1</v>
      </c>
      <c r="AP328" s="6">
        <v>0</v>
      </c>
      <c r="AQ328" s="6">
        <v>1</v>
      </c>
      <c r="AR328" s="6">
        <v>0</v>
      </c>
      <c r="AS328" s="6">
        <v>1</v>
      </c>
      <c r="AT328" s="6">
        <v>0</v>
      </c>
      <c r="AU328" s="6">
        <v>2.1</v>
      </c>
      <c r="AV328" s="6">
        <v>1.66</v>
      </c>
      <c r="AW328" s="6">
        <v>333.33</v>
      </c>
      <c r="AX328" s="6">
        <v>43.09</v>
      </c>
      <c r="AY328" s="6">
        <v>226.49</v>
      </c>
      <c r="AZ328" s="6">
        <v>10.3</v>
      </c>
      <c r="BA328" s="6">
        <v>0.6</v>
      </c>
    </row>
    <row r="329" spans="1:53" x14ac:dyDescent="0.3">
      <c r="A329" s="6">
        <v>637152602</v>
      </c>
      <c r="B329" s="6">
        <v>779514</v>
      </c>
      <c r="C329" s="6">
        <v>5130808</v>
      </c>
      <c r="D329" s="6">
        <v>3731</v>
      </c>
      <c r="E329" s="6" t="s">
        <v>106</v>
      </c>
      <c r="F329" s="6">
        <v>59695</v>
      </c>
      <c r="G329" s="6" t="s">
        <v>127</v>
      </c>
      <c r="H329" s="10">
        <v>45904</v>
      </c>
      <c r="I329" s="10">
        <v>45904</v>
      </c>
      <c r="J329" s="4">
        <v>45904.333333333336</v>
      </c>
      <c r="K329" s="4">
        <v>45904.551400462966</v>
      </c>
      <c r="L329" s="11">
        <v>45904.543067129627</v>
      </c>
      <c r="M329" s="10">
        <v>45904</v>
      </c>
      <c r="N329" s="6" t="s">
        <v>59</v>
      </c>
      <c r="O329" t="s">
        <v>61</v>
      </c>
      <c r="P329" s="6" t="s">
        <v>86</v>
      </c>
      <c r="Q329" t="s">
        <v>253</v>
      </c>
      <c r="R329" t="s">
        <v>88</v>
      </c>
      <c r="S329" s="6">
        <v>759297</v>
      </c>
      <c r="T329" s="6" t="s">
        <v>1</v>
      </c>
      <c r="U329">
        <v>261</v>
      </c>
      <c r="V329" s="6">
        <v>27.1</v>
      </c>
      <c r="W329" s="6">
        <v>43.9</v>
      </c>
      <c r="X329" s="6">
        <v>259.39999999999998</v>
      </c>
      <c r="Y329" s="6">
        <v>330.4</v>
      </c>
      <c r="Z329" s="6" t="s">
        <v>63</v>
      </c>
      <c r="AA329" t="s">
        <v>496</v>
      </c>
      <c r="AB329" s="6" t="s">
        <v>97</v>
      </c>
      <c r="AC329" t="s">
        <v>137</v>
      </c>
      <c r="AD329" t="s">
        <v>67</v>
      </c>
      <c r="AE329">
        <v>-12</v>
      </c>
      <c r="AF329">
        <v>0</v>
      </c>
      <c r="AG329">
        <v>0</v>
      </c>
      <c r="AH329" s="6">
        <v>26.8</v>
      </c>
      <c r="AI329" s="6">
        <v>0</v>
      </c>
      <c r="AJ329" s="6">
        <v>0.78600000000000003</v>
      </c>
      <c r="AK329" s="6">
        <v>0.85399999999999998</v>
      </c>
      <c r="AL329" s="8">
        <v>15655.3</v>
      </c>
      <c r="AM329" s="6" t="s">
        <v>114</v>
      </c>
      <c r="AN329" s="6">
        <v>1</v>
      </c>
      <c r="AO329" s="6">
        <v>1</v>
      </c>
      <c r="AP329" s="6">
        <v>0</v>
      </c>
      <c r="AQ329" s="6">
        <v>1</v>
      </c>
      <c r="AR329" s="6">
        <v>0</v>
      </c>
      <c r="AS329" s="6">
        <v>1</v>
      </c>
      <c r="AT329" s="6">
        <v>0</v>
      </c>
      <c r="AU329" s="6">
        <v>2.38</v>
      </c>
      <c r="AV329" s="6">
        <v>1.71</v>
      </c>
      <c r="AW329" s="6">
        <v>273.77</v>
      </c>
      <c r="AX329" s="6">
        <v>65.41</v>
      </c>
      <c r="AY329" s="6">
        <v>216.07</v>
      </c>
      <c r="AZ329" s="6">
        <v>38.9</v>
      </c>
      <c r="BA329" s="6">
        <v>57.7</v>
      </c>
    </row>
    <row r="330" spans="1:53" x14ac:dyDescent="0.3">
      <c r="A330" s="6">
        <v>699924859</v>
      </c>
      <c r="B330" s="6">
        <v>738551</v>
      </c>
      <c r="C330" s="6">
        <v>7685149</v>
      </c>
      <c r="D330" s="6">
        <v>7694</v>
      </c>
      <c r="E330" s="6" t="s">
        <v>84</v>
      </c>
      <c r="F330" s="6">
        <v>58055</v>
      </c>
      <c r="G330" s="6" t="s">
        <v>98</v>
      </c>
      <c r="H330" s="10">
        <v>46008</v>
      </c>
      <c r="I330" s="10">
        <v>46008</v>
      </c>
      <c r="J330" s="4">
        <v>46008.986111111109</v>
      </c>
      <c r="K330" s="4">
        <v>46009.100439814814</v>
      </c>
      <c r="L330" s="11">
        <v>46009.082384259258</v>
      </c>
      <c r="M330" s="10">
        <v>46009</v>
      </c>
      <c r="N330" s="6" t="s">
        <v>93</v>
      </c>
      <c r="O330" t="s">
        <v>144</v>
      </c>
      <c r="P330" s="6" t="s">
        <v>116</v>
      </c>
      <c r="Q330" t="s">
        <v>139</v>
      </c>
      <c r="R330" t="s">
        <v>123</v>
      </c>
      <c r="S330" s="6">
        <v>720446</v>
      </c>
      <c r="T330" s="6" t="s">
        <v>3</v>
      </c>
      <c r="U330">
        <v>103</v>
      </c>
      <c r="V330" s="6">
        <v>30.2</v>
      </c>
      <c r="W330" s="6">
        <v>29.4</v>
      </c>
      <c r="X330" s="6">
        <v>100.4</v>
      </c>
      <c r="Y330" s="6">
        <v>160</v>
      </c>
      <c r="Z330" s="6" t="s">
        <v>63</v>
      </c>
      <c r="AA330" t="s">
        <v>407</v>
      </c>
      <c r="AB330" s="6" t="s">
        <v>65</v>
      </c>
      <c r="AC330" t="s">
        <v>125</v>
      </c>
      <c r="AD330" t="s">
        <v>67</v>
      </c>
      <c r="AE330">
        <v>-26</v>
      </c>
      <c r="AF330">
        <v>0</v>
      </c>
      <c r="AG330">
        <v>0</v>
      </c>
      <c r="AH330" s="6">
        <v>68.3</v>
      </c>
      <c r="AI330" s="6">
        <v>0</v>
      </c>
      <c r="AJ330" s="6">
        <v>0.41299999999999998</v>
      </c>
      <c r="AK330" s="6">
        <v>0.50800000000000001</v>
      </c>
      <c r="AL330" s="8">
        <v>4988.54</v>
      </c>
      <c r="AM330" s="6" t="s">
        <v>68</v>
      </c>
      <c r="AN330" s="6">
        <v>1</v>
      </c>
      <c r="AO330" s="6">
        <v>1</v>
      </c>
      <c r="AP330" s="6">
        <v>0</v>
      </c>
      <c r="AQ330" s="6">
        <v>1</v>
      </c>
      <c r="AR330" s="6">
        <v>0</v>
      </c>
      <c r="AS330" s="6">
        <v>1</v>
      </c>
      <c r="AT330" s="6">
        <v>0</v>
      </c>
      <c r="AU330" s="6">
        <v>2.2400000000000002</v>
      </c>
      <c r="AV330" s="6">
        <v>1.36</v>
      </c>
      <c r="AW330" s="6">
        <v>110.58</v>
      </c>
      <c r="AX330" s="6">
        <v>33.15</v>
      </c>
      <c r="AY330" s="6">
        <v>90.65</v>
      </c>
      <c r="AZ330" s="6">
        <v>4.0999999999999996</v>
      </c>
      <c r="BA330" s="6">
        <v>0</v>
      </c>
    </row>
    <row r="331" spans="1:53" x14ac:dyDescent="0.3">
      <c r="A331" s="6">
        <v>994807263</v>
      </c>
      <c r="B331" s="6">
        <v>391704</v>
      </c>
      <c r="C331" s="6">
        <v>7897151</v>
      </c>
      <c r="D331" s="6">
        <v>4556</v>
      </c>
      <c r="E331" s="6" t="s">
        <v>84</v>
      </c>
      <c r="F331" s="6">
        <v>54218</v>
      </c>
      <c r="G331" s="6" t="s">
        <v>164</v>
      </c>
      <c r="H331" s="10">
        <v>45750</v>
      </c>
      <c r="I331" s="10">
        <v>45750</v>
      </c>
      <c r="J331" s="4">
        <v>45750.711805555555</v>
      </c>
      <c r="K331" s="4">
        <v>45750.774305555555</v>
      </c>
      <c r="L331" s="11">
        <v>45750.75277777778</v>
      </c>
      <c r="M331" s="10">
        <v>45750</v>
      </c>
      <c r="N331" s="6" t="s">
        <v>150</v>
      </c>
      <c r="O331" t="s">
        <v>265</v>
      </c>
      <c r="P331" s="6" t="s">
        <v>132</v>
      </c>
      <c r="Q331" t="s">
        <v>181</v>
      </c>
      <c r="R331" t="s">
        <v>62</v>
      </c>
      <c r="S331" s="6">
        <v>752402</v>
      </c>
      <c r="T331" s="6" t="s">
        <v>3</v>
      </c>
      <c r="U331">
        <v>49</v>
      </c>
      <c r="V331" s="6">
        <v>16.399999999999999</v>
      </c>
      <c r="W331" s="6">
        <v>9.1999999999999993</v>
      </c>
      <c r="X331" s="6">
        <v>53.7</v>
      </c>
      <c r="Y331" s="6">
        <v>79.3</v>
      </c>
      <c r="Z331" s="6" t="s">
        <v>215</v>
      </c>
      <c r="AA331" t="s">
        <v>497</v>
      </c>
      <c r="AB331" s="6" t="s">
        <v>90</v>
      </c>
      <c r="AC331" t="s">
        <v>137</v>
      </c>
      <c r="AD331" t="s">
        <v>67</v>
      </c>
      <c r="AE331">
        <v>-31</v>
      </c>
      <c r="AF331">
        <v>0</v>
      </c>
      <c r="AG331">
        <v>0</v>
      </c>
      <c r="AH331" s="6">
        <v>59.4</v>
      </c>
      <c r="AI331" s="6">
        <v>0</v>
      </c>
      <c r="AJ331" s="6">
        <v>0.89600000000000002</v>
      </c>
      <c r="AK331" s="6">
        <v>0.70299999999999996</v>
      </c>
      <c r="AL331" s="8">
        <v>4321.5</v>
      </c>
      <c r="AM331" s="6" t="s">
        <v>68</v>
      </c>
      <c r="AN331" s="6">
        <v>1</v>
      </c>
      <c r="AO331" s="6">
        <v>1</v>
      </c>
      <c r="AP331" s="6">
        <v>0</v>
      </c>
      <c r="AQ331" s="6">
        <v>1</v>
      </c>
      <c r="AR331" s="6">
        <v>0</v>
      </c>
      <c r="AS331" s="6">
        <v>1</v>
      </c>
      <c r="AT331" s="6">
        <v>0</v>
      </c>
      <c r="AU331" s="6">
        <v>2.76</v>
      </c>
      <c r="AV331" s="6">
        <v>1.63</v>
      </c>
      <c r="AW331" s="6">
        <v>49.77</v>
      </c>
      <c r="AX331" s="6">
        <v>11.28</v>
      </c>
      <c r="AY331" s="6">
        <v>40.29</v>
      </c>
      <c r="AZ331" s="6">
        <v>11.3</v>
      </c>
      <c r="BA331" s="6">
        <v>42.8</v>
      </c>
    </row>
    <row r="332" spans="1:53" x14ac:dyDescent="0.3">
      <c r="A332" s="6">
        <v>817311263</v>
      </c>
      <c r="B332" s="6">
        <v>835392</v>
      </c>
      <c r="C332" s="6">
        <v>4194548</v>
      </c>
      <c r="D332" s="6">
        <v>4005</v>
      </c>
      <c r="E332" s="6" t="s">
        <v>211</v>
      </c>
      <c r="F332" s="6">
        <v>51868</v>
      </c>
      <c r="G332" s="6" t="s">
        <v>203</v>
      </c>
      <c r="H332" s="10">
        <v>45977</v>
      </c>
      <c r="I332" s="10">
        <v>45977</v>
      </c>
      <c r="J332" s="4">
        <v>45977.336805555555</v>
      </c>
      <c r="K332" s="4">
        <v>45977.577650462961</v>
      </c>
      <c r="L332" s="11">
        <v>45977.529733796298</v>
      </c>
      <c r="M332" s="10">
        <v>45977</v>
      </c>
      <c r="N332" s="6" t="s">
        <v>70</v>
      </c>
      <c r="O332" t="s">
        <v>138</v>
      </c>
      <c r="P332" s="6" t="s">
        <v>170</v>
      </c>
      <c r="Q332" t="s">
        <v>221</v>
      </c>
      <c r="R332" t="s">
        <v>62</v>
      </c>
      <c r="S332" s="6">
        <v>722184</v>
      </c>
      <c r="T332" s="6" t="s">
        <v>1</v>
      </c>
      <c r="U332">
        <v>213</v>
      </c>
      <c r="V332" s="6">
        <v>10.5</v>
      </c>
      <c r="W332" s="6">
        <v>3.4</v>
      </c>
      <c r="X332" s="6">
        <v>217.1</v>
      </c>
      <c r="Y332" s="6">
        <v>231</v>
      </c>
      <c r="Z332" s="6" t="s">
        <v>63</v>
      </c>
      <c r="AA332" t="s">
        <v>96</v>
      </c>
      <c r="AB332" s="6" t="s">
        <v>97</v>
      </c>
      <c r="AC332" t="s">
        <v>91</v>
      </c>
      <c r="AD332" t="s">
        <v>67</v>
      </c>
      <c r="AE332">
        <v>-69</v>
      </c>
      <c r="AF332">
        <v>0</v>
      </c>
      <c r="AG332">
        <v>0</v>
      </c>
      <c r="AH332" s="6">
        <v>28.4</v>
      </c>
      <c r="AI332" s="6">
        <v>0</v>
      </c>
      <c r="AJ332" s="6">
        <v>0.629</v>
      </c>
      <c r="AK332" s="6">
        <v>0.73499999999999999</v>
      </c>
      <c r="AL332" s="8">
        <v>101488.67</v>
      </c>
      <c r="AM332" s="6" t="s">
        <v>155</v>
      </c>
      <c r="AN332" s="6">
        <v>1</v>
      </c>
      <c r="AO332" s="6">
        <v>1</v>
      </c>
      <c r="AP332" s="6">
        <v>0</v>
      </c>
      <c r="AQ332" s="6">
        <v>1</v>
      </c>
      <c r="AR332" s="6">
        <v>0</v>
      </c>
      <c r="AS332" s="6">
        <v>1</v>
      </c>
      <c r="AT332" s="6">
        <v>0</v>
      </c>
      <c r="AU332" s="6">
        <v>2.1</v>
      </c>
      <c r="AV332" s="6">
        <v>1.35</v>
      </c>
      <c r="AW332" s="6">
        <v>197.17</v>
      </c>
      <c r="AX332" s="6">
        <v>32.880000000000003</v>
      </c>
      <c r="AY332" s="6">
        <v>150.71</v>
      </c>
      <c r="AZ332" s="6">
        <v>31.7</v>
      </c>
      <c r="BA332" s="6">
        <v>41.5</v>
      </c>
    </row>
    <row r="333" spans="1:53" x14ac:dyDescent="0.3">
      <c r="A333" s="6">
        <v>965650861</v>
      </c>
      <c r="B333" s="6">
        <v>634277</v>
      </c>
      <c r="C333" s="6">
        <v>1059486</v>
      </c>
      <c r="D333" s="6">
        <v>6232</v>
      </c>
      <c r="E333" s="6" t="s">
        <v>106</v>
      </c>
      <c r="F333" s="6">
        <v>51671</v>
      </c>
      <c r="G333" s="6" t="s">
        <v>127</v>
      </c>
      <c r="H333" s="10">
        <v>45995</v>
      </c>
      <c r="I333" s="10">
        <v>45995</v>
      </c>
      <c r="J333" s="4">
        <v>45995.736111111109</v>
      </c>
      <c r="K333" s="4">
        <v>45995.798611111109</v>
      </c>
      <c r="L333" s="11">
        <v>45995.781944444447</v>
      </c>
      <c r="M333" s="10">
        <v>45995</v>
      </c>
      <c r="N333" s="6" t="s">
        <v>129</v>
      </c>
      <c r="O333" t="s">
        <v>241</v>
      </c>
      <c r="P333" s="6" t="s">
        <v>129</v>
      </c>
      <c r="Q333" t="s">
        <v>157</v>
      </c>
      <c r="R333" t="s">
        <v>123</v>
      </c>
      <c r="S333" s="6">
        <v>739365</v>
      </c>
      <c r="T333" s="6" t="s">
        <v>3</v>
      </c>
      <c r="U333">
        <v>21</v>
      </c>
      <c r="V333" s="6">
        <v>32.299999999999997</v>
      </c>
      <c r="W333" s="6">
        <v>22.8</v>
      </c>
      <c r="X333" s="6">
        <v>14.3</v>
      </c>
      <c r="Y333" s="6">
        <v>69.400000000000006</v>
      </c>
      <c r="Z333" s="6" t="s">
        <v>63</v>
      </c>
      <c r="AA333" t="s">
        <v>498</v>
      </c>
      <c r="AB333" s="6" t="s">
        <v>90</v>
      </c>
      <c r="AC333" t="s">
        <v>137</v>
      </c>
      <c r="AD333" t="s">
        <v>67</v>
      </c>
      <c r="AE333">
        <v>-24</v>
      </c>
      <c r="AF333">
        <v>0</v>
      </c>
      <c r="AG333">
        <v>0</v>
      </c>
      <c r="AH333" s="6">
        <v>58.9</v>
      </c>
      <c r="AI333" s="6">
        <v>0</v>
      </c>
      <c r="AJ333" s="6">
        <v>0.72799999999999998</v>
      </c>
      <c r="AK333" s="6">
        <v>0.60799999999999998</v>
      </c>
      <c r="AL333" s="8">
        <v>4127</v>
      </c>
      <c r="AM333" s="6" t="s">
        <v>68</v>
      </c>
      <c r="AN333" s="6">
        <v>1</v>
      </c>
      <c r="AO333" s="6">
        <v>1</v>
      </c>
      <c r="AP333" s="6">
        <v>0</v>
      </c>
      <c r="AQ333" s="6">
        <v>1</v>
      </c>
      <c r="AR333" s="6">
        <v>0</v>
      </c>
      <c r="AS333" s="6">
        <v>1</v>
      </c>
      <c r="AT333" s="6">
        <v>0</v>
      </c>
      <c r="AU333" s="6">
        <v>2.4900000000000002</v>
      </c>
      <c r="AV333" s="6">
        <v>1.95</v>
      </c>
      <c r="AW333" s="6">
        <v>45.73</v>
      </c>
      <c r="AX333" s="6">
        <v>10.19</v>
      </c>
      <c r="AY333" s="6">
        <v>43.74</v>
      </c>
      <c r="AZ333" s="6">
        <v>4.7</v>
      </c>
      <c r="BA333" s="6">
        <v>58</v>
      </c>
    </row>
    <row r="334" spans="1:53" x14ac:dyDescent="0.3">
      <c r="A334" s="6">
        <v>480284107</v>
      </c>
      <c r="B334" s="6">
        <v>498382</v>
      </c>
      <c r="C334" s="6">
        <v>5673212</v>
      </c>
      <c r="D334" s="6">
        <v>4943</v>
      </c>
      <c r="E334" s="6" t="s">
        <v>185</v>
      </c>
      <c r="F334" s="6">
        <v>59274</v>
      </c>
      <c r="G334" s="6" t="s">
        <v>69</v>
      </c>
      <c r="H334" s="10">
        <v>45902</v>
      </c>
      <c r="I334" s="10">
        <v>45902</v>
      </c>
      <c r="J334" s="4">
        <v>45902.152777777781</v>
      </c>
      <c r="K334" s="4">
        <v>45902.215277777781</v>
      </c>
      <c r="L334" s="11">
        <v>45902.202777777777</v>
      </c>
      <c r="M334" s="10">
        <v>45902</v>
      </c>
      <c r="N334" s="6" t="s">
        <v>109</v>
      </c>
      <c r="O334" t="s">
        <v>118</v>
      </c>
      <c r="P334" s="6" t="s">
        <v>86</v>
      </c>
      <c r="Q334" t="s">
        <v>268</v>
      </c>
      <c r="R334" t="s">
        <v>88</v>
      </c>
      <c r="S334" s="6">
        <v>795889</v>
      </c>
      <c r="T334" s="6" t="s">
        <v>3</v>
      </c>
      <c r="U334">
        <v>20</v>
      </c>
      <c r="V334" s="6">
        <v>14.1</v>
      </c>
      <c r="W334" s="6">
        <v>23.7</v>
      </c>
      <c r="X334" s="6">
        <v>18.5</v>
      </c>
      <c r="Y334" s="6">
        <v>56.3</v>
      </c>
      <c r="Z334" s="6" t="s">
        <v>63</v>
      </c>
      <c r="AA334" t="s">
        <v>286</v>
      </c>
      <c r="AB334" s="6" t="s">
        <v>82</v>
      </c>
      <c r="AC334" t="s">
        <v>66</v>
      </c>
      <c r="AD334" t="s">
        <v>67</v>
      </c>
      <c r="AE334">
        <v>-18</v>
      </c>
      <c r="AF334">
        <v>0</v>
      </c>
      <c r="AG334">
        <v>0</v>
      </c>
      <c r="AH334" s="6">
        <v>50.8</v>
      </c>
      <c r="AI334" s="6">
        <v>0</v>
      </c>
      <c r="AJ334" s="6">
        <v>0.84699999999999998</v>
      </c>
      <c r="AK334" s="6">
        <v>0.46100000000000002</v>
      </c>
      <c r="AL334" s="8">
        <v>3037.01</v>
      </c>
      <c r="AM334" s="6" t="s">
        <v>68</v>
      </c>
      <c r="AN334" s="6">
        <v>1</v>
      </c>
      <c r="AO334" s="6">
        <v>1</v>
      </c>
      <c r="AP334" s="6">
        <v>0</v>
      </c>
      <c r="AQ334" s="6">
        <v>1</v>
      </c>
      <c r="AR334" s="6">
        <v>0</v>
      </c>
      <c r="AS334" s="6">
        <v>1</v>
      </c>
      <c r="AT334" s="6">
        <v>0</v>
      </c>
      <c r="AU334" s="6">
        <v>2.1</v>
      </c>
      <c r="AV334" s="6">
        <v>1.47</v>
      </c>
      <c r="AW334" s="6">
        <v>45.01</v>
      </c>
      <c r="AX334" s="6">
        <v>11.22</v>
      </c>
      <c r="AY334" s="6">
        <v>28.55</v>
      </c>
      <c r="AZ334" s="6">
        <v>12.5</v>
      </c>
      <c r="BA334" s="6">
        <v>13.4</v>
      </c>
    </row>
    <row r="335" spans="1:53" x14ac:dyDescent="0.3">
      <c r="A335" s="6">
        <v>177390472</v>
      </c>
      <c r="B335" s="6">
        <v>343962</v>
      </c>
      <c r="C335" s="6">
        <v>5672073</v>
      </c>
      <c r="D335" s="6">
        <v>7396</v>
      </c>
      <c r="E335" s="6" t="s">
        <v>92</v>
      </c>
      <c r="F335" s="6">
        <v>51728</v>
      </c>
      <c r="G335" s="6" t="s">
        <v>127</v>
      </c>
      <c r="H335" s="10">
        <v>45997</v>
      </c>
      <c r="I335" s="10">
        <v>45997</v>
      </c>
      <c r="J335" s="4">
        <v>45997.621527777781</v>
      </c>
      <c r="K335" s="4">
        <v>45997.861990740741</v>
      </c>
      <c r="L335" s="11">
        <v>45997.821712962963</v>
      </c>
      <c r="M335" s="10">
        <v>45997</v>
      </c>
      <c r="N335" s="6" t="s">
        <v>170</v>
      </c>
      <c r="O335" t="s">
        <v>189</v>
      </c>
      <c r="P335" s="6" t="s">
        <v>200</v>
      </c>
      <c r="Q335" t="s">
        <v>201</v>
      </c>
      <c r="R335" t="s">
        <v>62</v>
      </c>
      <c r="S335" s="6">
        <v>763035</v>
      </c>
      <c r="T335" s="6" t="s">
        <v>111</v>
      </c>
      <c r="U335">
        <v>345</v>
      </c>
      <c r="V335" s="6">
        <v>52.4</v>
      </c>
      <c r="W335" s="6">
        <v>9.4</v>
      </c>
      <c r="X335" s="6">
        <v>349</v>
      </c>
      <c r="Y335" s="6">
        <v>410.8</v>
      </c>
      <c r="Z335" s="6" t="s">
        <v>80</v>
      </c>
      <c r="AA335" t="s">
        <v>153</v>
      </c>
      <c r="AB335" s="6" t="s">
        <v>90</v>
      </c>
      <c r="AC335" t="s">
        <v>76</v>
      </c>
      <c r="AD335" t="s">
        <v>67</v>
      </c>
      <c r="AE335">
        <v>-58</v>
      </c>
      <c r="AF335">
        <v>0</v>
      </c>
      <c r="AG335">
        <v>0</v>
      </c>
      <c r="AH335" s="6">
        <v>28.6</v>
      </c>
      <c r="AI335" s="6">
        <v>0</v>
      </c>
      <c r="AJ335" s="6">
        <v>0.56399999999999995</v>
      </c>
      <c r="AK335" s="6">
        <v>0.84099999999999997</v>
      </c>
      <c r="AL335" s="8">
        <v>5343.52</v>
      </c>
      <c r="AM335" s="6" t="s">
        <v>68</v>
      </c>
      <c r="AN335" s="6">
        <v>1</v>
      </c>
      <c r="AO335" s="6">
        <v>1</v>
      </c>
      <c r="AP335" s="6">
        <v>0</v>
      </c>
      <c r="AQ335" s="6">
        <v>1</v>
      </c>
      <c r="AR335" s="6">
        <v>0</v>
      </c>
      <c r="AS335" s="6">
        <v>1</v>
      </c>
      <c r="AT335" s="6">
        <v>0</v>
      </c>
      <c r="AU335" s="6">
        <v>2.0299999999999998</v>
      </c>
      <c r="AV335" s="6">
        <v>1.44</v>
      </c>
      <c r="AW335" s="6">
        <v>370.87</v>
      </c>
      <c r="AX335" s="6">
        <v>75.94</v>
      </c>
      <c r="AY335" s="6">
        <v>288.32</v>
      </c>
      <c r="AZ335" s="6">
        <v>13.7</v>
      </c>
      <c r="BA335" s="6">
        <v>33.1</v>
      </c>
    </row>
    <row r="336" spans="1:53" x14ac:dyDescent="0.3">
      <c r="A336" s="6">
        <v>526351920</v>
      </c>
      <c r="B336" s="6">
        <v>325772</v>
      </c>
      <c r="C336" s="6">
        <v>9997381</v>
      </c>
      <c r="D336" s="6">
        <v>8099</v>
      </c>
      <c r="E336" s="6" t="s">
        <v>211</v>
      </c>
      <c r="F336" s="6">
        <v>57632</v>
      </c>
      <c r="G336" s="6" t="s">
        <v>235</v>
      </c>
      <c r="H336" s="10">
        <v>45803</v>
      </c>
      <c r="I336" s="10">
        <v>45803</v>
      </c>
      <c r="J336" s="4">
        <v>45803.378472222219</v>
      </c>
      <c r="K336" s="4">
        <v>45803.441967592589</v>
      </c>
      <c r="L336" s="11">
        <v>45803.441967592589</v>
      </c>
      <c r="M336" s="10">
        <v>45803</v>
      </c>
      <c r="N336" s="6" t="s">
        <v>134</v>
      </c>
      <c r="O336" t="s">
        <v>278</v>
      </c>
      <c r="P336" s="6" t="s">
        <v>116</v>
      </c>
      <c r="Q336" t="s">
        <v>251</v>
      </c>
      <c r="R336" t="s">
        <v>123</v>
      </c>
      <c r="S336" s="6">
        <v>799317</v>
      </c>
      <c r="T336" s="6" t="s">
        <v>3</v>
      </c>
      <c r="U336">
        <v>29</v>
      </c>
      <c r="V336" s="6">
        <v>29.4</v>
      </c>
      <c r="W336" s="6">
        <v>3.7</v>
      </c>
      <c r="X336" s="6">
        <v>23.6</v>
      </c>
      <c r="Y336" s="6">
        <v>56.7</v>
      </c>
      <c r="Z336" s="6" t="s">
        <v>2</v>
      </c>
      <c r="AA336" t="s">
        <v>492</v>
      </c>
      <c r="AB336" s="6" t="s">
        <v>97</v>
      </c>
      <c r="AC336" t="s">
        <v>83</v>
      </c>
      <c r="AD336" t="s">
        <v>67</v>
      </c>
      <c r="AE336">
        <v>0</v>
      </c>
      <c r="AF336">
        <v>0</v>
      </c>
      <c r="AG336">
        <v>0</v>
      </c>
      <c r="AH336" s="6">
        <v>53.9</v>
      </c>
      <c r="AI336" s="6">
        <v>0</v>
      </c>
      <c r="AJ336" s="6">
        <v>0.47599999999999998</v>
      </c>
      <c r="AK336" s="6">
        <v>0.60399999999999998</v>
      </c>
      <c r="AL336" s="8">
        <v>66254.720000000001</v>
      </c>
      <c r="AM336" s="6" t="s">
        <v>155</v>
      </c>
      <c r="AN336" s="6">
        <v>1</v>
      </c>
      <c r="AO336" s="6">
        <v>1</v>
      </c>
      <c r="AP336" s="6">
        <v>0</v>
      </c>
      <c r="AQ336" s="6">
        <v>1</v>
      </c>
      <c r="AR336" s="6">
        <v>0</v>
      </c>
      <c r="AS336" s="6">
        <v>1</v>
      </c>
      <c r="AT336" s="6">
        <v>0</v>
      </c>
      <c r="AU336" s="6">
        <v>2.2799999999999998</v>
      </c>
      <c r="AV336" s="6">
        <v>1.63</v>
      </c>
      <c r="AW336" s="6">
        <v>44.5</v>
      </c>
      <c r="AX336" s="6">
        <v>6.5</v>
      </c>
      <c r="AY336" s="6">
        <v>31.42</v>
      </c>
      <c r="AZ336" s="6">
        <v>4.7</v>
      </c>
      <c r="BA336" s="6">
        <v>26</v>
      </c>
    </row>
    <row r="337" spans="1:53" x14ac:dyDescent="0.3">
      <c r="A337" s="6">
        <v>896760809</v>
      </c>
      <c r="B337" s="6">
        <v>903035</v>
      </c>
      <c r="C337" s="6">
        <v>7110622</v>
      </c>
      <c r="D337" s="6">
        <v>3200</v>
      </c>
      <c r="E337" s="6" t="s">
        <v>92</v>
      </c>
      <c r="F337" s="6">
        <v>56403</v>
      </c>
      <c r="G337" s="6" t="s">
        <v>175</v>
      </c>
      <c r="H337" s="10">
        <v>46005</v>
      </c>
      <c r="I337" s="10">
        <v>46005</v>
      </c>
      <c r="J337" s="4">
        <v>46005.055555555555</v>
      </c>
      <c r="K337" s="4">
        <v>46005.286608796298</v>
      </c>
      <c r="L337" s="11">
        <v>46005.271331018521</v>
      </c>
      <c r="M337" s="10">
        <v>46005</v>
      </c>
      <c r="N337" s="6" t="s">
        <v>103</v>
      </c>
      <c r="O337" t="s">
        <v>104</v>
      </c>
      <c r="P337" s="6" t="s">
        <v>103</v>
      </c>
      <c r="Q337" t="s">
        <v>99</v>
      </c>
      <c r="R337" t="s">
        <v>73</v>
      </c>
      <c r="S337" s="6">
        <v>783084</v>
      </c>
      <c r="T337" s="6" t="s">
        <v>111</v>
      </c>
      <c r="U337">
        <v>349</v>
      </c>
      <c r="V337" s="6">
        <v>30</v>
      </c>
      <c r="W337" s="6">
        <v>38.200000000000003</v>
      </c>
      <c r="X337" s="6">
        <v>344.5</v>
      </c>
      <c r="Y337" s="6">
        <v>412.7</v>
      </c>
      <c r="Z337" s="6" t="s">
        <v>2</v>
      </c>
      <c r="AA337" t="s">
        <v>231</v>
      </c>
      <c r="AB337" s="6" t="s">
        <v>82</v>
      </c>
      <c r="AC337" t="s">
        <v>91</v>
      </c>
      <c r="AD337" t="s">
        <v>67</v>
      </c>
      <c r="AE337">
        <v>-22</v>
      </c>
      <c r="AF337">
        <v>0</v>
      </c>
      <c r="AG337">
        <v>0</v>
      </c>
      <c r="AH337" s="6">
        <v>73.2</v>
      </c>
      <c r="AI337" s="6">
        <v>0</v>
      </c>
      <c r="AJ337" s="6">
        <v>0.70899999999999996</v>
      </c>
      <c r="AK337" s="6">
        <v>0.85499999999999998</v>
      </c>
      <c r="AL337" s="8">
        <v>3355.56</v>
      </c>
      <c r="AM337" s="6" t="s">
        <v>68</v>
      </c>
      <c r="AN337" s="6">
        <v>1</v>
      </c>
      <c r="AO337" s="6">
        <v>1</v>
      </c>
      <c r="AP337" s="6">
        <v>0</v>
      </c>
      <c r="AQ337" s="6">
        <v>1</v>
      </c>
      <c r="AR337" s="6">
        <v>0</v>
      </c>
      <c r="AS337" s="6">
        <v>1</v>
      </c>
      <c r="AT337" s="6">
        <v>0</v>
      </c>
      <c r="AU337" s="6">
        <v>2.66</v>
      </c>
      <c r="AV337" s="6">
        <v>1.74</v>
      </c>
      <c r="AW337" s="6">
        <v>291.23</v>
      </c>
      <c r="AX337" s="6">
        <v>72.7</v>
      </c>
      <c r="AY337" s="6">
        <v>262.95</v>
      </c>
      <c r="AZ337" s="6">
        <v>26.8</v>
      </c>
      <c r="BA337" s="6">
        <v>0</v>
      </c>
    </row>
    <row r="338" spans="1:53" x14ac:dyDescent="0.3">
      <c r="A338" s="6">
        <v>145421708</v>
      </c>
      <c r="B338" s="6">
        <v>656116</v>
      </c>
      <c r="C338" s="6">
        <v>9996207</v>
      </c>
      <c r="D338" s="6">
        <v>5061</v>
      </c>
      <c r="E338" s="6" t="s">
        <v>92</v>
      </c>
      <c r="F338" s="6">
        <v>56092</v>
      </c>
      <c r="G338" s="6" t="s">
        <v>77</v>
      </c>
      <c r="H338" s="10">
        <v>45914</v>
      </c>
      <c r="I338" s="10">
        <v>45914</v>
      </c>
      <c r="J338" s="4">
        <v>45914.5</v>
      </c>
      <c r="K338" s="4">
        <v>45914.615069444444</v>
      </c>
      <c r="L338" s="11">
        <v>45914.621319444443</v>
      </c>
      <c r="M338" s="10">
        <v>45914</v>
      </c>
      <c r="N338" s="6" t="s">
        <v>176</v>
      </c>
      <c r="O338" t="s">
        <v>177</v>
      </c>
      <c r="P338" s="6" t="s">
        <v>109</v>
      </c>
      <c r="Q338" t="s">
        <v>161</v>
      </c>
      <c r="R338" t="s">
        <v>88</v>
      </c>
      <c r="S338" s="6">
        <v>742390</v>
      </c>
      <c r="T338" s="6" t="s">
        <v>1</v>
      </c>
      <c r="U338">
        <v>143</v>
      </c>
      <c r="V338" s="6">
        <v>2.9</v>
      </c>
      <c r="W338" s="6">
        <v>22.2</v>
      </c>
      <c r="X338" s="6">
        <v>139.4</v>
      </c>
      <c r="Y338" s="6">
        <v>164.5</v>
      </c>
      <c r="Z338" s="6" t="s">
        <v>63</v>
      </c>
      <c r="AA338" t="s">
        <v>499</v>
      </c>
      <c r="AB338" s="6" t="s">
        <v>75</v>
      </c>
      <c r="AC338" t="s">
        <v>91</v>
      </c>
      <c r="AD338" t="s">
        <v>67</v>
      </c>
      <c r="AE338">
        <v>9</v>
      </c>
      <c r="AF338">
        <v>0</v>
      </c>
      <c r="AG338">
        <v>0</v>
      </c>
      <c r="AH338" s="6">
        <v>78.3</v>
      </c>
      <c r="AI338" s="6">
        <v>0</v>
      </c>
      <c r="AJ338" s="6">
        <v>0.41599999999999998</v>
      </c>
      <c r="AK338" s="6">
        <v>0.623</v>
      </c>
      <c r="AL338" s="8">
        <v>15990.13</v>
      </c>
      <c r="AM338" s="6" t="s">
        <v>114</v>
      </c>
      <c r="AN338" s="6">
        <v>1</v>
      </c>
      <c r="AO338" s="6">
        <v>1</v>
      </c>
      <c r="AP338" s="6">
        <v>0</v>
      </c>
      <c r="AQ338" s="6">
        <v>1</v>
      </c>
      <c r="AR338" s="6">
        <v>0</v>
      </c>
      <c r="AS338" s="6">
        <v>1</v>
      </c>
      <c r="AT338" s="6">
        <v>0</v>
      </c>
      <c r="AU338" s="6">
        <v>2.0099999999999998</v>
      </c>
      <c r="AV338" s="6">
        <v>1.25</v>
      </c>
      <c r="AW338" s="6">
        <v>110.81</v>
      </c>
      <c r="AX338" s="6">
        <v>16.64</v>
      </c>
      <c r="AY338" s="6">
        <v>80.22</v>
      </c>
      <c r="AZ338" s="6">
        <v>0.1</v>
      </c>
      <c r="BA338" s="6">
        <v>23.4</v>
      </c>
    </row>
    <row r="339" spans="1:53" x14ac:dyDescent="0.3">
      <c r="A339" s="6">
        <v>568387228</v>
      </c>
      <c r="B339" s="6">
        <v>391476</v>
      </c>
      <c r="C339" s="6">
        <v>8999183</v>
      </c>
      <c r="D339" s="6">
        <v>6618</v>
      </c>
      <c r="E339" s="6" t="s">
        <v>92</v>
      </c>
      <c r="F339" s="6">
        <v>52142</v>
      </c>
      <c r="G339" s="6" t="s">
        <v>115</v>
      </c>
      <c r="H339" s="10">
        <v>45673</v>
      </c>
      <c r="I339" s="10">
        <v>45673</v>
      </c>
      <c r="J339" s="4">
        <v>45673.46875</v>
      </c>
      <c r="K339" s="4">
        <v>45673.756053240744</v>
      </c>
      <c r="L339" s="11">
        <v>45673.733136574076</v>
      </c>
      <c r="M339" s="10">
        <v>45673</v>
      </c>
      <c r="N339" s="6" t="s">
        <v>116</v>
      </c>
      <c r="O339" t="s">
        <v>139</v>
      </c>
      <c r="P339" s="6" t="s">
        <v>116</v>
      </c>
      <c r="Q339" t="s">
        <v>212</v>
      </c>
      <c r="R339" t="s">
        <v>123</v>
      </c>
      <c r="S339" s="6">
        <v>748114</v>
      </c>
      <c r="T339" s="6" t="s">
        <v>111</v>
      </c>
      <c r="U339">
        <v>296</v>
      </c>
      <c r="V339" s="6">
        <v>19.7</v>
      </c>
      <c r="W339" s="6">
        <v>1.9</v>
      </c>
      <c r="X339" s="6">
        <v>293.60000000000002</v>
      </c>
      <c r="Y339" s="6">
        <v>315.2</v>
      </c>
      <c r="Z339" s="6" t="s">
        <v>2</v>
      </c>
      <c r="AA339" t="s">
        <v>500</v>
      </c>
      <c r="AB339" s="6" t="s">
        <v>75</v>
      </c>
      <c r="AC339" t="s">
        <v>137</v>
      </c>
      <c r="AD339" t="s">
        <v>67</v>
      </c>
      <c r="AE339">
        <v>-33</v>
      </c>
      <c r="AF339">
        <v>0</v>
      </c>
      <c r="AG339">
        <v>0</v>
      </c>
      <c r="AH339" s="6">
        <v>40.1</v>
      </c>
      <c r="AI339" s="6">
        <v>0</v>
      </c>
      <c r="AJ339" s="6">
        <v>0.49</v>
      </c>
      <c r="AK339" s="6">
        <v>0.63800000000000001</v>
      </c>
      <c r="AL339" s="8">
        <v>23471.15</v>
      </c>
      <c r="AM339" s="6" t="s">
        <v>114</v>
      </c>
      <c r="AN339" s="6">
        <v>1</v>
      </c>
      <c r="AO339" s="6">
        <v>1</v>
      </c>
      <c r="AP339" s="6">
        <v>0</v>
      </c>
      <c r="AQ339" s="6">
        <v>1</v>
      </c>
      <c r="AR339" s="6">
        <v>0</v>
      </c>
      <c r="AS339" s="6">
        <v>1</v>
      </c>
      <c r="AT339" s="6">
        <v>0</v>
      </c>
      <c r="AU339" s="6">
        <v>2.2400000000000002</v>
      </c>
      <c r="AV339" s="6">
        <v>1.77</v>
      </c>
      <c r="AW339" s="6">
        <v>197.97</v>
      </c>
      <c r="AX339" s="6">
        <v>58.39</v>
      </c>
      <c r="AY339" s="6">
        <v>184.81</v>
      </c>
      <c r="AZ339" s="6">
        <v>51.7</v>
      </c>
      <c r="BA339" s="6">
        <v>49.2</v>
      </c>
    </row>
    <row r="340" spans="1:53" x14ac:dyDescent="0.3">
      <c r="A340" s="6">
        <v>120123575</v>
      </c>
      <c r="B340" s="6">
        <v>813536</v>
      </c>
      <c r="C340" s="6">
        <v>3500715</v>
      </c>
      <c r="D340" s="6">
        <v>5737</v>
      </c>
      <c r="E340" s="6" t="s">
        <v>57</v>
      </c>
      <c r="F340" s="6">
        <v>59340</v>
      </c>
      <c r="G340" s="6" t="s">
        <v>149</v>
      </c>
      <c r="H340" s="10">
        <v>45989</v>
      </c>
      <c r="I340" s="10">
        <v>45989</v>
      </c>
      <c r="J340" s="4">
        <v>45989.652777777781</v>
      </c>
      <c r="K340" s="4">
        <v>45989.867106481484</v>
      </c>
      <c r="L340" s="11">
        <v>45989.873356481483</v>
      </c>
      <c r="M340" s="10">
        <v>45989</v>
      </c>
      <c r="N340" s="6" t="s">
        <v>170</v>
      </c>
      <c r="O340" t="s">
        <v>189</v>
      </c>
      <c r="P340" s="6" t="s">
        <v>170</v>
      </c>
      <c r="Q340" t="s">
        <v>171</v>
      </c>
      <c r="R340" t="s">
        <v>62</v>
      </c>
      <c r="S340" s="6">
        <v>774798</v>
      </c>
      <c r="T340" s="6" t="s">
        <v>1</v>
      </c>
      <c r="U340">
        <v>300</v>
      </c>
      <c r="V340" s="6">
        <v>30</v>
      </c>
      <c r="W340" s="6">
        <v>13.2</v>
      </c>
      <c r="X340" s="6">
        <v>290.60000000000002</v>
      </c>
      <c r="Y340" s="6">
        <v>333.8</v>
      </c>
      <c r="Z340" s="6" t="s">
        <v>2</v>
      </c>
      <c r="AA340" t="s">
        <v>501</v>
      </c>
      <c r="AB340" s="6" t="s">
        <v>90</v>
      </c>
      <c r="AC340" t="s">
        <v>154</v>
      </c>
      <c r="AD340" t="s">
        <v>67</v>
      </c>
      <c r="AE340">
        <v>9</v>
      </c>
      <c r="AF340">
        <v>69</v>
      </c>
      <c r="AG340">
        <v>0</v>
      </c>
      <c r="AH340" s="6">
        <v>5</v>
      </c>
      <c r="AI340" s="6">
        <v>0</v>
      </c>
      <c r="AJ340" s="6">
        <v>0.88400000000000001</v>
      </c>
      <c r="AK340" s="6">
        <v>0.34899999999999998</v>
      </c>
      <c r="AL340" s="8">
        <v>5039.84</v>
      </c>
      <c r="AM340" s="6" t="s">
        <v>68</v>
      </c>
      <c r="AN340" s="6">
        <v>1</v>
      </c>
      <c r="AO340" s="6">
        <v>1</v>
      </c>
      <c r="AP340" s="6">
        <v>0</v>
      </c>
      <c r="AQ340" s="6">
        <v>1</v>
      </c>
      <c r="AR340" s="6">
        <v>0</v>
      </c>
      <c r="AS340" s="6">
        <v>1</v>
      </c>
      <c r="AT340" s="6">
        <v>0</v>
      </c>
      <c r="AU340" s="6">
        <v>2.64</v>
      </c>
      <c r="AV340" s="6">
        <v>1.97</v>
      </c>
      <c r="AW340" s="6">
        <v>269.37</v>
      </c>
      <c r="AX340" s="6">
        <v>64.010000000000005</v>
      </c>
      <c r="AY340" s="6">
        <v>237.48</v>
      </c>
      <c r="AZ340" s="6">
        <v>6.9</v>
      </c>
      <c r="BA340" s="6">
        <v>42.8</v>
      </c>
    </row>
    <row r="341" spans="1:53" x14ac:dyDescent="0.3">
      <c r="A341" s="6">
        <v>593657365</v>
      </c>
      <c r="B341" s="6">
        <v>852787</v>
      </c>
      <c r="C341" s="6">
        <v>6075395</v>
      </c>
      <c r="D341" s="6">
        <v>7668</v>
      </c>
      <c r="E341" s="6" t="s">
        <v>211</v>
      </c>
      <c r="F341" s="6">
        <v>56184</v>
      </c>
      <c r="G341" s="6" t="s">
        <v>69</v>
      </c>
      <c r="H341" s="10">
        <v>45834</v>
      </c>
      <c r="I341" s="10">
        <v>45834</v>
      </c>
      <c r="J341" s="4">
        <v>45834.923611111109</v>
      </c>
      <c r="K341" s="4">
        <v>45835.032754629632</v>
      </c>
      <c r="L341" s="11">
        <v>45835.013310185182</v>
      </c>
      <c r="M341" s="10">
        <v>45835</v>
      </c>
      <c r="N341" s="6" t="s">
        <v>78</v>
      </c>
      <c r="O341" t="s">
        <v>79</v>
      </c>
      <c r="P341" s="6" t="s">
        <v>176</v>
      </c>
      <c r="Q341" t="s">
        <v>227</v>
      </c>
      <c r="R341" t="s">
        <v>88</v>
      </c>
      <c r="S341" s="6">
        <v>795484</v>
      </c>
      <c r="T341" s="6" t="s">
        <v>1</v>
      </c>
      <c r="U341">
        <v>106</v>
      </c>
      <c r="V341" s="6">
        <v>13.1</v>
      </c>
      <c r="W341" s="6">
        <v>14.4</v>
      </c>
      <c r="X341" s="6">
        <v>110.2</v>
      </c>
      <c r="Y341" s="6">
        <v>137.69999999999999</v>
      </c>
      <c r="Z341" s="6" t="s">
        <v>112</v>
      </c>
      <c r="AA341" t="s">
        <v>430</v>
      </c>
      <c r="AB341" s="6" t="s">
        <v>65</v>
      </c>
      <c r="AC341" t="s">
        <v>137</v>
      </c>
      <c r="AD341" t="s">
        <v>67</v>
      </c>
      <c r="AE341">
        <v>-28</v>
      </c>
      <c r="AF341">
        <v>0</v>
      </c>
      <c r="AG341">
        <v>0</v>
      </c>
      <c r="AH341" s="6">
        <v>70.3</v>
      </c>
      <c r="AI341" s="6">
        <v>0</v>
      </c>
      <c r="AJ341" s="6">
        <v>0.53</v>
      </c>
      <c r="AK341" s="6">
        <v>0.60899999999999999</v>
      </c>
      <c r="AL341" s="8">
        <v>3789.71</v>
      </c>
      <c r="AM341" s="6" t="s">
        <v>68</v>
      </c>
      <c r="AN341" s="6">
        <v>1</v>
      </c>
      <c r="AO341" s="6">
        <v>1</v>
      </c>
      <c r="AP341" s="6">
        <v>0</v>
      </c>
      <c r="AQ341" s="6">
        <v>1</v>
      </c>
      <c r="AR341" s="6">
        <v>0</v>
      </c>
      <c r="AS341" s="6">
        <v>1</v>
      </c>
      <c r="AT341" s="6">
        <v>0</v>
      </c>
      <c r="AU341" s="6">
        <v>2.4</v>
      </c>
      <c r="AV341" s="6">
        <v>1.66</v>
      </c>
      <c r="AW341" s="6">
        <v>108.42</v>
      </c>
      <c r="AX341" s="6">
        <v>27.24</v>
      </c>
      <c r="AY341" s="6">
        <v>95.39</v>
      </c>
      <c r="AZ341" s="6">
        <v>15.7</v>
      </c>
      <c r="BA341" s="6">
        <v>64.900000000000006</v>
      </c>
    </row>
    <row r="342" spans="1:53" x14ac:dyDescent="0.3">
      <c r="A342" s="6">
        <v>183604337</v>
      </c>
      <c r="B342" s="6">
        <v>724834</v>
      </c>
      <c r="C342" s="6">
        <v>1701771</v>
      </c>
      <c r="D342" s="6">
        <v>6249</v>
      </c>
      <c r="E342" s="6" t="s">
        <v>142</v>
      </c>
      <c r="F342" s="6">
        <v>56010</v>
      </c>
      <c r="G342" s="6" t="s">
        <v>115</v>
      </c>
      <c r="H342" s="10">
        <v>45826</v>
      </c>
      <c r="I342" s="10">
        <v>45826</v>
      </c>
      <c r="J342" s="4">
        <v>45826.572916666664</v>
      </c>
      <c r="K342" s="4">
        <v>45826.862881944442</v>
      </c>
      <c r="L342" s="11">
        <v>45826.927465277775</v>
      </c>
      <c r="M342" s="10">
        <v>45826</v>
      </c>
      <c r="N342" s="6" t="s">
        <v>70</v>
      </c>
      <c r="O342" t="s">
        <v>71</v>
      </c>
      <c r="P342" s="6" t="s">
        <v>78</v>
      </c>
      <c r="Q342" t="s">
        <v>147</v>
      </c>
      <c r="R342" t="s">
        <v>88</v>
      </c>
      <c r="S342" s="6">
        <v>796425</v>
      </c>
      <c r="T342" s="6" t="s">
        <v>1</v>
      </c>
      <c r="U342">
        <v>263</v>
      </c>
      <c r="V342" s="6">
        <v>39.700000000000003</v>
      </c>
      <c r="W342" s="6">
        <v>33.1</v>
      </c>
      <c r="X342" s="6">
        <v>258.60000000000002</v>
      </c>
      <c r="Y342" s="6">
        <v>331.4</v>
      </c>
      <c r="Z342" s="6" t="s">
        <v>2</v>
      </c>
      <c r="AA342" t="s">
        <v>502</v>
      </c>
      <c r="AB342" s="6" t="s">
        <v>75</v>
      </c>
      <c r="AC342" t="s">
        <v>125</v>
      </c>
      <c r="AD342" t="s">
        <v>192</v>
      </c>
      <c r="AE342">
        <v>93</v>
      </c>
      <c r="AF342">
        <v>0</v>
      </c>
      <c r="AG342">
        <v>0</v>
      </c>
      <c r="AH342" s="6">
        <v>97.6</v>
      </c>
      <c r="AI342" s="6">
        <v>0</v>
      </c>
      <c r="AJ342" s="6">
        <v>0.23200000000000001</v>
      </c>
      <c r="AK342" s="6">
        <v>0.34399999999999997</v>
      </c>
      <c r="AL342" s="8">
        <v>4080.01</v>
      </c>
      <c r="AM342" s="6" t="s">
        <v>68</v>
      </c>
      <c r="AN342" s="6">
        <v>1</v>
      </c>
      <c r="AO342" s="6">
        <v>0</v>
      </c>
      <c r="AP342" s="6">
        <v>1</v>
      </c>
      <c r="AQ342" s="6">
        <v>0</v>
      </c>
      <c r="AR342" s="6">
        <v>1</v>
      </c>
      <c r="AS342" s="6">
        <v>0</v>
      </c>
      <c r="AT342" s="6">
        <v>1</v>
      </c>
      <c r="AU342" s="6">
        <v>2.64</v>
      </c>
      <c r="AV342" s="6">
        <v>1.75</v>
      </c>
      <c r="AW342" s="6">
        <v>251.37</v>
      </c>
      <c r="AX342" s="6">
        <v>58.02</v>
      </c>
      <c r="AY342" s="6">
        <v>176.68</v>
      </c>
      <c r="AZ342" s="6">
        <v>4.4000000000000004</v>
      </c>
      <c r="BA342" s="6">
        <v>13</v>
      </c>
    </row>
    <row r="343" spans="1:53" x14ac:dyDescent="0.3">
      <c r="A343" s="6">
        <v>436146289</v>
      </c>
      <c r="B343" s="6">
        <v>724834</v>
      </c>
      <c r="C343" s="6">
        <v>1701771</v>
      </c>
      <c r="D343" s="6">
        <v>6249</v>
      </c>
      <c r="E343" s="6" t="s">
        <v>142</v>
      </c>
      <c r="F343" s="6">
        <v>50253</v>
      </c>
      <c r="G343" s="6" t="s">
        <v>146</v>
      </c>
      <c r="H343" s="10">
        <v>45864</v>
      </c>
      <c r="I343" s="10">
        <v>45864</v>
      </c>
      <c r="J343" s="4">
        <v>45864.166666666664</v>
      </c>
      <c r="K343" s="4">
        <v>45864.317233796297</v>
      </c>
      <c r="L343" s="11">
        <v>45864.308206018519</v>
      </c>
      <c r="M343" s="10">
        <v>45864</v>
      </c>
      <c r="N343" s="6" t="s">
        <v>170</v>
      </c>
      <c r="O343" t="s">
        <v>269</v>
      </c>
      <c r="P343" s="6" t="s">
        <v>200</v>
      </c>
      <c r="Q343" t="s">
        <v>161</v>
      </c>
      <c r="R343" t="s">
        <v>62</v>
      </c>
      <c r="S343" s="6">
        <v>763035</v>
      </c>
      <c r="T343" s="6" t="s">
        <v>1</v>
      </c>
      <c r="U343">
        <v>137</v>
      </c>
      <c r="V343" s="6">
        <v>5.6</v>
      </c>
      <c r="W343" s="6">
        <v>40.9</v>
      </c>
      <c r="X343" s="6">
        <v>138.19999999999999</v>
      </c>
      <c r="Y343" s="6">
        <v>184.7</v>
      </c>
      <c r="Z343" s="6" t="s">
        <v>2</v>
      </c>
      <c r="AA343" t="s">
        <v>503</v>
      </c>
      <c r="AB343" s="6" t="s">
        <v>82</v>
      </c>
      <c r="AC343" t="s">
        <v>76</v>
      </c>
      <c r="AD343" t="s">
        <v>67</v>
      </c>
      <c r="AE343">
        <v>-13</v>
      </c>
      <c r="AF343">
        <v>0</v>
      </c>
      <c r="AG343">
        <v>0</v>
      </c>
      <c r="AH343" s="6">
        <v>63.8</v>
      </c>
      <c r="AI343" s="6">
        <v>0</v>
      </c>
      <c r="AJ343" s="6">
        <v>0.85899999999999999</v>
      </c>
      <c r="AK343" s="6">
        <v>0.36799999999999999</v>
      </c>
      <c r="AL343" s="8">
        <v>22074.66</v>
      </c>
      <c r="AM343" s="6" t="s">
        <v>114</v>
      </c>
      <c r="AN343" s="6">
        <v>1</v>
      </c>
      <c r="AO343" s="6">
        <v>1</v>
      </c>
      <c r="AP343" s="6">
        <v>0</v>
      </c>
      <c r="AQ343" s="6">
        <v>1</v>
      </c>
      <c r="AR343" s="6">
        <v>0</v>
      </c>
      <c r="AS343" s="6">
        <v>1</v>
      </c>
      <c r="AT343" s="6">
        <v>0</v>
      </c>
      <c r="AU343" s="6">
        <v>2.2200000000000002</v>
      </c>
      <c r="AV343" s="6">
        <v>1.52</v>
      </c>
      <c r="AW343" s="6">
        <v>125.25</v>
      </c>
      <c r="AX343" s="6">
        <v>22.47</v>
      </c>
      <c r="AY343" s="6">
        <v>127.63</v>
      </c>
      <c r="AZ343" s="6">
        <v>4.4000000000000004</v>
      </c>
      <c r="BA343" s="6">
        <v>10.1</v>
      </c>
    </row>
    <row r="344" spans="1:53" x14ac:dyDescent="0.3">
      <c r="A344" s="6">
        <v>718216692</v>
      </c>
      <c r="B344" s="6">
        <v>245051</v>
      </c>
      <c r="C344" s="6">
        <v>1739653</v>
      </c>
      <c r="D344" s="6">
        <v>4763</v>
      </c>
      <c r="E344" s="6" t="s">
        <v>185</v>
      </c>
      <c r="F344" s="6">
        <v>54102</v>
      </c>
      <c r="G344" s="6" t="s">
        <v>149</v>
      </c>
      <c r="H344" s="10">
        <v>45712</v>
      </c>
      <c r="I344" s="10">
        <v>45712</v>
      </c>
      <c r="J344" s="4">
        <v>45712.652777777781</v>
      </c>
      <c r="K344" s="4">
        <v>45712.932337962964</v>
      </c>
      <c r="L344" s="11">
        <v>45713.074699074074</v>
      </c>
      <c r="M344" s="10">
        <v>45713</v>
      </c>
      <c r="N344" s="6" t="s">
        <v>121</v>
      </c>
      <c r="O344" t="s">
        <v>143</v>
      </c>
      <c r="P344" s="6" t="s">
        <v>86</v>
      </c>
      <c r="Q344" t="s">
        <v>268</v>
      </c>
      <c r="R344" t="s">
        <v>88</v>
      </c>
      <c r="S344" s="6">
        <v>781681</v>
      </c>
      <c r="T344" s="6" t="s">
        <v>1</v>
      </c>
      <c r="U344">
        <v>301</v>
      </c>
      <c r="V344" s="6">
        <v>12.4</v>
      </c>
      <c r="W344" s="6">
        <v>25</v>
      </c>
      <c r="X344" s="6">
        <v>301.60000000000002</v>
      </c>
      <c r="Y344" s="6">
        <v>339</v>
      </c>
      <c r="Z344" s="6" t="s">
        <v>63</v>
      </c>
      <c r="AA344" t="s">
        <v>415</v>
      </c>
      <c r="AB344" s="6" t="s">
        <v>90</v>
      </c>
      <c r="AC344" t="s">
        <v>83</v>
      </c>
      <c r="AD344" t="s">
        <v>188</v>
      </c>
      <c r="AE344">
        <v>205</v>
      </c>
      <c r="AF344">
        <v>0</v>
      </c>
      <c r="AG344">
        <v>3.9</v>
      </c>
      <c r="AH344" s="6">
        <v>42.8</v>
      </c>
      <c r="AI344" s="6">
        <v>0</v>
      </c>
      <c r="AJ344" s="6">
        <v>0.78900000000000003</v>
      </c>
      <c r="AK344" s="6">
        <v>0.60399999999999998</v>
      </c>
      <c r="AL344" s="8">
        <v>16827.919999999998</v>
      </c>
      <c r="AM344" s="6" t="s">
        <v>114</v>
      </c>
      <c r="AN344" s="6">
        <v>1</v>
      </c>
      <c r="AO344" s="6">
        <v>0</v>
      </c>
      <c r="AP344" s="6">
        <v>1</v>
      </c>
      <c r="AQ344" s="6">
        <v>0</v>
      </c>
      <c r="AR344" s="6">
        <v>1</v>
      </c>
      <c r="AS344" s="6">
        <v>0</v>
      </c>
      <c r="AT344" s="6">
        <v>1</v>
      </c>
      <c r="AU344" s="6">
        <v>2.2599999999999998</v>
      </c>
      <c r="AV344" s="6">
        <v>1.33</v>
      </c>
      <c r="AW344" s="6">
        <v>234.25</v>
      </c>
      <c r="AX344" s="6">
        <v>66.19</v>
      </c>
      <c r="AY344" s="6">
        <v>186.56</v>
      </c>
      <c r="AZ344" s="6">
        <v>12.9</v>
      </c>
      <c r="BA344" s="6">
        <v>73.2</v>
      </c>
    </row>
    <row r="345" spans="1:53" x14ac:dyDescent="0.3">
      <c r="A345" s="6">
        <v>560940492</v>
      </c>
      <c r="B345" s="6">
        <v>662275</v>
      </c>
      <c r="C345" s="6">
        <v>7818496</v>
      </c>
      <c r="D345" s="6">
        <v>8629</v>
      </c>
      <c r="E345" s="6" t="s">
        <v>106</v>
      </c>
      <c r="F345" s="6">
        <v>53542</v>
      </c>
      <c r="G345" s="6" t="s">
        <v>127</v>
      </c>
      <c r="H345" s="10">
        <v>45829</v>
      </c>
      <c r="I345" s="10">
        <v>45829</v>
      </c>
      <c r="J345" s="4">
        <v>45829.552083333336</v>
      </c>
      <c r="K345" s="4">
        <v>45829.647210648145</v>
      </c>
      <c r="L345" s="11">
        <v>45829.63957175926</v>
      </c>
      <c r="M345" s="10">
        <v>45829</v>
      </c>
      <c r="N345" s="6" t="s">
        <v>200</v>
      </c>
      <c r="O345" t="s">
        <v>171</v>
      </c>
      <c r="P345" s="6" t="s">
        <v>170</v>
      </c>
      <c r="Q345" t="s">
        <v>171</v>
      </c>
      <c r="R345" t="s">
        <v>62</v>
      </c>
      <c r="S345" s="6">
        <v>754209</v>
      </c>
      <c r="T345" s="6" t="s">
        <v>3</v>
      </c>
      <c r="U345">
        <v>100</v>
      </c>
      <c r="V345" s="6">
        <v>42.2</v>
      </c>
      <c r="W345" s="6">
        <v>13.7</v>
      </c>
      <c r="X345" s="6">
        <v>93.9</v>
      </c>
      <c r="Y345" s="6">
        <v>149.80000000000001</v>
      </c>
      <c r="Z345" s="6" t="s">
        <v>112</v>
      </c>
      <c r="AA345" t="s">
        <v>504</v>
      </c>
      <c r="AB345" s="6" t="s">
        <v>75</v>
      </c>
      <c r="AC345" t="s">
        <v>76</v>
      </c>
      <c r="AD345" t="s">
        <v>67</v>
      </c>
      <c r="AE345">
        <v>-11</v>
      </c>
      <c r="AF345">
        <v>0</v>
      </c>
      <c r="AG345">
        <v>0</v>
      </c>
      <c r="AH345" s="6">
        <v>28.5</v>
      </c>
      <c r="AI345" s="6">
        <v>0</v>
      </c>
      <c r="AJ345" s="6">
        <v>0.67600000000000005</v>
      </c>
      <c r="AK345" s="6">
        <v>0.70299999999999996</v>
      </c>
      <c r="AL345" s="8">
        <v>2981.86</v>
      </c>
      <c r="AM345" s="6" t="s">
        <v>68</v>
      </c>
      <c r="AN345" s="6">
        <v>1</v>
      </c>
      <c r="AO345" s="6">
        <v>1</v>
      </c>
      <c r="AP345" s="6">
        <v>0</v>
      </c>
      <c r="AQ345" s="6">
        <v>1</v>
      </c>
      <c r="AR345" s="6">
        <v>0</v>
      </c>
      <c r="AS345" s="6">
        <v>1</v>
      </c>
      <c r="AT345" s="6">
        <v>0</v>
      </c>
      <c r="AU345" s="6">
        <v>2.5299999999999998</v>
      </c>
      <c r="AV345" s="6">
        <v>1.61</v>
      </c>
      <c r="AW345" s="6">
        <v>135.94999999999999</v>
      </c>
      <c r="AX345" s="6">
        <v>31.15</v>
      </c>
      <c r="AY345" s="6">
        <v>102.54</v>
      </c>
      <c r="AZ345" s="6">
        <v>31.4</v>
      </c>
      <c r="BA345" s="6">
        <v>50.7</v>
      </c>
    </row>
    <row r="346" spans="1:53" x14ac:dyDescent="0.3">
      <c r="A346" s="6">
        <v>715683222</v>
      </c>
      <c r="B346" s="6">
        <v>246316</v>
      </c>
      <c r="C346" s="6">
        <v>1352896</v>
      </c>
      <c r="D346" s="6">
        <v>5426</v>
      </c>
      <c r="E346" s="6" t="s">
        <v>185</v>
      </c>
      <c r="F346" s="6">
        <v>52775</v>
      </c>
      <c r="G346" s="6" t="s">
        <v>115</v>
      </c>
      <c r="H346" s="10">
        <v>45961</v>
      </c>
      <c r="I346" s="10">
        <v>45961</v>
      </c>
      <c r="J346" s="4">
        <v>45961.461805555555</v>
      </c>
      <c r="K346" s="4">
        <v>45962.208923611113</v>
      </c>
      <c r="L346" s="11">
        <v>45962.167256944442</v>
      </c>
      <c r="M346" s="10">
        <v>45962</v>
      </c>
      <c r="N346" s="6" t="s">
        <v>134</v>
      </c>
      <c r="O346" t="s">
        <v>135</v>
      </c>
      <c r="P346" s="6" t="s">
        <v>78</v>
      </c>
      <c r="Q346" t="s">
        <v>222</v>
      </c>
      <c r="R346" t="s">
        <v>88</v>
      </c>
      <c r="S346" s="6">
        <v>778944</v>
      </c>
      <c r="T346" s="6" t="s">
        <v>140</v>
      </c>
      <c r="U346">
        <v>852</v>
      </c>
      <c r="V346" s="6">
        <v>30.5</v>
      </c>
      <c r="W346" s="6">
        <v>21.1</v>
      </c>
      <c r="X346" s="6">
        <v>841.4</v>
      </c>
      <c r="Y346" s="6">
        <v>893</v>
      </c>
      <c r="Z346" s="6" t="s">
        <v>63</v>
      </c>
      <c r="AA346" t="s">
        <v>505</v>
      </c>
      <c r="AB346" s="6" t="s">
        <v>75</v>
      </c>
      <c r="AC346" t="s">
        <v>154</v>
      </c>
      <c r="AD346" t="s">
        <v>67</v>
      </c>
      <c r="AE346">
        <v>-60</v>
      </c>
      <c r="AF346">
        <v>0</v>
      </c>
      <c r="AG346">
        <v>0</v>
      </c>
      <c r="AH346" s="6">
        <v>59.1</v>
      </c>
      <c r="AI346" s="6">
        <v>0</v>
      </c>
      <c r="AJ346" s="6">
        <v>0.68500000000000005</v>
      </c>
      <c r="AK346" s="6">
        <v>0.75800000000000001</v>
      </c>
      <c r="AL346" s="8">
        <v>15710.44</v>
      </c>
      <c r="AM346" s="6" t="s">
        <v>114</v>
      </c>
      <c r="AN346" s="6">
        <v>1</v>
      </c>
      <c r="AO346" s="6">
        <v>1</v>
      </c>
      <c r="AP346" s="6">
        <v>0</v>
      </c>
      <c r="AQ346" s="6">
        <v>1</v>
      </c>
      <c r="AR346" s="6">
        <v>0</v>
      </c>
      <c r="AS346" s="6">
        <v>1</v>
      </c>
      <c r="AT346" s="6">
        <v>0</v>
      </c>
      <c r="AU346" s="6">
        <v>2.02</v>
      </c>
      <c r="AV346" s="6">
        <v>1.28</v>
      </c>
      <c r="AW346" s="6">
        <v>559.13</v>
      </c>
      <c r="AX346" s="6">
        <v>157.22</v>
      </c>
      <c r="AY346" s="6">
        <v>584.92999999999995</v>
      </c>
      <c r="AZ346" s="6">
        <v>28.1</v>
      </c>
      <c r="BA346" s="6">
        <v>14.7</v>
      </c>
    </row>
    <row r="347" spans="1:53" x14ac:dyDescent="0.3">
      <c r="A347" s="6">
        <v>534245762</v>
      </c>
      <c r="B347" s="6">
        <v>356702</v>
      </c>
      <c r="C347" s="6">
        <v>4426900</v>
      </c>
      <c r="D347" s="6">
        <v>1502</v>
      </c>
      <c r="E347" s="6" t="s">
        <v>84</v>
      </c>
      <c r="F347" s="6">
        <v>57678</v>
      </c>
      <c r="G347" s="6" t="s">
        <v>149</v>
      </c>
      <c r="H347" s="10">
        <v>45663</v>
      </c>
      <c r="I347" s="10">
        <v>45663</v>
      </c>
      <c r="J347" s="4">
        <v>45663.413194444445</v>
      </c>
      <c r="K347" s="4">
        <v>45663.616365740738</v>
      </c>
      <c r="L347" s="11">
        <v>45663.601782407408</v>
      </c>
      <c r="M347" s="10">
        <v>45663</v>
      </c>
      <c r="N347" s="6" t="s">
        <v>176</v>
      </c>
      <c r="O347" t="s">
        <v>316</v>
      </c>
      <c r="P347" s="6" t="s">
        <v>176</v>
      </c>
      <c r="Q347" t="s">
        <v>177</v>
      </c>
      <c r="R347" t="s">
        <v>88</v>
      </c>
      <c r="S347" s="6">
        <v>745653</v>
      </c>
      <c r="T347" s="6" t="s">
        <v>1</v>
      </c>
      <c r="U347">
        <v>249</v>
      </c>
      <c r="V347" s="6">
        <v>4</v>
      </c>
      <c r="W347" s="6">
        <v>14.5</v>
      </c>
      <c r="X347" s="6">
        <v>249.5</v>
      </c>
      <c r="Y347" s="6">
        <v>268</v>
      </c>
      <c r="Z347" s="6" t="s">
        <v>63</v>
      </c>
      <c r="AA347" t="s">
        <v>506</v>
      </c>
      <c r="AB347" s="6" t="s">
        <v>97</v>
      </c>
      <c r="AC347" t="s">
        <v>83</v>
      </c>
      <c r="AD347" t="s">
        <v>67</v>
      </c>
      <c r="AE347">
        <v>-21</v>
      </c>
      <c r="AF347">
        <v>82</v>
      </c>
      <c r="AG347">
        <v>0.7</v>
      </c>
      <c r="AH347" s="6">
        <v>67</v>
      </c>
      <c r="AI347" s="6">
        <v>0</v>
      </c>
      <c r="AJ347" s="6">
        <v>0.214</v>
      </c>
      <c r="AK347" s="6">
        <v>0.55800000000000005</v>
      </c>
      <c r="AL347" s="8">
        <v>1611.51</v>
      </c>
      <c r="AM347" s="6" t="s">
        <v>68</v>
      </c>
      <c r="AN347" s="6">
        <v>1</v>
      </c>
      <c r="AO347" s="6">
        <v>1</v>
      </c>
      <c r="AP347" s="6">
        <v>0</v>
      </c>
      <c r="AQ347" s="6">
        <v>1</v>
      </c>
      <c r="AR347" s="6">
        <v>0</v>
      </c>
      <c r="AS347" s="6">
        <v>1</v>
      </c>
      <c r="AT347" s="6">
        <v>0</v>
      </c>
      <c r="AU347" s="6">
        <v>2.21</v>
      </c>
      <c r="AV347" s="6">
        <v>1.5</v>
      </c>
      <c r="AW347" s="6">
        <v>195.38</v>
      </c>
      <c r="AX347" s="6">
        <v>35.65</v>
      </c>
      <c r="AY347" s="6">
        <v>151.28</v>
      </c>
      <c r="AZ347" s="6">
        <v>47.2</v>
      </c>
      <c r="BA347" s="6">
        <v>0.8</v>
      </c>
    </row>
    <row r="348" spans="1:53" x14ac:dyDescent="0.3">
      <c r="A348" s="6">
        <v>861818706</v>
      </c>
      <c r="B348" s="6">
        <v>955662</v>
      </c>
      <c r="C348" s="6">
        <v>8315831</v>
      </c>
      <c r="D348" s="6">
        <v>9445</v>
      </c>
      <c r="E348" s="6" t="s">
        <v>84</v>
      </c>
      <c r="F348" s="6">
        <v>56212</v>
      </c>
      <c r="G348" s="6" t="s">
        <v>115</v>
      </c>
      <c r="H348" s="10">
        <v>45757</v>
      </c>
      <c r="I348" s="10">
        <v>45757</v>
      </c>
      <c r="J348" s="4">
        <v>45757.444444444445</v>
      </c>
      <c r="K348" s="4">
        <v>45757.561203703706</v>
      </c>
      <c r="L348" s="11">
        <v>45757.547314814816</v>
      </c>
      <c r="M348" s="10">
        <v>45757</v>
      </c>
      <c r="N348" s="6" t="s">
        <v>129</v>
      </c>
      <c r="O348" t="s">
        <v>162</v>
      </c>
      <c r="P348" s="6" t="s">
        <v>132</v>
      </c>
      <c r="Q348" t="s">
        <v>181</v>
      </c>
      <c r="R348" t="s">
        <v>62</v>
      </c>
      <c r="S348" s="6">
        <v>719112</v>
      </c>
      <c r="T348" s="6" t="s">
        <v>1</v>
      </c>
      <c r="U348">
        <v>106</v>
      </c>
      <c r="V348" s="6">
        <v>22.6</v>
      </c>
      <c r="W348" s="6">
        <v>4.0999999999999996</v>
      </c>
      <c r="X348" s="6">
        <v>103.4</v>
      </c>
      <c r="Y348" s="6">
        <v>130.1</v>
      </c>
      <c r="Z348" s="6" t="s">
        <v>80</v>
      </c>
      <c r="AA348" t="s">
        <v>224</v>
      </c>
      <c r="AB348" s="6" t="s">
        <v>75</v>
      </c>
      <c r="AC348" t="s">
        <v>137</v>
      </c>
      <c r="AD348" t="s">
        <v>67</v>
      </c>
      <c r="AE348">
        <v>-20</v>
      </c>
      <c r="AF348">
        <v>0</v>
      </c>
      <c r="AG348">
        <v>0</v>
      </c>
      <c r="AH348" s="6">
        <v>36.1</v>
      </c>
      <c r="AI348" s="6">
        <v>0</v>
      </c>
      <c r="AJ348" s="6">
        <v>0.64200000000000002</v>
      </c>
      <c r="AK348" s="6">
        <v>0.66900000000000004</v>
      </c>
      <c r="AL348" s="8">
        <v>2578.11</v>
      </c>
      <c r="AM348" s="6" t="s">
        <v>68</v>
      </c>
      <c r="AN348" s="6">
        <v>1</v>
      </c>
      <c r="AO348" s="6">
        <v>1</v>
      </c>
      <c r="AP348" s="6">
        <v>0</v>
      </c>
      <c r="AQ348" s="6">
        <v>1</v>
      </c>
      <c r="AR348" s="6">
        <v>0</v>
      </c>
      <c r="AS348" s="6">
        <v>1</v>
      </c>
      <c r="AT348" s="6">
        <v>0</v>
      </c>
      <c r="AU348" s="6">
        <v>1.97</v>
      </c>
      <c r="AV348" s="6">
        <v>1.24</v>
      </c>
      <c r="AW348" s="6">
        <v>82.18</v>
      </c>
      <c r="AX348" s="6">
        <v>15.81</v>
      </c>
      <c r="AY348" s="6">
        <v>90.89</v>
      </c>
      <c r="AZ348" s="6">
        <v>18.100000000000001</v>
      </c>
      <c r="BA348" s="6">
        <v>27.2</v>
      </c>
    </row>
    <row r="349" spans="1:53" x14ac:dyDescent="0.3">
      <c r="A349" s="6">
        <v>787346882</v>
      </c>
      <c r="B349" s="6">
        <v>623481</v>
      </c>
      <c r="C349" s="6">
        <v>2737893</v>
      </c>
      <c r="D349" s="6">
        <v>4627</v>
      </c>
      <c r="E349" s="6" t="s">
        <v>101</v>
      </c>
      <c r="F349" s="6">
        <v>54637</v>
      </c>
      <c r="G349" s="6" t="s">
        <v>127</v>
      </c>
      <c r="H349" s="10">
        <v>45658</v>
      </c>
      <c r="I349" s="10">
        <v>45658</v>
      </c>
      <c r="J349" s="4">
        <v>45658.375</v>
      </c>
      <c r="K349" s="4">
        <v>45658.855486111112</v>
      </c>
      <c r="L349" s="11">
        <v>45658.812430555554</v>
      </c>
      <c r="M349" s="10">
        <v>45658</v>
      </c>
      <c r="N349" s="6" t="s">
        <v>86</v>
      </c>
      <c r="O349" t="s">
        <v>243</v>
      </c>
      <c r="P349" s="6" t="s">
        <v>132</v>
      </c>
      <c r="Q349" t="s">
        <v>186</v>
      </c>
      <c r="R349" t="s">
        <v>62</v>
      </c>
      <c r="S349" s="6">
        <v>772918</v>
      </c>
      <c r="T349" s="6" t="s">
        <v>111</v>
      </c>
      <c r="U349">
        <v>516</v>
      </c>
      <c r="V349" s="6">
        <v>74.900000000000006</v>
      </c>
      <c r="W349" s="6">
        <v>34.299999999999997</v>
      </c>
      <c r="X349" s="6">
        <v>518.70000000000005</v>
      </c>
      <c r="Y349" s="6">
        <v>627.9</v>
      </c>
      <c r="Z349" s="6" t="s">
        <v>63</v>
      </c>
      <c r="AA349" t="s">
        <v>507</v>
      </c>
      <c r="AB349" s="6" t="s">
        <v>97</v>
      </c>
      <c r="AC349" t="s">
        <v>125</v>
      </c>
      <c r="AD349" t="s">
        <v>67</v>
      </c>
      <c r="AE349">
        <v>-62</v>
      </c>
      <c r="AF349">
        <v>0</v>
      </c>
      <c r="AG349">
        <v>0</v>
      </c>
      <c r="AH349" s="6">
        <v>53</v>
      </c>
      <c r="AI349" s="6">
        <v>0</v>
      </c>
      <c r="AJ349" s="6">
        <v>0.58199999999999996</v>
      </c>
      <c r="AK349" s="6">
        <v>0.47299999999999998</v>
      </c>
      <c r="AL349" s="8">
        <v>94145.76</v>
      </c>
      <c r="AM349" s="6" t="s">
        <v>155</v>
      </c>
      <c r="AN349" s="6">
        <v>1</v>
      </c>
      <c r="AO349" s="6">
        <v>1</v>
      </c>
      <c r="AP349" s="6">
        <v>0</v>
      </c>
      <c r="AQ349" s="6">
        <v>1</v>
      </c>
      <c r="AR349" s="6">
        <v>0</v>
      </c>
      <c r="AS349" s="6">
        <v>1</v>
      </c>
      <c r="AT349" s="6">
        <v>0</v>
      </c>
      <c r="AU349" s="6">
        <v>2.16</v>
      </c>
      <c r="AV349" s="6">
        <v>1.34</v>
      </c>
      <c r="AW349" s="6">
        <v>425.38</v>
      </c>
      <c r="AX349" s="6">
        <v>80.23</v>
      </c>
      <c r="AY349" s="6">
        <v>374.52</v>
      </c>
      <c r="AZ349" s="6">
        <v>22.3</v>
      </c>
      <c r="BA349" s="6">
        <v>79</v>
      </c>
    </row>
    <row r="350" spans="1:53" x14ac:dyDescent="0.3">
      <c r="A350" s="6">
        <v>548495473</v>
      </c>
      <c r="B350" s="6">
        <v>439902</v>
      </c>
      <c r="C350" s="6">
        <v>2935113</v>
      </c>
      <c r="D350" s="6">
        <v>9815</v>
      </c>
      <c r="E350" s="6" t="s">
        <v>142</v>
      </c>
      <c r="F350" s="6">
        <v>56034</v>
      </c>
      <c r="G350" s="6" t="s">
        <v>146</v>
      </c>
      <c r="H350" s="10">
        <v>45809</v>
      </c>
      <c r="I350" s="10">
        <v>45809</v>
      </c>
      <c r="J350" s="4">
        <v>45809.715277777781</v>
      </c>
      <c r="K350" s="4">
        <v>45809.984502314815</v>
      </c>
      <c r="L350" s="11">
        <v>45809.981724537036</v>
      </c>
      <c r="M350" s="10">
        <v>45809</v>
      </c>
      <c r="N350" s="6" t="s">
        <v>121</v>
      </c>
      <c r="O350" t="s">
        <v>122</v>
      </c>
      <c r="P350" s="6" t="s">
        <v>121</v>
      </c>
      <c r="Q350" t="s">
        <v>195</v>
      </c>
      <c r="R350" t="s">
        <v>123</v>
      </c>
      <c r="S350" s="6">
        <v>742838</v>
      </c>
      <c r="T350" s="6" t="s">
        <v>1</v>
      </c>
      <c r="U350">
        <v>293</v>
      </c>
      <c r="V350" s="6">
        <v>24.6</v>
      </c>
      <c r="W350" s="6">
        <v>17.7</v>
      </c>
      <c r="X350" s="6">
        <v>297.89999999999998</v>
      </c>
      <c r="Y350" s="6">
        <v>340.2</v>
      </c>
      <c r="Z350" s="6" t="s">
        <v>63</v>
      </c>
      <c r="AA350" t="s">
        <v>508</v>
      </c>
      <c r="AB350" s="6" t="s">
        <v>90</v>
      </c>
      <c r="AC350" t="s">
        <v>91</v>
      </c>
      <c r="AD350" t="s">
        <v>67</v>
      </c>
      <c r="AE350">
        <v>-4</v>
      </c>
      <c r="AF350">
        <v>0</v>
      </c>
      <c r="AG350">
        <v>0</v>
      </c>
      <c r="AH350" s="6">
        <v>52.2</v>
      </c>
      <c r="AI350" s="6">
        <v>0</v>
      </c>
      <c r="AJ350" s="6">
        <v>0.82799999999999996</v>
      </c>
      <c r="AK350" s="6">
        <v>0.29899999999999999</v>
      </c>
      <c r="AL350" s="8">
        <v>14998.31</v>
      </c>
      <c r="AM350" s="6" t="s">
        <v>114</v>
      </c>
      <c r="AN350" s="6">
        <v>1</v>
      </c>
      <c r="AO350" s="6">
        <v>1</v>
      </c>
      <c r="AP350" s="6">
        <v>0</v>
      </c>
      <c r="AQ350" s="6">
        <v>1</v>
      </c>
      <c r="AR350" s="6">
        <v>0</v>
      </c>
      <c r="AS350" s="6">
        <v>1</v>
      </c>
      <c r="AT350" s="6">
        <v>0</v>
      </c>
      <c r="AU350" s="6">
        <v>2.12</v>
      </c>
      <c r="AV350" s="6">
        <v>1.59</v>
      </c>
      <c r="AW350" s="6">
        <v>306.16000000000003</v>
      </c>
      <c r="AX350" s="6">
        <v>34.71</v>
      </c>
      <c r="AY350" s="6">
        <v>189.24</v>
      </c>
      <c r="AZ350" s="6">
        <v>45.7</v>
      </c>
      <c r="BA350" s="6">
        <v>45</v>
      </c>
    </row>
    <row r="351" spans="1:53" x14ac:dyDescent="0.3">
      <c r="A351" s="6">
        <v>410864588</v>
      </c>
      <c r="B351" s="6">
        <v>559381</v>
      </c>
      <c r="C351" s="6">
        <v>4526280</v>
      </c>
      <c r="D351" s="6">
        <v>9754</v>
      </c>
      <c r="E351" s="6" t="s">
        <v>126</v>
      </c>
      <c r="F351" s="6">
        <v>58457</v>
      </c>
      <c r="G351" s="6" t="s">
        <v>98</v>
      </c>
      <c r="H351" s="10">
        <v>45923</v>
      </c>
      <c r="I351" s="10">
        <v>45923</v>
      </c>
      <c r="J351" s="4">
        <v>45923.555555555555</v>
      </c>
      <c r="K351" s="4">
        <v>45923.989374999997</v>
      </c>
      <c r="L351" s="11">
        <v>45923.96298611111</v>
      </c>
      <c r="M351" s="10">
        <v>45923</v>
      </c>
      <c r="N351" s="6" t="s">
        <v>134</v>
      </c>
      <c r="O351" t="s">
        <v>248</v>
      </c>
      <c r="P351" s="6" t="s">
        <v>134</v>
      </c>
      <c r="Q351" t="s">
        <v>282</v>
      </c>
      <c r="R351" t="s">
        <v>73</v>
      </c>
      <c r="S351" s="6">
        <v>752322</v>
      </c>
      <c r="T351" s="6" t="s">
        <v>111</v>
      </c>
      <c r="U351">
        <v>495</v>
      </c>
      <c r="V351" s="6">
        <v>19.3</v>
      </c>
      <c r="W351" s="6">
        <v>15.9</v>
      </c>
      <c r="X351" s="6">
        <v>482.8</v>
      </c>
      <c r="Y351" s="6">
        <v>518</v>
      </c>
      <c r="Z351" s="6" t="s">
        <v>2</v>
      </c>
      <c r="AA351" t="s">
        <v>509</v>
      </c>
      <c r="AB351" s="6" t="s">
        <v>75</v>
      </c>
      <c r="AC351" t="s">
        <v>66</v>
      </c>
      <c r="AD351" t="s">
        <v>67</v>
      </c>
      <c r="AE351">
        <v>-38</v>
      </c>
      <c r="AF351">
        <v>0</v>
      </c>
      <c r="AG351">
        <v>0</v>
      </c>
      <c r="AH351" s="6">
        <v>61.6</v>
      </c>
      <c r="AI351" s="6">
        <v>0</v>
      </c>
      <c r="AJ351" s="6">
        <v>0.82699999999999996</v>
      </c>
      <c r="AK351" s="6">
        <v>0.63400000000000001</v>
      </c>
      <c r="AL351" s="8">
        <v>3533.84</v>
      </c>
      <c r="AM351" s="6" t="s">
        <v>68</v>
      </c>
      <c r="AN351" s="6">
        <v>1</v>
      </c>
      <c r="AO351" s="6">
        <v>1</v>
      </c>
      <c r="AP351" s="6">
        <v>0</v>
      </c>
      <c r="AQ351" s="6">
        <v>1</v>
      </c>
      <c r="AR351" s="6">
        <v>0</v>
      </c>
      <c r="AS351" s="6">
        <v>1</v>
      </c>
      <c r="AT351" s="6">
        <v>0</v>
      </c>
      <c r="AU351" s="6">
        <v>2.4300000000000002</v>
      </c>
      <c r="AV351" s="6">
        <v>1.89</v>
      </c>
      <c r="AW351" s="6">
        <v>344.4</v>
      </c>
      <c r="AX351" s="6">
        <v>52.43</v>
      </c>
      <c r="AY351" s="6">
        <v>283.41000000000003</v>
      </c>
      <c r="AZ351" s="6">
        <v>25</v>
      </c>
      <c r="BA351" s="6">
        <v>15.5</v>
      </c>
    </row>
    <row r="352" spans="1:53" x14ac:dyDescent="0.3">
      <c r="A352" s="6">
        <v>223666470</v>
      </c>
      <c r="B352" s="6">
        <v>263032</v>
      </c>
      <c r="C352" s="6">
        <v>4191175</v>
      </c>
      <c r="D352" s="6">
        <v>6486</v>
      </c>
      <c r="E352" s="6" t="s">
        <v>225</v>
      </c>
      <c r="F352" s="6">
        <v>56476</v>
      </c>
      <c r="G352" s="6" t="s">
        <v>77</v>
      </c>
      <c r="H352" s="10">
        <v>45949</v>
      </c>
      <c r="I352" s="10">
        <v>45949</v>
      </c>
      <c r="J352" s="4">
        <v>45949.770833333336</v>
      </c>
      <c r="K352" s="4">
        <v>45950.033796296295</v>
      </c>
      <c r="L352" s="11">
        <v>45950.035879629628</v>
      </c>
      <c r="M352" s="10">
        <v>45950</v>
      </c>
      <c r="N352" s="6" t="s">
        <v>176</v>
      </c>
      <c r="O352" t="s">
        <v>177</v>
      </c>
      <c r="P352" s="6" t="s">
        <v>86</v>
      </c>
      <c r="Q352" t="s">
        <v>268</v>
      </c>
      <c r="R352" t="s">
        <v>88</v>
      </c>
      <c r="S352" s="6">
        <v>774774</v>
      </c>
      <c r="T352" s="6" t="s">
        <v>1</v>
      </c>
      <c r="U352">
        <v>246</v>
      </c>
      <c r="V352" s="6">
        <v>38.1</v>
      </c>
      <c r="W352" s="6">
        <v>24.7</v>
      </c>
      <c r="X352" s="6">
        <v>244.6</v>
      </c>
      <c r="Y352" s="6">
        <v>307.39999999999998</v>
      </c>
      <c r="Z352" s="6" t="s">
        <v>215</v>
      </c>
      <c r="AA352" t="s">
        <v>510</v>
      </c>
      <c r="AB352" s="6" t="s">
        <v>65</v>
      </c>
      <c r="AC352" t="s">
        <v>91</v>
      </c>
      <c r="AD352" t="s">
        <v>67</v>
      </c>
      <c r="AE352">
        <v>3</v>
      </c>
      <c r="AF352">
        <v>0</v>
      </c>
      <c r="AG352">
        <v>0</v>
      </c>
      <c r="AH352" s="6">
        <v>10.9</v>
      </c>
      <c r="AI352" s="6">
        <v>0</v>
      </c>
      <c r="AJ352" s="6">
        <v>0.71299999999999997</v>
      </c>
      <c r="AK352" s="6">
        <v>0.56499999999999995</v>
      </c>
      <c r="AL352" s="8">
        <v>57505.19</v>
      </c>
      <c r="AM352" s="6" t="s">
        <v>155</v>
      </c>
      <c r="AN352" s="6">
        <v>1</v>
      </c>
      <c r="AO352" s="6">
        <v>1</v>
      </c>
      <c r="AP352" s="6">
        <v>0</v>
      </c>
      <c r="AQ352" s="6">
        <v>1</v>
      </c>
      <c r="AR352" s="6">
        <v>0</v>
      </c>
      <c r="AS352" s="6">
        <v>1</v>
      </c>
      <c r="AT352" s="6">
        <v>0</v>
      </c>
      <c r="AU352" s="6">
        <v>2.5099999999999998</v>
      </c>
      <c r="AV352" s="6">
        <v>1.49</v>
      </c>
      <c r="AW352" s="6">
        <v>245.99</v>
      </c>
      <c r="AX352" s="6">
        <v>41.7</v>
      </c>
      <c r="AY352" s="6">
        <v>216.83</v>
      </c>
      <c r="AZ352" s="6">
        <v>13.2</v>
      </c>
      <c r="BA352" s="6">
        <v>23.9</v>
      </c>
    </row>
    <row r="353" spans="1:53" x14ac:dyDescent="0.3">
      <c r="A353" s="6">
        <v>534900128</v>
      </c>
      <c r="B353" s="6">
        <v>724834</v>
      </c>
      <c r="C353" s="6">
        <v>1701771</v>
      </c>
      <c r="D353" s="6">
        <v>6249</v>
      </c>
      <c r="E353" s="6" t="s">
        <v>142</v>
      </c>
      <c r="F353" s="6">
        <v>53148</v>
      </c>
      <c r="G353" s="6" t="s">
        <v>58</v>
      </c>
      <c r="H353" s="10">
        <v>46002</v>
      </c>
      <c r="I353" s="10">
        <v>46002</v>
      </c>
      <c r="J353" s="4">
        <v>46002.479166666664</v>
      </c>
      <c r="K353" s="4">
        <v>46002.868680555555</v>
      </c>
      <c r="L353" s="11">
        <v>46002.857569444444</v>
      </c>
      <c r="M353" s="10">
        <v>46002</v>
      </c>
      <c r="N353" s="6" t="s">
        <v>176</v>
      </c>
      <c r="O353" t="s">
        <v>316</v>
      </c>
      <c r="P353" s="6" t="s">
        <v>121</v>
      </c>
      <c r="Q353" t="s">
        <v>237</v>
      </c>
      <c r="R353" t="s">
        <v>123</v>
      </c>
      <c r="S353" s="6">
        <v>711247</v>
      </c>
      <c r="T353" s="6" t="s">
        <v>111</v>
      </c>
      <c r="U353">
        <v>369</v>
      </c>
      <c r="V353" s="6">
        <v>28.3</v>
      </c>
      <c r="W353" s="6">
        <v>2.8</v>
      </c>
      <c r="X353" s="6">
        <v>375.3</v>
      </c>
      <c r="Y353" s="6">
        <v>406.4</v>
      </c>
      <c r="Z353" s="6" t="s">
        <v>2</v>
      </c>
      <c r="AA353" t="s">
        <v>511</v>
      </c>
      <c r="AB353" s="6" t="s">
        <v>75</v>
      </c>
      <c r="AC353" t="s">
        <v>137</v>
      </c>
      <c r="AD353" t="s">
        <v>67</v>
      </c>
      <c r="AE353">
        <v>-16</v>
      </c>
      <c r="AF353">
        <v>0</v>
      </c>
      <c r="AG353">
        <v>0</v>
      </c>
      <c r="AH353" s="6">
        <v>67.099999999999994</v>
      </c>
      <c r="AI353" s="6">
        <v>0</v>
      </c>
      <c r="AJ353" s="6">
        <v>0.61899999999999999</v>
      </c>
      <c r="AK353" s="6">
        <v>0.629</v>
      </c>
      <c r="AL353" s="8">
        <v>103311.96</v>
      </c>
      <c r="AM353" s="6" t="s">
        <v>155</v>
      </c>
      <c r="AN353" s="6">
        <v>1</v>
      </c>
      <c r="AO353" s="6">
        <v>1</v>
      </c>
      <c r="AP353" s="6">
        <v>0</v>
      </c>
      <c r="AQ353" s="6">
        <v>1</v>
      </c>
      <c r="AR353" s="6">
        <v>0</v>
      </c>
      <c r="AS353" s="6">
        <v>1</v>
      </c>
      <c r="AT353" s="6">
        <v>0</v>
      </c>
      <c r="AU353" s="6">
        <v>2.2999999999999998</v>
      </c>
      <c r="AV353" s="6">
        <v>1.44</v>
      </c>
      <c r="AW353" s="6">
        <v>294.27</v>
      </c>
      <c r="AX353" s="6">
        <v>85.65</v>
      </c>
      <c r="AY353" s="6">
        <v>269.06</v>
      </c>
      <c r="AZ353" s="6">
        <v>4.4000000000000004</v>
      </c>
      <c r="BA353" s="6">
        <v>13.9</v>
      </c>
    </row>
    <row r="354" spans="1:53" x14ac:dyDescent="0.3">
      <c r="A354" s="6">
        <v>122394554</v>
      </c>
      <c r="B354" s="6">
        <v>500156</v>
      </c>
      <c r="C354" s="6">
        <v>3138181</v>
      </c>
      <c r="D354" s="6">
        <v>7528</v>
      </c>
      <c r="E354" s="6" t="s">
        <v>57</v>
      </c>
      <c r="F354" s="6">
        <v>53359</v>
      </c>
      <c r="G354" s="6" t="s">
        <v>102</v>
      </c>
      <c r="H354" s="10">
        <v>45880</v>
      </c>
      <c r="I354" s="10">
        <v>45880</v>
      </c>
      <c r="J354" s="4">
        <v>45880.329861111109</v>
      </c>
      <c r="K354" s="4">
        <v>45880.453773148147</v>
      </c>
      <c r="L354" s="11">
        <v>45880.432245370372</v>
      </c>
      <c r="M354" s="10">
        <v>45880</v>
      </c>
      <c r="N354" s="6" t="s">
        <v>170</v>
      </c>
      <c r="O354" t="s">
        <v>221</v>
      </c>
      <c r="P354" s="6" t="s">
        <v>116</v>
      </c>
      <c r="Q354" t="s">
        <v>251</v>
      </c>
      <c r="R354" t="s">
        <v>123</v>
      </c>
      <c r="S354" s="6">
        <v>714728</v>
      </c>
      <c r="T354" s="6" t="s">
        <v>3</v>
      </c>
      <c r="U354">
        <v>100</v>
      </c>
      <c r="V354" s="6">
        <v>48</v>
      </c>
      <c r="W354" s="6">
        <v>28.1</v>
      </c>
      <c r="X354" s="6">
        <v>108.6</v>
      </c>
      <c r="Y354" s="6">
        <v>184.7</v>
      </c>
      <c r="Z354" s="6" t="s">
        <v>63</v>
      </c>
      <c r="AA354" t="s">
        <v>512</v>
      </c>
      <c r="AB354" s="6" t="s">
        <v>97</v>
      </c>
      <c r="AC354" t="s">
        <v>83</v>
      </c>
      <c r="AD354" t="s">
        <v>67</v>
      </c>
      <c r="AE354">
        <v>-31</v>
      </c>
      <c r="AF354">
        <v>0</v>
      </c>
      <c r="AG354">
        <v>1.6</v>
      </c>
      <c r="AH354" s="6">
        <v>53.4</v>
      </c>
      <c r="AI354" s="6">
        <v>0</v>
      </c>
      <c r="AJ354" s="6">
        <v>0.629</v>
      </c>
      <c r="AK354" s="6">
        <v>0.38900000000000001</v>
      </c>
      <c r="AL354" s="8">
        <v>3612.59</v>
      </c>
      <c r="AM354" s="6" t="s">
        <v>68</v>
      </c>
      <c r="AN354" s="6">
        <v>1</v>
      </c>
      <c r="AO354" s="6">
        <v>1</v>
      </c>
      <c r="AP354" s="6">
        <v>0</v>
      </c>
      <c r="AQ354" s="6">
        <v>1</v>
      </c>
      <c r="AR354" s="6">
        <v>0</v>
      </c>
      <c r="AS354" s="6">
        <v>1</v>
      </c>
      <c r="AT354" s="6">
        <v>0</v>
      </c>
      <c r="AU354" s="6">
        <v>2.5299999999999998</v>
      </c>
      <c r="AV354" s="6">
        <v>1.9</v>
      </c>
      <c r="AW354" s="6">
        <v>149.59</v>
      </c>
      <c r="AX354" s="6">
        <v>32.24</v>
      </c>
      <c r="AY354" s="6">
        <v>104.17</v>
      </c>
      <c r="AZ354" s="6">
        <v>24.1</v>
      </c>
      <c r="BA354" s="6">
        <v>32.4</v>
      </c>
    </row>
    <row r="355" spans="1:53" x14ac:dyDescent="0.3">
      <c r="A355" s="6">
        <v>448717183</v>
      </c>
      <c r="B355" s="6">
        <v>847581</v>
      </c>
      <c r="C355" s="6">
        <v>3919694</v>
      </c>
      <c r="D355" s="6">
        <v>9050</v>
      </c>
      <c r="E355" s="6" t="s">
        <v>185</v>
      </c>
      <c r="F355" s="6">
        <v>51004</v>
      </c>
      <c r="G355" s="6" t="s">
        <v>127</v>
      </c>
      <c r="H355" s="10">
        <v>45750</v>
      </c>
      <c r="I355" s="10">
        <v>45750</v>
      </c>
      <c r="J355" s="4">
        <v>45750.65625</v>
      </c>
      <c r="K355" s="4">
        <v>45750.988564814812</v>
      </c>
      <c r="L355" s="11">
        <v>45750.991342592592</v>
      </c>
      <c r="M355" s="10">
        <v>45750</v>
      </c>
      <c r="N355" s="6" t="s">
        <v>59</v>
      </c>
      <c r="O355" t="s">
        <v>85</v>
      </c>
      <c r="P355" s="6" t="s">
        <v>103</v>
      </c>
      <c r="Q355" t="s">
        <v>204</v>
      </c>
      <c r="R355" t="s">
        <v>73</v>
      </c>
      <c r="S355" s="6">
        <v>796938</v>
      </c>
      <c r="T355" s="6" t="s">
        <v>111</v>
      </c>
      <c r="U355">
        <v>357</v>
      </c>
      <c r="V355" s="6">
        <v>35.6</v>
      </c>
      <c r="W355" s="6">
        <v>34.9</v>
      </c>
      <c r="X355" s="6">
        <v>346</v>
      </c>
      <c r="Y355" s="6">
        <v>416.5</v>
      </c>
      <c r="Z355" s="6" t="s">
        <v>63</v>
      </c>
      <c r="AA355" t="s">
        <v>513</v>
      </c>
      <c r="AB355" s="6" t="s">
        <v>90</v>
      </c>
      <c r="AC355" t="s">
        <v>137</v>
      </c>
      <c r="AD355" t="s">
        <v>67</v>
      </c>
      <c r="AE355">
        <v>4</v>
      </c>
      <c r="AF355">
        <v>0</v>
      </c>
      <c r="AG355">
        <v>0</v>
      </c>
      <c r="AH355" s="6">
        <v>81</v>
      </c>
      <c r="AI355" s="6">
        <v>0</v>
      </c>
      <c r="AJ355" s="6">
        <v>0.64600000000000002</v>
      </c>
      <c r="AK355" s="6">
        <v>0.68200000000000005</v>
      </c>
      <c r="AL355" s="8">
        <v>2041.53</v>
      </c>
      <c r="AM355" s="6" t="s">
        <v>68</v>
      </c>
      <c r="AN355" s="6">
        <v>1</v>
      </c>
      <c r="AO355" s="6">
        <v>1</v>
      </c>
      <c r="AP355" s="6">
        <v>0</v>
      </c>
      <c r="AQ355" s="6">
        <v>1</v>
      </c>
      <c r="AR355" s="6">
        <v>0</v>
      </c>
      <c r="AS355" s="6">
        <v>1</v>
      </c>
      <c r="AT355" s="6">
        <v>0</v>
      </c>
      <c r="AU355" s="6">
        <v>2.16</v>
      </c>
      <c r="AV355" s="6">
        <v>1.64</v>
      </c>
      <c r="AW355" s="6">
        <v>364.71</v>
      </c>
      <c r="AX355" s="6">
        <v>60.95</v>
      </c>
      <c r="AY355" s="6">
        <v>225.33</v>
      </c>
      <c r="AZ355" s="6">
        <v>12.5</v>
      </c>
      <c r="BA355" s="6">
        <v>21.9</v>
      </c>
    </row>
    <row r="356" spans="1:53" x14ac:dyDescent="0.3">
      <c r="A356" s="6">
        <v>284547422</v>
      </c>
      <c r="B356" s="6">
        <v>804314</v>
      </c>
      <c r="C356" s="6">
        <v>1006810</v>
      </c>
      <c r="D356" s="6">
        <v>7893</v>
      </c>
      <c r="E356" s="6" t="s">
        <v>106</v>
      </c>
      <c r="F356" s="6">
        <v>54717</v>
      </c>
      <c r="G356" s="6" t="s">
        <v>58</v>
      </c>
      <c r="H356" s="10">
        <v>45995</v>
      </c>
      <c r="I356" s="10">
        <v>45995</v>
      </c>
      <c r="J356" s="4">
        <v>45995.46875</v>
      </c>
      <c r="K356" s="4">
        <v>45995.930763888886</v>
      </c>
      <c r="L356" s="11">
        <v>45995.943958333337</v>
      </c>
      <c r="M356" s="10">
        <v>45995</v>
      </c>
      <c r="N356" s="6" t="s">
        <v>176</v>
      </c>
      <c r="O356" t="s">
        <v>177</v>
      </c>
      <c r="P356" s="6" t="s">
        <v>109</v>
      </c>
      <c r="Q356" t="s">
        <v>118</v>
      </c>
      <c r="R356" t="s">
        <v>88</v>
      </c>
      <c r="S356" s="6">
        <v>742390</v>
      </c>
      <c r="T356" s="6" t="s">
        <v>111</v>
      </c>
      <c r="U356">
        <v>419</v>
      </c>
      <c r="V356" s="6">
        <v>38.299999999999997</v>
      </c>
      <c r="W356" s="6">
        <v>21.3</v>
      </c>
      <c r="X356" s="6">
        <v>425.9</v>
      </c>
      <c r="Y356" s="6">
        <v>485.5</v>
      </c>
      <c r="Z356" s="6" t="s">
        <v>63</v>
      </c>
      <c r="AA356" t="s">
        <v>514</v>
      </c>
      <c r="AB356" s="6" t="s">
        <v>75</v>
      </c>
      <c r="AC356" t="s">
        <v>137</v>
      </c>
      <c r="AD356" t="s">
        <v>67</v>
      </c>
      <c r="AE356">
        <v>19</v>
      </c>
      <c r="AF356">
        <v>0</v>
      </c>
      <c r="AG356">
        <v>0</v>
      </c>
      <c r="AH356" s="6">
        <v>53.6</v>
      </c>
      <c r="AI356" s="6">
        <v>0</v>
      </c>
      <c r="AJ356" s="6">
        <v>0.433</v>
      </c>
      <c r="AK356" s="6">
        <v>0.81299999999999994</v>
      </c>
      <c r="AL356" s="8">
        <v>10749.01</v>
      </c>
      <c r="AM356" s="6" t="s">
        <v>114</v>
      </c>
      <c r="AN356" s="6">
        <v>1</v>
      </c>
      <c r="AO356" s="6">
        <v>0</v>
      </c>
      <c r="AP356" s="6">
        <v>1</v>
      </c>
      <c r="AQ356" s="6">
        <v>0</v>
      </c>
      <c r="AR356" s="6">
        <v>1</v>
      </c>
      <c r="AS356" s="6">
        <v>0</v>
      </c>
      <c r="AT356" s="6">
        <v>1</v>
      </c>
      <c r="AU356" s="6">
        <v>1.87</v>
      </c>
      <c r="AV356" s="6">
        <v>1.29</v>
      </c>
      <c r="AW356" s="6">
        <v>342.75</v>
      </c>
      <c r="AX356" s="6">
        <v>49.18</v>
      </c>
      <c r="AY356" s="6">
        <v>257.7</v>
      </c>
      <c r="AZ356" s="6">
        <v>11.6</v>
      </c>
      <c r="BA356" s="6">
        <v>0</v>
      </c>
    </row>
    <row r="357" spans="1:53" x14ac:dyDescent="0.3">
      <c r="A357" s="6">
        <v>960413104</v>
      </c>
      <c r="B357" s="6">
        <v>724834</v>
      </c>
      <c r="C357" s="6">
        <v>1701771</v>
      </c>
      <c r="D357" s="6">
        <v>6249</v>
      </c>
      <c r="E357" s="6" t="s">
        <v>142</v>
      </c>
      <c r="F357" s="6">
        <v>53271</v>
      </c>
      <c r="G357" s="6" t="s">
        <v>164</v>
      </c>
      <c r="H357" s="10">
        <v>45940</v>
      </c>
      <c r="I357" s="10">
        <v>45940</v>
      </c>
      <c r="J357" s="4">
        <v>45940.34375</v>
      </c>
      <c r="K357" s="4">
        <v>45940.46234953704</v>
      </c>
      <c r="L357" s="11">
        <v>45940.450543981482</v>
      </c>
      <c r="M357" s="10">
        <v>45940</v>
      </c>
      <c r="N357" s="6" t="s">
        <v>170</v>
      </c>
      <c r="O357" t="s">
        <v>189</v>
      </c>
      <c r="P357" s="6" t="s">
        <v>170</v>
      </c>
      <c r="Q357" t="s">
        <v>221</v>
      </c>
      <c r="R357" t="s">
        <v>62</v>
      </c>
      <c r="S357" s="6">
        <v>774798</v>
      </c>
      <c r="T357" s="6" t="s">
        <v>1</v>
      </c>
      <c r="U357">
        <v>126</v>
      </c>
      <c r="V357" s="6">
        <v>48.9</v>
      </c>
      <c r="W357" s="6">
        <v>24.9</v>
      </c>
      <c r="X357" s="6">
        <v>119.9</v>
      </c>
      <c r="Y357" s="6">
        <v>193.7</v>
      </c>
      <c r="Z357" s="6" t="s">
        <v>2</v>
      </c>
      <c r="AA357" t="s">
        <v>515</v>
      </c>
      <c r="AB357" s="6" t="s">
        <v>97</v>
      </c>
      <c r="AC357" t="s">
        <v>154</v>
      </c>
      <c r="AD357" t="s">
        <v>67</v>
      </c>
      <c r="AE357">
        <v>-17</v>
      </c>
      <c r="AF357">
        <v>0</v>
      </c>
      <c r="AG357">
        <v>0</v>
      </c>
      <c r="AH357" s="6">
        <v>60.7</v>
      </c>
      <c r="AI357" s="6">
        <v>0</v>
      </c>
      <c r="AJ357" s="6">
        <v>0.72199999999999998</v>
      </c>
      <c r="AK357" s="6">
        <v>0.70599999999999996</v>
      </c>
      <c r="AL357" s="8">
        <v>69089.84</v>
      </c>
      <c r="AM357" s="6" t="s">
        <v>155</v>
      </c>
      <c r="AN357" s="6">
        <v>1</v>
      </c>
      <c r="AO357" s="6">
        <v>1</v>
      </c>
      <c r="AP357" s="6">
        <v>0</v>
      </c>
      <c r="AQ357" s="6">
        <v>1</v>
      </c>
      <c r="AR357" s="6">
        <v>0</v>
      </c>
      <c r="AS357" s="6">
        <v>1</v>
      </c>
      <c r="AT357" s="6">
        <v>0</v>
      </c>
      <c r="AU357" s="6">
        <v>2.23</v>
      </c>
      <c r="AV357" s="6">
        <v>1.63</v>
      </c>
      <c r="AW357" s="6">
        <v>124.66</v>
      </c>
      <c r="AX357" s="6">
        <v>42.37</v>
      </c>
      <c r="AY357" s="6">
        <v>104.34</v>
      </c>
      <c r="AZ357" s="6">
        <v>4.4000000000000004</v>
      </c>
      <c r="BA357" s="6">
        <v>10.5</v>
      </c>
    </row>
    <row r="358" spans="1:53" x14ac:dyDescent="0.3">
      <c r="A358" s="6">
        <v>763706947</v>
      </c>
      <c r="B358" s="6">
        <v>145561</v>
      </c>
      <c r="C358" s="6">
        <v>2564689</v>
      </c>
      <c r="D358" s="6">
        <v>1161</v>
      </c>
      <c r="E358" s="6" t="s">
        <v>101</v>
      </c>
      <c r="F358" s="6">
        <v>50209</v>
      </c>
      <c r="G358" s="6" t="s">
        <v>69</v>
      </c>
      <c r="H358" s="10">
        <v>45867</v>
      </c>
      <c r="I358" s="10">
        <v>45867</v>
      </c>
      <c r="J358" s="4">
        <v>45867.604166666664</v>
      </c>
      <c r="K358" s="4">
        <v>45867.730474537035</v>
      </c>
      <c r="L358" s="11">
        <v>45867.738807870373</v>
      </c>
      <c r="M358" s="10">
        <v>45867</v>
      </c>
      <c r="N358" s="6" t="s">
        <v>103</v>
      </c>
      <c r="O358" t="s">
        <v>232</v>
      </c>
      <c r="P358" s="6" t="s">
        <v>200</v>
      </c>
      <c r="Q358" t="s">
        <v>275</v>
      </c>
      <c r="R358" t="s">
        <v>62</v>
      </c>
      <c r="S358" s="6">
        <v>717326</v>
      </c>
      <c r="T358" s="6" t="s">
        <v>3</v>
      </c>
      <c r="U358">
        <v>102</v>
      </c>
      <c r="V358" s="6">
        <v>16.600000000000001</v>
      </c>
      <c r="W358" s="6">
        <v>27.1</v>
      </c>
      <c r="X358" s="6">
        <v>106.2</v>
      </c>
      <c r="Y358" s="6">
        <v>149.9</v>
      </c>
      <c r="Z358" s="6" t="s">
        <v>63</v>
      </c>
      <c r="AA358" t="s">
        <v>384</v>
      </c>
      <c r="AB358" s="6" t="s">
        <v>90</v>
      </c>
      <c r="AC358" t="s">
        <v>66</v>
      </c>
      <c r="AD358" t="s">
        <v>67</v>
      </c>
      <c r="AE358">
        <v>12</v>
      </c>
      <c r="AF358">
        <v>0</v>
      </c>
      <c r="AG358">
        <v>0</v>
      </c>
      <c r="AH358" s="6">
        <v>31</v>
      </c>
      <c r="AI358" s="6">
        <v>0</v>
      </c>
      <c r="AJ358" s="6">
        <v>0.84599999999999997</v>
      </c>
      <c r="AK358" s="6">
        <v>0.57799999999999996</v>
      </c>
      <c r="AL358" s="8">
        <v>18205.400000000001</v>
      </c>
      <c r="AM358" s="6" t="s">
        <v>114</v>
      </c>
      <c r="AN358" s="6">
        <v>1</v>
      </c>
      <c r="AO358" s="6">
        <v>1</v>
      </c>
      <c r="AP358" s="6">
        <v>0</v>
      </c>
      <c r="AQ358" s="6">
        <v>1</v>
      </c>
      <c r="AR358" s="6">
        <v>0</v>
      </c>
      <c r="AS358" s="6">
        <v>1</v>
      </c>
      <c r="AT358" s="6">
        <v>0</v>
      </c>
      <c r="AU358" s="6">
        <v>1.88</v>
      </c>
      <c r="AV358" s="6">
        <v>1.1200000000000001</v>
      </c>
      <c r="AW358" s="6">
        <v>102.12</v>
      </c>
      <c r="AX358" s="6">
        <v>23.19</v>
      </c>
      <c r="AY358" s="6">
        <v>75.94</v>
      </c>
      <c r="AZ358" s="6">
        <v>5.6</v>
      </c>
      <c r="BA358" s="6">
        <v>1.7</v>
      </c>
    </row>
    <row r="359" spans="1:53" x14ac:dyDescent="0.3">
      <c r="A359" s="6">
        <v>594025283</v>
      </c>
      <c r="B359" s="6">
        <v>260263</v>
      </c>
      <c r="C359" s="6">
        <v>5674183</v>
      </c>
      <c r="D359" s="6">
        <v>5736</v>
      </c>
      <c r="E359" s="6" t="s">
        <v>185</v>
      </c>
      <c r="F359" s="6">
        <v>59079</v>
      </c>
      <c r="G359" s="6" t="s">
        <v>146</v>
      </c>
      <c r="H359" s="10">
        <v>45911</v>
      </c>
      <c r="I359" s="10">
        <v>45911</v>
      </c>
      <c r="J359" s="4">
        <v>45911.572916666664</v>
      </c>
      <c r="K359" s="4">
        <v>45911.683854166666</v>
      </c>
      <c r="L359" s="11">
        <v>45911.668576388889</v>
      </c>
      <c r="M359" s="10">
        <v>45911</v>
      </c>
      <c r="N359" s="6" t="s">
        <v>170</v>
      </c>
      <c r="O359" t="s">
        <v>269</v>
      </c>
      <c r="P359" s="6" t="s">
        <v>176</v>
      </c>
      <c r="Q359" t="s">
        <v>292</v>
      </c>
      <c r="R359" t="s">
        <v>88</v>
      </c>
      <c r="S359" s="6">
        <v>707148</v>
      </c>
      <c r="T359" s="6" t="s">
        <v>1</v>
      </c>
      <c r="U359">
        <v>135</v>
      </c>
      <c r="V359" s="6">
        <v>11.2</v>
      </c>
      <c r="W359" s="6">
        <v>30.7</v>
      </c>
      <c r="X359" s="6">
        <v>131.69999999999999</v>
      </c>
      <c r="Y359" s="6">
        <v>173.6</v>
      </c>
      <c r="Z359" s="6" t="s">
        <v>2</v>
      </c>
      <c r="AA359" t="s">
        <v>516</v>
      </c>
      <c r="AB359" s="6" t="s">
        <v>75</v>
      </c>
      <c r="AC359" t="s">
        <v>137</v>
      </c>
      <c r="AD359" t="s">
        <v>67</v>
      </c>
      <c r="AE359">
        <v>-22</v>
      </c>
      <c r="AF359">
        <v>0</v>
      </c>
      <c r="AG359">
        <v>0</v>
      </c>
      <c r="AH359" s="6">
        <v>44</v>
      </c>
      <c r="AI359" s="6">
        <v>0</v>
      </c>
      <c r="AJ359" s="6">
        <v>0.38200000000000001</v>
      </c>
      <c r="AK359" s="6">
        <v>0.75800000000000001</v>
      </c>
      <c r="AL359" s="8">
        <v>8027.66</v>
      </c>
      <c r="AM359" s="6" t="s">
        <v>68</v>
      </c>
      <c r="AN359" s="6">
        <v>1</v>
      </c>
      <c r="AO359" s="6">
        <v>1</v>
      </c>
      <c r="AP359" s="6">
        <v>0</v>
      </c>
      <c r="AQ359" s="6">
        <v>1</v>
      </c>
      <c r="AR359" s="6">
        <v>0</v>
      </c>
      <c r="AS359" s="6">
        <v>1</v>
      </c>
      <c r="AT359" s="6">
        <v>0</v>
      </c>
      <c r="AU359" s="6">
        <v>2.2400000000000002</v>
      </c>
      <c r="AV359" s="6">
        <v>1.72</v>
      </c>
      <c r="AW359" s="6">
        <v>130.5</v>
      </c>
      <c r="AX359" s="6">
        <v>38.01</v>
      </c>
      <c r="AY359" s="6">
        <v>103.52</v>
      </c>
      <c r="AZ359" s="6">
        <v>30.8</v>
      </c>
      <c r="BA359" s="6">
        <v>34</v>
      </c>
    </row>
    <row r="360" spans="1:53" x14ac:dyDescent="0.3">
      <c r="A360" s="6">
        <v>993381017</v>
      </c>
      <c r="B360" s="6">
        <v>731262</v>
      </c>
      <c r="C360" s="6">
        <v>4594297</v>
      </c>
      <c r="D360" s="6">
        <v>3558</v>
      </c>
      <c r="E360" s="6" t="s">
        <v>126</v>
      </c>
      <c r="F360" s="6">
        <v>55539</v>
      </c>
      <c r="G360" s="6" t="s">
        <v>69</v>
      </c>
      <c r="H360" s="10">
        <v>45995</v>
      </c>
      <c r="I360" s="10">
        <v>45995</v>
      </c>
      <c r="J360" s="4">
        <v>45995.673611111109</v>
      </c>
      <c r="K360" s="4">
        <v>45996.10738425926</v>
      </c>
      <c r="L360" s="11">
        <v>45996.109467592592</v>
      </c>
      <c r="M360" s="10">
        <v>45996</v>
      </c>
      <c r="N360" s="6" t="s">
        <v>121</v>
      </c>
      <c r="O360" t="s">
        <v>143</v>
      </c>
      <c r="P360" s="6" t="s">
        <v>132</v>
      </c>
      <c r="Q360" t="s">
        <v>229</v>
      </c>
      <c r="R360" t="s">
        <v>62</v>
      </c>
      <c r="S360" s="6">
        <v>701498</v>
      </c>
      <c r="T360" s="6" t="s">
        <v>140</v>
      </c>
      <c r="U360">
        <v>608</v>
      </c>
      <c r="V360" s="6">
        <v>17.899999999999999</v>
      </c>
      <c r="W360" s="6">
        <v>31.9</v>
      </c>
      <c r="X360" s="6">
        <v>612.5</v>
      </c>
      <c r="Y360" s="6">
        <v>662.3</v>
      </c>
      <c r="Z360" s="6" t="s">
        <v>2</v>
      </c>
      <c r="AA360" t="s">
        <v>517</v>
      </c>
      <c r="AB360" s="6" t="s">
        <v>90</v>
      </c>
      <c r="AC360" t="s">
        <v>137</v>
      </c>
      <c r="AD360" t="s">
        <v>67</v>
      </c>
      <c r="AE360">
        <v>3</v>
      </c>
      <c r="AF360">
        <v>0</v>
      </c>
      <c r="AG360">
        <v>0</v>
      </c>
      <c r="AH360" s="6">
        <v>55.1</v>
      </c>
      <c r="AI360" s="6">
        <v>0</v>
      </c>
      <c r="AJ360" s="6">
        <v>0.76700000000000002</v>
      </c>
      <c r="AK360" s="6">
        <v>0.501</v>
      </c>
      <c r="AL360" s="8">
        <v>3871.09</v>
      </c>
      <c r="AM360" s="6" t="s">
        <v>68</v>
      </c>
      <c r="AN360" s="6">
        <v>1</v>
      </c>
      <c r="AO360" s="6">
        <v>1</v>
      </c>
      <c r="AP360" s="6">
        <v>0</v>
      </c>
      <c r="AQ360" s="6">
        <v>1</v>
      </c>
      <c r="AR360" s="6">
        <v>0</v>
      </c>
      <c r="AS360" s="6">
        <v>1</v>
      </c>
      <c r="AT360" s="6">
        <v>0</v>
      </c>
      <c r="AU360" s="6">
        <v>2.4900000000000002</v>
      </c>
      <c r="AV360" s="6">
        <v>1.9</v>
      </c>
      <c r="AW360" s="6">
        <v>512.96</v>
      </c>
      <c r="AX360" s="6">
        <v>123.46</v>
      </c>
      <c r="AY360" s="6">
        <v>324.43</v>
      </c>
      <c r="AZ360" s="6">
        <v>10</v>
      </c>
      <c r="BA360" s="6">
        <v>81</v>
      </c>
    </row>
    <row r="361" spans="1:53" x14ac:dyDescent="0.3">
      <c r="A361" s="6">
        <v>840463141</v>
      </c>
      <c r="B361" s="6">
        <v>287330</v>
      </c>
      <c r="C361" s="6">
        <v>4348276</v>
      </c>
      <c r="D361" s="6">
        <v>9338</v>
      </c>
      <c r="E361" s="6" t="s">
        <v>101</v>
      </c>
      <c r="F361" s="6">
        <v>50153</v>
      </c>
      <c r="G361" s="6" t="s">
        <v>127</v>
      </c>
      <c r="H361" s="10">
        <v>45918</v>
      </c>
      <c r="I361" s="10">
        <v>45918</v>
      </c>
      <c r="J361" s="4">
        <v>45918.458333333336</v>
      </c>
      <c r="K361" s="4">
        <v>45918.651504629626</v>
      </c>
      <c r="L361" s="11">
        <v>45918.633449074077</v>
      </c>
      <c r="M361" s="10">
        <v>45918</v>
      </c>
      <c r="N361" s="6" t="s">
        <v>129</v>
      </c>
      <c r="O361" t="s">
        <v>130</v>
      </c>
      <c r="P361" s="6" t="s">
        <v>129</v>
      </c>
      <c r="Q361" t="s">
        <v>162</v>
      </c>
      <c r="R361" t="s">
        <v>123</v>
      </c>
      <c r="S361" s="6">
        <v>739365</v>
      </c>
      <c r="T361" s="6" t="s">
        <v>1</v>
      </c>
      <c r="U361">
        <v>224</v>
      </c>
      <c r="V361" s="6">
        <v>18.2</v>
      </c>
      <c r="W361" s="6">
        <v>51.9</v>
      </c>
      <c r="X361" s="6">
        <v>221.8</v>
      </c>
      <c r="Y361" s="6">
        <v>291.89999999999998</v>
      </c>
      <c r="Z361" s="6" t="s">
        <v>2</v>
      </c>
      <c r="AA361" t="s">
        <v>343</v>
      </c>
      <c r="AB361" s="6" t="s">
        <v>75</v>
      </c>
      <c r="AC361" t="s">
        <v>137</v>
      </c>
      <c r="AD361" t="s">
        <v>67</v>
      </c>
      <c r="AE361">
        <v>-26</v>
      </c>
      <c r="AF361">
        <v>0</v>
      </c>
      <c r="AG361">
        <v>0</v>
      </c>
      <c r="AH361" s="6">
        <v>53.5</v>
      </c>
      <c r="AI361" s="6">
        <v>0</v>
      </c>
      <c r="AJ361" s="6">
        <v>0.55800000000000005</v>
      </c>
      <c r="AK361" s="6">
        <v>0.69099999999999995</v>
      </c>
      <c r="AL361" s="8">
        <v>5279.79</v>
      </c>
      <c r="AM361" s="6" t="s">
        <v>68</v>
      </c>
      <c r="AN361" s="6">
        <v>1</v>
      </c>
      <c r="AO361" s="6">
        <v>1</v>
      </c>
      <c r="AP361" s="6">
        <v>0</v>
      </c>
      <c r="AQ361" s="6">
        <v>1</v>
      </c>
      <c r="AR361" s="6">
        <v>0</v>
      </c>
      <c r="AS361" s="6">
        <v>1</v>
      </c>
      <c r="AT361" s="6">
        <v>0</v>
      </c>
      <c r="AU361" s="6">
        <v>2.58</v>
      </c>
      <c r="AV361" s="6">
        <v>1.89</v>
      </c>
      <c r="AW361" s="6">
        <v>263.45999999999998</v>
      </c>
      <c r="AX361" s="6">
        <v>30.98</v>
      </c>
      <c r="AY361" s="6">
        <v>140.91999999999999</v>
      </c>
      <c r="AZ361" s="6">
        <v>17.5</v>
      </c>
      <c r="BA361" s="6">
        <v>64.900000000000006</v>
      </c>
    </row>
    <row r="362" spans="1:53" x14ac:dyDescent="0.3">
      <c r="A362" s="6">
        <v>488536370</v>
      </c>
      <c r="B362" s="6">
        <v>903035</v>
      </c>
      <c r="C362" s="6">
        <v>7110622</v>
      </c>
      <c r="D362" s="6">
        <v>3200</v>
      </c>
      <c r="E362" s="6" t="s">
        <v>92</v>
      </c>
      <c r="F362" s="6">
        <v>53593</v>
      </c>
      <c r="G362" s="6" t="s">
        <v>127</v>
      </c>
      <c r="H362" s="10">
        <v>45792</v>
      </c>
      <c r="I362" s="10">
        <v>45792</v>
      </c>
      <c r="J362" s="4">
        <v>45792.621527777781</v>
      </c>
      <c r="K362" s="4">
        <v>45792.852789351855</v>
      </c>
      <c r="L362" s="11">
        <v>45792.868067129632</v>
      </c>
      <c r="M362" s="10">
        <v>45792</v>
      </c>
      <c r="N362" s="6" t="s">
        <v>129</v>
      </c>
      <c r="O362" t="s">
        <v>130</v>
      </c>
      <c r="P362" s="6" t="s">
        <v>170</v>
      </c>
      <c r="Q362" t="s">
        <v>269</v>
      </c>
      <c r="R362" t="s">
        <v>62</v>
      </c>
      <c r="S362" s="6">
        <v>731856</v>
      </c>
      <c r="T362" s="6" t="s">
        <v>1</v>
      </c>
      <c r="U362">
        <v>269</v>
      </c>
      <c r="V362" s="6">
        <v>1.6</v>
      </c>
      <c r="W362" s="6">
        <v>20.6</v>
      </c>
      <c r="X362" s="6">
        <v>260.39999999999998</v>
      </c>
      <c r="Y362" s="6">
        <v>282.60000000000002</v>
      </c>
      <c r="Z362" s="6" t="s">
        <v>2</v>
      </c>
      <c r="AA362" t="s">
        <v>483</v>
      </c>
      <c r="AB362" s="6" t="s">
        <v>90</v>
      </c>
      <c r="AC362" t="s">
        <v>137</v>
      </c>
      <c r="AD362" t="s">
        <v>67</v>
      </c>
      <c r="AE362">
        <v>22</v>
      </c>
      <c r="AF362">
        <v>0</v>
      </c>
      <c r="AG362">
        <v>0</v>
      </c>
      <c r="AH362" s="6">
        <v>43.6</v>
      </c>
      <c r="AI362" s="6">
        <v>0</v>
      </c>
      <c r="AJ362" s="6">
        <v>0.86099999999999999</v>
      </c>
      <c r="AK362" s="6">
        <v>0.71299999999999997</v>
      </c>
      <c r="AL362" s="8">
        <v>6402.29</v>
      </c>
      <c r="AM362" s="6" t="s">
        <v>68</v>
      </c>
      <c r="AN362" s="6">
        <v>1</v>
      </c>
      <c r="AO362" s="6">
        <v>0</v>
      </c>
      <c r="AP362" s="6">
        <v>1</v>
      </c>
      <c r="AQ362" s="6">
        <v>0</v>
      </c>
      <c r="AR362" s="6">
        <v>1</v>
      </c>
      <c r="AS362" s="6">
        <v>0</v>
      </c>
      <c r="AT362" s="6">
        <v>1</v>
      </c>
      <c r="AU362" s="6">
        <v>2.5</v>
      </c>
      <c r="AV362" s="6">
        <v>1.95</v>
      </c>
      <c r="AW362" s="6">
        <v>176.58</v>
      </c>
      <c r="AX362" s="6">
        <v>57.39</v>
      </c>
      <c r="AY362" s="6">
        <v>177.57</v>
      </c>
      <c r="AZ362" s="6">
        <v>26.8</v>
      </c>
      <c r="BA362" s="6">
        <v>8.3000000000000007</v>
      </c>
    </row>
    <row r="363" spans="1:53" x14ac:dyDescent="0.3">
      <c r="A363" s="6">
        <v>194628740</v>
      </c>
      <c r="B363" s="6">
        <v>482554</v>
      </c>
      <c r="C363" s="6">
        <v>1954280</v>
      </c>
      <c r="D363" s="6">
        <v>4561</v>
      </c>
      <c r="E363" s="6" t="s">
        <v>84</v>
      </c>
      <c r="F363" s="6">
        <v>58606</v>
      </c>
      <c r="G363" s="6" t="s">
        <v>77</v>
      </c>
      <c r="H363" s="10">
        <v>45918</v>
      </c>
      <c r="I363" s="10">
        <v>45918</v>
      </c>
      <c r="J363" s="4">
        <v>45918.295138888891</v>
      </c>
      <c r="K363" s="4">
        <v>45918.363819444443</v>
      </c>
      <c r="L363" s="11">
        <v>45918.367986111109</v>
      </c>
      <c r="M363" s="10">
        <v>45918</v>
      </c>
      <c r="N363" s="6" t="s">
        <v>103</v>
      </c>
      <c r="O363" t="s">
        <v>99</v>
      </c>
      <c r="P363" s="6" t="s">
        <v>103</v>
      </c>
      <c r="Q363" t="s">
        <v>232</v>
      </c>
      <c r="R363" t="s">
        <v>73</v>
      </c>
      <c r="S363" s="6">
        <v>783084</v>
      </c>
      <c r="T363" s="6" t="s">
        <v>3</v>
      </c>
      <c r="U363">
        <v>75</v>
      </c>
      <c r="V363" s="6">
        <v>28.6</v>
      </c>
      <c r="W363" s="6">
        <v>28.9</v>
      </c>
      <c r="X363" s="6">
        <v>71.5</v>
      </c>
      <c r="Y363" s="6">
        <v>129</v>
      </c>
      <c r="Z363" s="6" t="s">
        <v>80</v>
      </c>
      <c r="AA363" t="s">
        <v>518</v>
      </c>
      <c r="AB363" s="6" t="s">
        <v>97</v>
      </c>
      <c r="AC363" t="s">
        <v>137</v>
      </c>
      <c r="AD363" t="s">
        <v>67</v>
      </c>
      <c r="AE363">
        <v>6</v>
      </c>
      <c r="AF363">
        <v>71</v>
      </c>
      <c r="AG363">
        <v>0</v>
      </c>
      <c r="AH363" s="6">
        <v>52.7</v>
      </c>
      <c r="AI363" s="6">
        <v>0</v>
      </c>
      <c r="AJ363" s="6">
        <v>0.68200000000000005</v>
      </c>
      <c r="AK363" s="6">
        <v>0.69599999999999995</v>
      </c>
      <c r="AL363" s="8">
        <v>3562.2</v>
      </c>
      <c r="AM363" s="6" t="s">
        <v>68</v>
      </c>
      <c r="AN363" s="6">
        <v>1</v>
      </c>
      <c r="AO363" s="6">
        <v>1</v>
      </c>
      <c r="AP363" s="6">
        <v>0</v>
      </c>
      <c r="AQ363" s="6">
        <v>1</v>
      </c>
      <c r="AR363" s="6">
        <v>0</v>
      </c>
      <c r="AS363" s="6">
        <v>1</v>
      </c>
      <c r="AT363" s="6">
        <v>0</v>
      </c>
      <c r="AU363" s="6">
        <v>1.94</v>
      </c>
      <c r="AV363" s="6">
        <v>1.1499999999999999</v>
      </c>
      <c r="AW363" s="6">
        <v>109.3</v>
      </c>
      <c r="AX363" s="6">
        <v>21.11</v>
      </c>
      <c r="AY363" s="6">
        <v>64.66</v>
      </c>
      <c r="AZ363" s="6">
        <v>16.100000000000001</v>
      </c>
      <c r="BA363" s="6">
        <v>40.1</v>
      </c>
    </row>
    <row r="364" spans="1:53" x14ac:dyDescent="0.3">
      <c r="A364" s="6">
        <v>568915703</v>
      </c>
      <c r="B364" s="6">
        <v>245051</v>
      </c>
      <c r="C364" s="6">
        <v>1739653</v>
      </c>
      <c r="D364" s="6">
        <v>4763</v>
      </c>
      <c r="E364" s="6" t="s">
        <v>185</v>
      </c>
      <c r="F364" s="6">
        <v>51284</v>
      </c>
      <c r="G364" s="6" t="s">
        <v>98</v>
      </c>
      <c r="H364" s="10">
        <v>45672</v>
      </c>
      <c r="I364" s="10">
        <v>45672</v>
      </c>
      <c r="J364" s="4">
        <v>45672.579861111109</v>
      </c>
      <c r="K364" s="4">
        <v>45672.683819444443</v>
      </c>
      <c r="L364" s="11">
        <v>45672.678263888891</v>
      </c>
      <c r="M364" s="10">
        <v>45672</v>
      </c>
      <c r="N364" s="6" t="s">
        <v>150</v>
      </c>
      <c r="O364" t="s">
        <v>151</v>
      </c>
      <c r="P364" s="6" t="s">
        <v>78</v>
      </c>
      <c r="Q364" t="s">
        <v>166</v>
      </c>
      <c r="R364" t="s">
        <v>88</v>
      </c>
      <c r="S364" s="6">
        <v>781396</v>
      </c>
      <c r="T364" s="6" t="s">
        <v>1</v>
      </c>
      <c r="U364">
        <v>154</v>
      </c>
      <c r="V364" s="6">
        <v>11</v>
      </c>
      <c r="W364" s="6">
        <v>21.3</v>
      </c>
      <c r="X364" s="6">
        <v>157.19999999999999</v>
      </c>
      <c r="Y364" s="6">
        <v>189.5</v>
      </c>
      <c r="Z364" s="6" t="s">
        <v>63</v>
      </c>
      <c r="AA364" t="s">
        <v>519</v>
      </c>
      <c r="AB364" s="6" t="s">
        <v>75</v>
      </c>
      <c r="AC364" t="s">
        <v>125</v>
      </c>
      <c r="AD364" t="s">
        <v>67</v>
      </c>
      <c r="AE364">
        <v>-8</v>
      </c>
      <c r="AF364">
        <v>0</v>
      </c>
      <c r="AG364">
        <v>0</v>
      </c>
      <c r="AH364" s="6">
        <v>17.2</v>
      </c>
      <c r="AI364" s="6">
        <v>0</v>
      </c>
      <c r="AJ364" s="6">
        <v>0.58799999999999997</v>
      </c>
      <c r="AK364" s="6">
        <v>0.71</v>
      </c>
      <c r="AL364" s="8">
        <v>21463.31</v>
      </c>
      <c r="AM364" s="6" t="s">
        <v>114</v>
      </c>
      <c r="AN364" s="6">
        <v>1</v>
      </c>
      <c r="AO364" s="6">
        <v>1</v>
      </c>
      <c r="AP364" s="6">
        <v>0</v>
      </c>
      <c r="AQ364" s="6">
        <v>1</v>
      </c>
      <c r="AR364" s="6">
        <v>0</v>
      </c>
      <c r="AS364" s="6">
        <v>1</v>
      </c>
      <c r="AT364" s="6">
        <v>0</v>
      </c>
      <c r="AU364" s="6">
        <v>2.09</v>
      </c>
      <c r="AV364" s="6">
        <v>1.32</v>
      </c>
      <c r="AW364" s="6">
        <v>121.61</v>
      </c>
      <c r="AX364" s="6">
        <v>29.25</v>
      </c>
      <c r="AY364" s="6">
        <v>129.4</v>
      </c>
      <c r="AZ364" s="6">
        <v>12.9</v>
      </c>
      <c r="BA364" s="6">
        <v>49.4</v>
      </c>
    </row>
    <row r="365" spans="1:53" x14ac:dyDescent="0.3">
      <c r="A365" s="6">
        <v>213669678</v>
      </c>
      <c r="B365" s="6">
        <v>779514</v>
      </c>
      <c r="C365" s="6">
        <v>5130808</v>
      </c>
      <c r="D365" s="6">
        <v>3731</v>
      </c>
      <c r="E365" s="6" t="s">
        <v>106</v>
      </c>
      <c r="F365" s="6">
        <v>53148</v>
      </c>
      <c r="G365" s="6" t="s">
        <v>146</v>
      </c>
      <c r="H365" s="10">
        <v>45799</v>
      </c>
      <c r="I365" s="10">
        <v>45799</v>
      </c>
      <c r="J365" s="4">
        <v>45799.920138888891</v>
      </c>
      <c r="K365" s="4">
        <v>45800.003113425926</v>
      </c>
      <c r="L365" s="11">
        <v>45799.951724537037</v>
      </c>
      <c r="M365" s="10">
        <v>45799</v>
      </c>
      <c r="N365" s="6" t="s">
        <v>70</v>
      </c>
      <c r="O365" t="s">
        <v>138</v>
      </c>
      <c r="P365" s="6" t="s">
        <v>129</v>
      </c>
      <c r="Q365" t="s">
        <v>241</v>
      </c>
      <c r="R365" t="s">
        <v>123</v>
      </c>
      <c r="S365" s="6">
        <v>731760</v>
      </c>
      <c r="T365" s="6" t="s">
        <v>1</v>
      </c>
      <c r="U365">
        <v>105</v>
      </c>
      <c r="V365" s="6">
        <v>39.299999999999997</v>
      </c>
      <c r="W365" s="6">
        <v>3.8</v>
      </c>
      <c r="X365" s="6">
        <v>102.5</v>
      </c>
      <c r="Y365" s="6">
        <v>145.6</v>
      </c>
      <c r="Z365" s="6" t="s">
        <v>63</v>
      </c>
      <c r="AA365" t="s">
        <v>520</v>
      </c>
      <c r="AB365" s="6" t="s">
        <v>65</v>
      </c>
      <c r="AC365" t="s">
        <v>137</v>
      </c>
      <c r="AD365" t="s">
        <v>67</v>
      </c>
      <c r="AE365">
        <v>-74</v>
      </c>
      <c r="AF365">
        <v>32</v>
      </c>
      <c r="AG365">
        <v>0</v>
      </c>
      <c r="AH365" s="6">
        <v>50.6</v>
      </c>
      <c r="AI365" s="6">
        <v>0</v>
      </c>
      <c r="AJ365" s="6">
        <v>0.62</v>
      </c>
      <c r="AK365" s="6">
        <v>0.75</v>
      </c>
      <c r="AL365" s="8">
        <v>2478.3200000000002</v>
      </c>
      <c r="AM365" s="6" t="s">
        <v>68</v>
      </c>
      <c r="AN365" s="6">
        <v>1</v>
      </c>
      <c r="AO365" s="6">
        <v>1</v>
      </c>
      <c r="AP365" s="6">
        <v>0</v>
      </c>
      <c r="AQ365" s="6">
        <v>1</v>
      </c>
      <c r="AR365" s="6">
        <v>0</v>
      </c>
      <c r="AS365" s="6">
        <v>1</v>
      </c>
      <c r="AT365" s="6">
        <v>0</v>
      </c>
      <c r="AU365" s="6">
        <v>2.35</v>
      </c>
      <c r="AV365" s="6">
        <v>1.55</v>
      </c>
      <c r="AW365" s="6">
        <v>93.68</v>
      </c>
      <c r="AX365" s="6">
        <v>27.8</v>
      </c>
      <c r="AY365" s="6">
        <v>73.62</v>
      </c>
      <c r="AZ365" s="6">
        <v>38.9</v>
      </c>
      <c r="BA365" s="6">
        <v>49.8</v>
      </c>
    </row>
    <row r="366" spans="1:53" x14ac:dyDescent="0.3">
      <c r="A366" s="6">
        <v>361259074</v>
      </c>
      <c r="B366" s="6">
        <v>738720</v>
      </c>
      <c r="C366" s="6">
        <v>2375453</v>
      </c>
      <c r="D366" s="6">
        <v>6056</v>
      </c>
      <c r="E366" s="6" t="s">
        <v>57</v>
      </c>
      <c r="F366" s="6">
        <v>50768</v>
      </c>
      <c r="G366" s="6" t="s">
        <v>58</v>
      </c>
      <c r="H366" s="10">
        <v>45806</v>
      </c>
      <c r="I366" s="10">
        <v>45806</v>
      </c>
      <c r="J366" s="4">
        <v>45806.652777777781</v>
      </c>
      <c r="K366" s="4">
        <v>45807.399780092594</v>
      </c>
      <c r="L366" s="11">
        <v>45807.394224537034</v>
      </c>
      <c r="M366" s="10">
        <v>45807</v>
      </c>
      <c r="N366" s="6" t="s">
        <v>121</v>
      </c>
      <c r="O366" t="s">
        <v>179</v>
      </c>
      <c r="P366" s="6" t="s">
        <v>121</v>
      </c>
      <c r="Q366" t="s">
        <v>143</v>
      </c>
      <c r="R366" t="s">
        <v>123</v>
      </c>
      <c r="S366" s="6">
        <v>742838</v>
      </c>
      <c r="T366" s="6" t="s">
        <v>140</v>
      </c>
      <c r="U366">
        <v>911</v>
      </c>
      <c r="V366" s="6">
        <v>44.4</v>
      </c>
      <c r="W366" s="6">
        <v>24.9</v>
      </c>
      <c r="X366" s="6">
        <v>904.6</v>
      </c>
      <c r="Y366" s="6">
        <v>973.9</v>
      </c>
      <c r="Z366" s="6" t="s">
        <v>63</v>
      </c>
      <c r="AA366" t="s">
        <v>521</v>
      </c>
      <c r="AB366" s="6" t="s">
        <v>90</v>
      </c>
      <c r="AC366" t="s">
        <v>137</v>
      </c>
      <c r="AD366" t="s">
        <v>67</v>
      </c>
      <c r="AE366">
        <v>-8</v>
      </c>
      <c r="AF366">
        <v>0</v>
      </c>
      <c r="AG366">
        <v>0</v>
      </c>
      <c r="AH366" s="6">
        <v>74.2</v>
      </c>
      <c r="AI366" s="6">
        <v>0</v>
      </c>
      <c r="AJ366" s="6">
        <v>0.71699999999999997</v>
      </c>
      <c r="AK366" s="6">
        <v>0.80100000000000005</v>
      </c>
      <c r="AL366" s="8">
        <v>1720.29</v>
      </c>
      <c r="AM366" s="6" t="s">
        <v>68</v>
      </c>
      <c r="AN366" s="6">
        <v>1</v>
      </c>
      <c r="AO366" s="6">
        <v>1</v>
      </c>
      <c r="AP366" s="6">
        <v>0</v>
      </c>
      <c r="AQ366" s="6">
        <v>1</v>
      </c>
      <c r="AR366" s="6">
        <v>0</v>
      </c>
      <c r="AS366" s="6">
        <v>1</v>
      </c>
      <c r="AT366" s="6">
        <v>0</v>
      </c>
      <c r="AU366" s="6">
        <v>2.5099999999999998</v>
      </c>
      <c r="AV366" s="6">
        <v>1.54</v>
      </c>
      <c r="AW366" s="6">
        <v>794.94</v>
      </c>
      <c r="AX366" s="6">
        <v>187.94</v>
      </c>
      <c r="AY366" s="6">
        <v>594.30999999999995</v>
      </c>
      <c r="AZ366" s="6">
        <v>16.600000000000001</v>
      </c>
      <c r="BA366" s="6">
        <v>12.9</v>
      </c>
    </row>
    <row r="367" spans="1:53" x14ac:dyDescent="0.3">
      <c r="A367" s="6">
        <v>567804106</v>
      </c>
      <c r="B367" s="6">
        <v>301629</v>
      </c>
      <c r="C367" s="6">
        <v>8633773</v>
      </c>
      <c r="D367" s="6">
        <v>7331</v>
      </c>
      <c r="E367" s="6" t="s">
        <v>84</v>
      </c>
      <c r="F367" s="6">
        <v>59174</v>
      </c>
      <c r="G367" s="6" t="s">
        <v>69</v>
      </c>
      <c r="H367" s="10">
        <v>45718</v>
      </c>
      <c r="I367" s="10">
        <v>45718</v>
      </c>
      <c r="J367" s="4">
        <v>45718.340277777781</v>
      </c>
      <c r="K367" s="4">
        <v>45718.617685185185</v>
      </c>
      <c r="L367" s="11">
        <v>45718.586435185185</v>
      </c>
      <c r="M367" s="10">
        <v>45718</v>
      </c>
      <c r="N367" s="6" t="s">
        <v>176</v>
      </c>
      <c r="O367" t="s">
        <v>355</v>
      </c>
      <c r="P367" s="6" t="s">
        <v>170</v>
      </c>
      <c r="Q367" t="s">
        <v>221</v>
      </c>
      <c r="R367" t="s">
        <v>62</v>
      </c>
      <c r="S367" s="6">
        <v>719356</v>
      </c>
      <c r="T367" s="6" t="s">
        <v>1</v>
      </c>
      <c r="U367">
        <v>316</v>
      </c>
      <c r="V367" s="6">
        <v>15</v>
      </c>
      <c r="W367" s="6">
        <v>28.9</v>
      </c>
      <c r="X367" s="6">
        <v>308.39999999999998</v>
      </c>
      <c r="Y367" s="6">
        <v>352.3</v>
      </c>
      <c r="Z367" s="6" t="s">
        <v>112</v>
      </c>
      <c r="AA367" t="s">
        <v>346</v>
      </c>
      <c r="AB367" s="6" t="s">
        <v>97</v>
      </c>
      <c r="AC367" t="s">
        <v>91</v>
      </c>
      <c r="AD367" t="s">
        <v>67</v>
      </c>
      <c r="AE367">
        <v>-45</v>
      </c>
      <c r="AF367">
        <v>0</v>
      </c>
      <c r="AG367">
        <v>0</v>
      </c>
      <c r="AH367" s="6">
        <v>40.9</v>
      </c>
      <c r="AI367" s="6">
        <v>0</v>
      </c>
      <c r="AJ367" s="6">
        <v>0.40100000000000002</v>
      </c>
      <c r="AK367" s="6">
        <v>0.89400000000000002</v>
      </c>
      <c r="AL367" s="8">
        <v>108004.52</v>
      </c>
      <c r="AM367" s="6" t="s">
        <v>155</v>
      </c>
      <c r="AN367" s="6">
        <v>1</v>
      </c>
      <c r="AO367" s="6">
        <v>1</v>
      </c>
      <c r="AP367" s="6">
        <v>0</v>
      </c>
      <c r="AQ367" s="6">
        <v>1</v>
      </c>
      <c r="AR367" s="6">
        <v>0</v>
      </c>
      <c r="AS367" s="6">
        <v>1</v>
      </c>
      <c r="AT367" s="6">
        <v>0</v>
      </c>
      <c r="AU367" s="6">
        <v>2.25</v>
      </c>
      <c r="AV367" s="6">
        <v>1.71</v>
      </c>
      <c r="AW367" s="6">
        <v>314.49</v>
      </c>
      <c r="AX367" s="6">
        <v>68.900000000000006</v>
      </c>
      <c r="AY367" s="6">
        <v>226.22</v>
      </c>
      <c r="AZ367" s="6">
        <v>63.5</v>
      </c>
      <c r="BA367" s="6">
        <v>0</v>
      </c>
    </row>
    <row r="368" spans="1:53" x14ac:dyDescent="0.3">
      <c r="A368" s="6">
        <v>732295732</v>
      </c>
      <c r="B368" s="6">
        <v>854639</v>
      </c>
      <c r="C368" s="6">
        <v>7417985</v>
      </c>
      <c r="D368" s="6">
        <v>3811</v>
      </c>
      <c r="E368" s="6" t="s">
        <v>142</v>
      </c>
      <c r="F368" s="6">
        <v>55607</v>
      </c>
      <c r="G368" s="6" t="s">
        <v>69</v>
      </c>
      <c r="H368" s="10">
        <v>45666</v>
      </c>
      <c r="I368" s="10">
        <v>45666</v>
      </c>
      <c r="J368" s="4">
        <v>45666.28125</v>
      </c>
      <c r="K368" s="4">
        <v>45666.635277777779</v>
      </c>
      <c r="L368" s="11">
        <v>45666.628333333334</v>
      </c>
      <c r="M368" s="10">
        <v>45666</v>
      </c>
      <c r="N368" s="6" t="s">
        <v>70</v>
      </c>
      <c r="O368" t="s">
        <v>72</v>
      </c>
      <c r="P368" s="6" t="s">
        <v>103</v>
      </c>
      <c r="Q368" t="s">
        <v>104</v>
      </c>
      <c r="R368" t="s">
        <v>73</v>
      </c>
      <c r="S368" s="6">
        <v>732275</v>
      </c>
      <c r="T368" s="6" t="s">
        <v>111</v>
      </c>
      <c r="U368">
        <v>476</v>
      </c>
      <c r="V368" s="6">
        <v>39.6</v>
      </c>
      <c r="W368" s="6">
        <v>19.8</v>
      </c>
      <c r="X368" s="6">
        <v>471.1</v>
      </c>
      <c r="Y368" s="6">
        <v>530.5</v>
      </c>
      <c r="Z368" s="6" t="s">
        <v>63</v>
      </c>
      <c r="AA368" t="s">
        <v>522</v>
      </c>
      <c r="AB368" s="6" t="s">
        <v>97</v>
      </c>
      <c r="AC368" t="s">
        <v>137</v>
      </c>
      <c r="AD368" t="s">
        <v>67</v>
      </c>
      <c r="AE368">
        <v>-10</v>
      </c>
      <c r="AF368">
        <v>0</v>
      </c>
      <c r="AG368">
        <v>0</v>
      </c>
      <c r="AH368" s="6">
        <v>90.1</v>
      </c>
      <c r="AI368" s="6">
        <v>0</v>
      </c>
      <c r="AJ368" s="6">
        <v>0.39900000000000002</v>
      </c>
      <c r="AK368" s="6">
        <v>0.41399999999999998</v>
      </c>
      <c r="AL368" s="8">
        <v>1157.18</v>
      </c>
      <c r="AM368" s="6" t="s">
        <v>68</v>
      </c>
      <c r="AN368" s="6">
        <v>1</v>
      </c>
      <c r="AO368" s="6">
        <v>1</v>
      </c>
      <c r="AP368" s="6">
        <v>0</v>
      </c>
      <c r="AQ368" s="6">
        <v>1</v>
      </c>
      <c r="AR368" s="6">
        <v>0</v>
      </c>
      <c r="AS368" s="6">
        <v>1</v>
      </c>
      <c r="AT368" s="6">
        <v>0</v>
      </c>
      <c r="AU368" s="6">
        <v>2.27</v>
      </c>
      <c r="AV368" s="6">
        <v>1.69</v>
      </c>
      <c r="AW368" s="6">
        <v>374.7</v>
      </c>
      <c r="AX368" s="6">
        <v>101.47</v>
      </c>
      <c r="AY368" s="6">
        <v>283.82</v>
      </c>
      <c r="AZ368" s="6">
        <v>11.8</v>
      </c>
      <c r="BA368" s="6">
        <v>19.100000000000001</v>
      </c>
    </row>
    <row r="369" spans="1:53" x14ac:dyDescent="0.3">
      <c r="A369" s="6">
        <v>529979713</v>
      </c>
      <c r="B369" s="6">
        <v>598369</v>
      </c>
      <c r="C369" s="6">
        <v>6266630</v>
      </c>
      <c r="D369" s="6">
        <v>3869</v>
      </c>
      <c r="E369" s="6" t="s">
        <v>126</v>
      </c>
      <c r="F369" s="6">
        <v>53202</v>
      </c>
      <c r="G369" s="6" t="s">
        <v>115</v>
      </c>
      <c r="H369" s="10">
        <v>45706</v>
      </c>
      <c r="I369" s="10">
        <v>45706</v>
      </c>
      <c r="J369" s="4">
        <v>45706.28125</v>
      </c>
      <c r="K369" s="4">
        <v>45706.477511574078</v>
      </c>
      <c r="L369" s="11">
        <v>45706.484456018516</v>
      </c>
      <c r="M369" s="10">
        <v>45706</v>
      </c>
      <c r="N369" s="6" t="s">
        <v>78</v>
      </c>
      <c r="O369" t="s">
        <v>147</v>
      </c>
      <c r="P369" s="6" t="s">
        <v>176</v>
      </c>
      <c r="Q369" t="s">
        <v>316</v>
      </c>
      <c r="R369" t="s">
        <v>88</v>
      </c>
      <c r="S369" s="6">
        <v>795484</v>
      </c>
      <c r="T369" s="6" t="s">
        <v>1</v>
      </c>
      <c r="U369">
        <v>203</v>
      </c>
      <c r="V369" s="6">
        <v>24.7</v>
      </c>
      <c r="W369" s="6">
        <v>24.3</v>
      </c>
      <c r="X369" s="6">
        <v>198.1</v>
      </c>
      <c r="Y369" s="6">
        <v>247.1</v>
      </c>
      <c r="Z369" s="6" t="s">
        <v>63</v>
      </c>
      <c r="AA369" t="s">
        <v>523</v>
      </c>
      <c r="AB369" s="6" t="s">
        <v>97</v>
      </c>
      <c r="AC369" t="s">
        <v>66</v>
      </c>
      <c r="AD369" t="s">
        <v>67</v>
      </c>
      <c r="AE369">
        <v>10</v>
      </c>
      <c r="AF369">
        <v>0</v>
      </c>
      <c r="AG369">
        <v>0</v>
      </c>
      <c r="AH369" s="6">
        <v>49.6</v>
      </c>
      <c r="AI369" s="6">
        <v>0</v>
      </c>
      <c r="AJ369" s="6">
        <v>0.53400000000000003</v>
      </c>
      <c r="AK369" s="6">
        <v>0.66</v>
      </c>
      <c r="AL369" s="8">
        <v>5049.0200000000004</v>
      </c>
      <c r="AM369" s="6" t="s">
        <v>68</v>
      </c>
      <c r="AN369" s="6">
        <v>1</v>
      </c>
      <c r="AO369" s="6">
        <v>1</v>
      </c>
      <c r="AP369" s="6">
        <v>0</v>
      </c>
      <c r="AQ369" s="6">
        <v>1</v>
      </c>
      <c r="AR369" s="6">
        <v>0</v>
      </c>
      <c r="AS369" s="6">
        <v>1</v>
      </c>
      <c r="AT369" s="6">
        <v>0</v>
      </c>
      <c r="AU369" s="6">
        <v>2.0499999999999998</v>
      </c>
      <c r="AV369" s="6">
        <v>1.54</v>
      </c>
      <c r="AW369" s="6">
        <v>173.17</v>
      </c>
      <c r="AX369" s="6">
        <v>43.72</v>
      </c>
      <c r="AY369" s="6">
        <v>171.29</v>
      </c>
      <c r="AZ369" s="6">
        <v>26.1</v>
      </c>
      <c r="BA369" s="6">
        <v>47.4</v>
      </c>
    </row>
    <row r="370" spans="1:53" x14ac:dyDescent="0.3">
      <c r="A370" s="6">
        <v>662600500</v>
      </c>
      <c r="B370" s="6">
        <v>377932</v>
      </c>
      <c r="C370" s="6">
        <v>9508103</v>
      </c>
      <c r="D370" s="6">
        <v>6699</v>
      </c>
      <c r="E370" s="6" t="s">
        <v>92</v>
      </c>
      <c r="F370" s="6">
        <v>52787</v>
      </c>
      <c r="G370" s="6" t="s">
        <v>115</v>
      </c>
      <c r="H370" s="10">
        <v>45896</v>
      </c>
      <c r="I370" s="10">
        <v>45896</v>
      </c>
      <c r="J370" s="4">
        <v>45896.638888888891</v>
      </c>
      <c r="K370" s="4">
        <v>45896.723576388889</v>
      </c>
      <c r="L370" s="11">
        <v>45896.721493055556</v>
      </c>
      <c r="M370" s="10">
        <v>45896</v>
      </c>
      <c r="N370" s="6" t="s">
        <v>109</v>
      </c>
      <c r="O370" t="s">
        <v>193</v>
      </c>
      <c r="P370" s="6" t="s">
        <v>109</v>
      </c>
      <c r="Q370" t="s">
        <v>193</v>
      </c>
      <c r="R370" t="s">
        <v>88</v>
      </c>
      <c r="S370" s="6">
        <v>705397</v>
      </c>
      <c r="T370" s="6" t="s">
        <v>3</v>
      </c>
      <c r="U370">
        <v>101</v>
      </c>
      <c r="V370" s="6">
        <v>9.9</v>
      </c>
      <c r="W370" s="6">
        <v>13.6</v>
      </c>
      <c r="X370" s="6">
        <v>104.4</v>
      </c>
      <c r="Y370" s="6">
        <v>127.9</v>
      </c>
      <c r="Z370" s="6" t="s">
        <v>112</v>
      </c>
      <c r="AA370" t="s">
        <v>524</v>
      </c>
      <c r="AB370" s="6" t="s">
        <v>90</v>
      </c>
      <c r="AC370" t="s">
        <v>125</v>
      </c>
      <c r="AD370" t="s">
        <v>67</v>
      </c>
      <c r="AE370">
        <v>-3</v>
      </c>
      <c r="AF370">
        <v>0</v>
      </c>
      <c r="AG370">
        <v>0</v>
      </c>
      <c r="AH370" s="6">
        <v>14.7</v>
      </c>
      <c r="AI370" s="6">
        <v>0</v>
      </c>
      <c r="AJ370" s="6">
        <v>0.749</v>
      </c>
      <c r="AK370" s="6">
        <v>0.443</v>
      </c>
      <c r="AL370" s="8">
        <v>15427.78</v>
      </c>
      <c r="AM370" s="6" t="s">
        <v>114</v>
      </c>
      <c r="AN370" s="6">
        <v>1</v>
      </c>
      <c r="AO370" s="6">
        <v>1</v>
      </c>
      <c r="AP370" s="6">
        <v>0</v>
      </c>
      <c r="AQ370" s="6">
        <v>1</v>
      </c>
      <c r="AR370" s="6">
        <v>0</v>
      </c>
      <c r="AS370" s="6">
        <v>1</v>
      </c>
      <c r="AT370" s="6">
        <v>0</v>
      </c>
      <c r="AU370" s="6">
        <v>1.89</v>
      </c>
      <c r="AV370" s="6">
        <v>1.22</v>
      </c>
      <c r="AW370" s="6">
        <v>103</v>
      </c>
      <c r="AX370" s="6">
        <v>23.16</v>
      </c>
      <c r="AY370" s="6">
        <v>76.17</v>
      </c>
      <c r="AZ370" s="6">
        <v>13.9</v>
      </c>
      <c r="BA370" s="6">
        <v>40.1</v>
      </c>
    </row>
    <row r="371" spans="1:53" x14ac:dyDescent="0.3">
      <c r="A371" s="6">
        <v>184446671</v>
      </c>
      <c r="B371" s="6">
        <v>207175</v>
      </c>
      <c r="C371" s="6">
        <v>8077999</v>
      </c>
      <c r="D371" s="6">
        <v>4152</v>
      </c>
      <c r="E371" s="6" t="s">
        <v>142</v>
      </c>
      <c r="F371" s="6">
        <v>52210</v>
      </c>
      <c r="G371" s="6" t="s">
        <v>69</v>
      </c>
      <c r="H371" s="10">
        <v>45950</v>
      </c>
      <c r="I371" s="10">
        <v>45950</v>
      </c>
      <c r="J371" s="4">
        <v>45950.673611111109</v>
      </c>
      <c r="K371" s="4">
        <v>45950.84878472222</v>
      </c>
      <c r="L371" s="11">
        <v>45950.849479166667</v>
      </c>
      <c r="M371" s="10">
        <v>45950</v>
      </c>
      <c r="N371" s="6" t="s">
        <v>93</v>
      </c>
      <c r="O371" t="s">
        <v>144</v>
      </c>
      <c r="P371" s="6" t="s">
        <v>121</v>
      </c>
      <c r="Q371" t="s">
        <v>237</v>
      </c>
      <c r="R371" t="s">
        <v>123</v>
      </c>
      <c r="S371" s="6">
        <v>710118</v>
      </c>
      <c r="T371" s="6" t="s">
        <v>1</v>
      </c>
      <c r="U371">
        <v>193</v>
      </c>
      <c r="V371" s="6">
        <v>4.2</v>
      </c>
      <c r="W371" s="6">
        <v>25.7</v>
      </c>
      <c r="X371" s="6">
        <v>190.6</v>
      </c>
      <c r="Y371" s="6">
        <v>220.5</v>
      </c>
      <c r="Z371" s="6" t="s">
        <v>112</v>
      </c>
      <c r="AA371" t="s">
        <v>525</v>
      </c>
      <c r="AB371" s="6" t="s">
        <v>90</v>
      </c>
      <c r="AC371" t="s">
        <v>83</v>
      </c>
      <c r="AD371" t="s">
        <v>67</v>
      </c>
      <c r="AE371">
        <v>1</v>
      </c>
      <c r="AF371">
        <v>0</v>
      </c>
      <c r="AG371">
        <v>0</v>
      </c>
      <c r="AH371" s="6">
        <v>68</v>
      </c>
      <c r="AI371" s="6">
        <v>0</v>
      </c>
      <c r="AJ371" s="6">
        <v>0.83</v>
      </c>
      <c r="AK371" s="6">
        <v>0.66700000000000004</v>
      </c>
      <c r="AL371" s="8">
        <v>1652.82</v>
      </c>
      <c r="AM371" s="6" t="s">
        <v>68</v>
      </c>
      <c r="AN371" s="6">
        <v>1</v>
      </c>
      <c r="AO371" s="6">
        <v>1</v>
      </c>
      <c r="AP371" s="6">
        <v>0</v>
      </c>
      <c r="AQ371" s="6">
        <v>1</v>
      </c>
      <c r="AR371" s="6">
        <v>0</v>
      </c>
      <c r="AS371" s="6">
        <v>1</v>
      </c>
      <c r="AT371" s="6">
        <v>0</v>
      </c>
      <c r="AU371" s="6">
        <v>2.56</v>
      </c>
      <c r="AV371" s="6">
        <v>1.91</v>
      </c>
      <c r="AW371" s="6">
        <v>188.06</v>
      </c>
      <c r="AX371" s="6">
        <v>44.77</v>
      </c>
      <c r="AY371" s="6">
        <v>122.53</v>
      </c>
      <c r="AZ371" s="6">
        <v>16.8</v>
      </c>
      <c r="BA371" s="6">
        <v>0</v>
      </c>
    </row>
    <row r="372" spans="1:53" x14ac:dyDescent="0.3">
      <c r="A372" s="6">
        <v>524951250</v>
      </c>
      <c r="B372" s="6">
        <v>189814</v>
      </c>
      <c r="C372" s="6">
        <v>4188992</v>
      </c>
      <c r="D372" s="6">
        <v>2648</v>
      </c>
      <c r="E372" s="6" t="s">
        <v>101</v>
      </c>
      <c r="F372" s="6">
        <v>59230</v>
      </c>
      <c r="G372" s="6" t="s">
        <v>175</v>
      </c>
      <c r="H372" s="10">
        <v>46018</v>
      </c>
      <c r="I372" s="10">
        <v>46018</v>
      </c>
      <c r="J372" s="4">
        <v>46018.680555555555</v>
      </c>
      <c r="K372" s="4">
        <v>46018.947256944448</v>
      </c>
      <c r="L372" s="11">
        <v>46018.929201388892</v>
      </c>
      <c r="M372" s="10">
        <v>46018</v>
      </c>
      <c r="N372" s="6" t="s">
        <v>121</v>
      </c>
      <c r="O372" t="s">
        <v>122</v>
      </c>
      <c r="P372" s="6" t="s">
        <v>170</v>
      </c>
      <c r="Q372" t="s">
        <v>171</v>
      </c>
      <c r="R372" t="s">
        <v>62</v>
      </c>
      <c r="S372" s="6">
        <v>737707</v>
      </c>
      <c r="T372" s="6" t="s">
        <v>1</v>
      </c>
      <c r="U372">
        <v>217</v>
      </c>
      <c r="V372" s="6">
        <v>9</v>
      </c>
      <c r="W372" s="6">
        <v>9.9</v>
      </c>
      <c r="X372" s="6">
        <v>215.2</v>
      </c>
      <c r="Y372" s="6">
        <v>234.1</v>
      </c>
      <c r="Z372" s="6" t="s">
        <v>215</v>
      </c>
      <c r="AA372" t="s">
        <v>526</v>
      </c>
      <c r="AB372" s="6" t="s">
        <v>90</v>
      </c>
      <c r="AC372" t="s">
        <v>76</v>
      </c>
      <c r="AD372" t="s">
        <v>67</v>
      </c>
      <c r="AE372">
        <v>-26</v>
      </c>
      <c r="AF372">
        <v>0</v>
      </c>
      <c r="AG372">
        <v>0</v>
      </c>
      <c r="AH372" s="6">
        <v>29</v>
      </c>
      <c r="AI372" s="6">
        <v>0</v>
      </c>
      <c r="AJ372" s="6">
        <v>0.56299999999999994</v>
      </c>
      <c r="AK372" s="6">
        <v>0.59199999999999997</v>
      </c>
      <c r="AL372" s="8">
        <v>9637.7900000000009</v>
      </c>
      <c r="AM372" s="6" t="s">
        <v>114</v>
      </c>
      <c r="AN372" s="6">
        <v>1</v>
      </c>
      <c r="AO372" s="6">
        <v>1</v>
      </c>
      <c r="AP372" s="6">
        <v>0</v>
      </c>
      <c r="AQ372" s="6">
        <v>1</v>
      </c>
      <c r="AR372" s="6">
        <v>0</v>
      </c>
      <c r="AS372" s="6">
        <v>1</v>
      </c>
      <c r="AT372" s="6">
        <v>0</v>
      </c>
      <c r="AU372" s="6">
        <v>2.65</v>
      </c>
      <c r="AV372" s="6">
        <v>1.61</v>
      </c>
      <c r="AW372" s="6">
        <v>206.17</v>
      </c>
      <c r="AX372" s="6">
        <v>42.81</v>
      </c>
      <c r="AY372" s="6">
        <v>163</v>
      </c>
      <c r="AZ372" s="6">
        <v>23.5</v>
      </c>
      <c r="BA372" s="6">
        <v>53.7</v>
      </c>
    </row>
    <row r="373" spans="1:53" x14ac:dyDescent="0.3">
      <c r="A373" s="6">
        <v>433154770</v>
      </c>
      <c r="B373" s="6">
        <v>407757</v>
      </c>
      <c r="C373" s="6">
        <v>6573147</v>
      </c>
      <c r="D373" s="6">
        <v>2930</v>
      </c>
      <c r="E373" s="6" t="s">
        <v>101</v>
      </c>
      <c r="F373" s="6">
        <v>57399</v>
      </c>
      <c r="G373" s="6" t="s">
        <v>107</v>
      </c>
      <c r="H373" s="10">
        <v>45784</v>
      </c>
      <c r="I373" s="10">
        <v>45784</v>
      </c>
      <c r="J373" s="4">
        <v>45784.5625</v>
      </c>
      <c r="K373" s="4">
        <v>45785.322175925925</v>
      </c>
      <c r="L373" s="11">
        <v>45785.286064814813</v>
      </c>
      <c r="M373" s="10">
        <v>45785</v>
      </c>
      <c r="N373" s="6" t="s">
        <v>200</v>
      </c>
      <c r="O373" t="s">
        <v>275</v>
      </c>
      <c r="P373" s="6" t="s">
        <v>86</v>
      </c>
      <c r="Q373" t="s">
        <v>253</v>
      </c>
      <c r="R373" t="s">
        <v>88</v>
      </c>
      <c r="S373" s="6">
        <v>775527</v>
      </c>
      <c r="T373" s="6" t="s">
        <v>140</v>
      </c>
      <c r="U373">
        <v>751</v>
      </c>
      <c r="V373" s="6">
        <v>28.3</v>
      </c>
      <c r="W373" s="6">
        <v>31.3</v>
      </c>
      <c r="X373" s="6">
        <v>749.9</v>
      </c>
      <c r="Y373" s="6">
        <v>809.5</v>
      </c>
      <c r="Z373" s="6" t="s">
        <v>215</v>
      </c>
      <c r="AA373" t="s">
        <v>527</v>
      </c>
      <c r="AB373" s="6" t="s">
        <v>75</v>
      </c>
      <c r="AC373" t="s">
        <v>125</v>
      </c>
      <c r="AD373" t="s">
        <v>67</v>
      </c>
      <c r="AE373">
        <v>-52</v>
      </c>
      <c r="AF373">
        <v>0</v>
      </c>
      <c r="AG373">
        <v>0</v>
      </c>
      <c r="AH373" s="6">
        <v>54.1</v>
      </c>
      <c r="AI373" s="6">
        <v>0</v>
      </c>
      <c r="AJ373" s="6">
        <v>0.60099999999999998</v>
      </c>
      <c r="AK373" s="6">
        <v>0.73599999999999999</v>
      </c>
      <c r="AL373" s="8">
        <v>8493.4500000000007</v>
      </c>
      <c r="AM373" s="6" t="s">
        <v>114</v>
      </c>
      <c r="AN373" s="6">
        <v>1</v>
      </c>
      <c r="AO373" s="6">
        <v>1</v>
      </c>
      <c r="AP373" s="6">
        <v>0</v>
      </c>
      <c r="AQ373" s="6">
        <v>1</v>
      </c>
      <c r="AR373" s="6">
        <v>0</v>
      </c>
      <c r="AS373" s="6">
        <v>1</v>
      </c>
      <c r="AT373" s="6">
        <v>0</v>
      </c>
      <c r="AU373" s="6">
        <v>2.61</v>
      </c>
      <c r="AV373" s="6">
        <v>1.58</v>
      </c>
      <c r="AW373" s="6">
        <v>562.53</v>
      </c>
      <c r="AX373" s="6">
        <v>90.8</v>
      </c>
      <c r="AY373" s="6">
        <v>555.32000000000005</v>
      </c>
      <c r="AZ373" s="6">
        <v>13.8</v>
      </c>
      <c r="BA373" s="6">
        <v>41</v>
      </c>
    </row>
    <row r="374" spans="1:53" x14ac:dyDescent="0.3">
      <c r="A374" s="6">
        <v>900801837</v>
      </c>
      <c r="B374" s="6">
        <v>581741</v>
      </c>
      <c r="C374" s="6">
        <v>3790237</v>
      </c>
      <c r="D374" s="6">
        <v>1995</v>
      </c>
      <c r="E374" s="6" t="s">
        <v>126</v>
      </c>
      <c r="F374" s="6">
        <v>56338</v>
      </c>
      <c r="G374" s="6" t="s">
        <v>235</v>
      </c>
      <c r="H374" s="10">
        <v>45876</v>
      </c>
      <c r="I374" s="10">
        <v>45876</v>
      </c>
      <c r="J374" s="4">
        <v>45876.645833333336</v>
      </c>
      <c r="K374" s="4">
        <v>45877.13685185185</v>
      </c>
      <c r="L374" s="11">
        <v>45877.112546296295</v>
      </c>
      <c r="M374" s="10">
        <v>45877</v>
      </c>
      <c r="N374" s="6" t="s">
        <v>78</v>
      </c>
      <c r="O374" t="s">
        <v>166</v>
      </c>
      <c r="P374" s="6" t="s">
        <v>59</v>
      </c>
      <c r="Q374" t="s">
        <v>99</v>
      </c>
      <c r="R374" t="s">
        <v>62</v>
      </c>
      <c r="S374" s="6">
        <v>752047</v>
      </c>
      <c r="T374" s="6" t="s">
        <v>111</v>
      </c>
      <c r="U374">
        <v>392</v>
      </c>
      <c r="V374" s="6">
        <v>14.3</v>
      </c>
      <c r="W374" s="6">
        <v>21.8</v>
      </c>
      <c r="X374" s="6">
        <v>395.2</v>
      </c>
      <c r="Y374" s="6">
        <v>431.3</v>
      </c>
      <c r="Z374" s="6" t="s">
        <v>2</v>
      </c>
      <c r="AA374" t="s">
        <v>528</v>
      </c>
      <c r="AB374" s="6" t="s">
        <v>90</v>
      </c>
      <c r="AC374" t="s">
        <v>137</v>
      </c>
      <c r="AD374" t="s">
        <v>67</v>
      </c>
      <c r="AE374">
        <v>-35</v>
      </c>
      <c r="AF374">
        <v>0</v>
      </c>
      <c r="AG374">
        <v>0</v>
      </c>
      <c r="AH374" s="6">
        <v>37.799999999999997</v>
      </c>
      <c r="AI374" s="6">
        <v>0</v>
      </c>
      <c r="AJ374" s="6">
        <v>0.40799999999999997</v>
      </c>
      <c r="AK374" s="6">
        <v>0.69899999999999995</v>
      </c>
      <c r="AL374" s="8">
        <v>6723.42</v>
      </c>
      <c r="AM374" s="6" t="s">
        <v>68</v>
      </c>
      <c r="AN374" s="6">
        <v>1</v>
      </c>
      <c r="AO374" s="6">
        <v>1</v>
      </c>
      <c r="AP374" s="6">
        <v>0</v>
      </c>
      <c r="AQ374" s="6">
        <v>1</v>
      </c>
      <c r="AR374" s="6">
        <v>0</v>
      </c>
      <c r="AS374" s="6">
        <v>1</v>
      </c>
      <c r="AT374" s="6">
        <v>0</v>
      </c>
      <c r="AU374" s="6">
        <v>2.38</v>
      </c>
      <c r="AV374" s="6">
        <v>1.69</v>
      </c>
      <c r="AW374" s="6">
        <v>363.18</v>
      </c>
      <c r="AX374" s="6">
        <v>76.540000000000006</v>
      </c>
      <c r="AY374" s="6">
        <v>280.48</v>
      </c>
      <c r="AZ374" s="6">
        <v>17.5</v>
      </c>
      <c r="BA374" s="6">
        <v>31.1</v>
      </c>
    </row>
    <row r="375" spans="1:53" x14ac:dyDescent="0.3">
      <c r="A375" s="6">
        <v>464549612</v>
      </c>
      <c r="B375" s="6">
        <v>719176</v>
      </c>
      <c r="C375" s="6">
        <v>2130789</v>
      </c>
      <c r="D375" s="6">
        <v>6311</v>
      </c>
      <c r="E375" s="6" t="s">
        <v>211</v>
      </c>
      <c r="F375" s="6">
        <v>58733</v>
      </c>
      <c r="G375" s="6" t="s">
        <v>115</v>
      </c>
      <c r="H375" s="10">
        <v>46000</v>
      </c>
      <c r="I375" s="10">
        <v>46000</v>
      </c>
      <c r="J375" s="4">
        <v>46000.416666666664</v>
      </c>
      <c r="K375" s="4">
        <v>46000.728229166663</v>
      </c>
      <c r="L375" s="11">
        <v>46000.710868055554</v>
      </c>
      <c r="M375" s="10">
        <v>46000</v>
      </c>
      <c r="N375" s="6" t="s">
        <v>86</v>
      </c>
      <c r="O375" t="s">
        <v>268</v>
      </c>
      <c r="P375" s="6" t="s">
        <v>116</v>
      </c>
      <c r="Q375" t="s">
        <v>117</v>
      </c>
      <c r="R375" t="s">
        <v>123</v>
      </c>
      <c r="S375" s="6">
        <v>775534</v>
      </c>
      <c r="T375" s="6" t="s">
        <v>1</v>
      </c>
      <c r="U375">
        <v>271</v>
      </c>
      <c r="V375" s="6">
        <v>12.5</v>
      </c>
      <c r="W375" s="6">
        <v>13.4</v>
      </c>
      <c r="X375" s="6">
        <v>274.8</v>
      </c>
      <c r="Y375" s="6">
        <v>300.7</v>
      </c>
      <c r="Z375" s="6" t="s">
        <v>63</v>
      </c>
      <c r="AA375" t="s">
        <v>529</v>
      </c>
      <c r="AB375" s="6" t="s">
        <v>75</v>
      </c>
      <c r="AC375" t="s">
        <v>66</v>
      </c>
      <c r="AD375" t="s">
        <v>67</v>
      </c>
      <c r="AE375">
        <v>-25</v>
      </c>
      <c r="AF375">
        <v>0</v>
      </c>
      <c r="AG375">
        <v>0</v>
      </c>
      <c r="AH375" s="6">
        <v>51</v>
      </c>
      <c r="AI375" s="6">
        <v>0</v>
      </c>
      <c r="AJ375" s="6">
        <v>0.59299999999999997</v>
      </c>
      <c r="AK375" s="6">
        <v>0.44</v>
      </c>
      <c r="AL375" s="8">
        <v>8356.98</v>
      </c>
      <c r="AM375" s="6" t="s">
        <v>114</v>
      </c>
      <c r="AN375" s="6">
        <v>1</v>
      </c>
      <c r="AO375" s="6">
        <v>1</v>
      </c>
      <c r="AP375" s="6">
        <v>0</v>
      </c>
      <c r="AQ375" s="6">
        <v>1</v>
      </c>
      <c r="AR375" s="6">
        <v>0</v>
      </c>
      <c r="AS375" s="6">
        <v>1</v>
      </c>
      <c r="AT375" s="6">
        <v>0</v>
      </c>
      <c r="AU375" s="6">
        <v>2.48</v>
      </c>
      <c r="AV375" s="6">
        <v>1.46</v>
      </c>
      <c r="AW375" s="6">
        <v>214.15</v>
      </c>
      <c r="AX375" s="6">
        <v>36.200000000000003</v>
      </c>
      <c r="AY375" s="6">
        <v>165.3</v>
      </c>
      <c r="AZ375" s="6">
        <v>17</v>
      </c>
      <c r="BA375" s="6">
        <v>47.5</v>
      </c>
    </row>
    <row r="376" spans="1:53" x14ac:dyDescent="0.3">
      <c r="A376" s="6">
        <v>337911187</v>
      </c>
      <c r="B376" s="6">
        <v>230889</v>
      </c>
      <c r="C376" s="6">
        <v>9147706</v>
      </c>
      <c r="D376" s="6">
        <v>2016</v>
      </c>
      <c r="E376" s="6" t="s">
        <v>84</v>
      </c>
      <c r="F376" s="6">
        <v>50358</v>
      </c>
      <c r="G376" s="6" t="s">
        <v>107</v>
      </c>
      <c r="H376" s="10">
        <v>45718</v>
      </c>
      <c r="I376" s="10">
        <v>45718</v>
      </c>
      <c r="J376" s="4">
        <v>45718.413194444445</v>
      </c>
      <c r="K376" s="4">
        <v>45718.583194444444</v>
      </c>
      <c r="L376" s="11">
        <v>45718.570694444446</v>
      </c>
      <c r="M376" s="10">
        <v>45718</v>
      </c>
      <c r="N376" s="6" t="s">
        <v>103</v>
      </c>
      <c r="O376" t="s">
        <v>232</v>
      </c>
      <c r="P376" s="6" t="s">
        <v>103</v>
      </c>
      <c r="Q376" t="s">
        <v>232</v>
      </c>
      <c r="R376" t="s">
        <v>73</v>
      </c>
      <c r="S376" s="6">
        <v>783084</v>
      </c>
      <c r="T376" s="6" t="s">
        <v>1</v>
      </c>
      <c r="U376">
        <v>218</v>
      </c>
      <c r="V376" s="6">
        <v>32.5</v>
      </c>
      <c r="W376" s="6">
        <v>11.4</v>
      </c>
      <c r="X376" s="6">
        <v>214.8</v>
      </c>
      <c r="Y376" s="6">
        <v>258.7</v>
      </c>
      <c r="Z376" s="6" t="s">
        <v>2</v>
      </c>
      <c r="AA376" t="s">
        <v>530</v>
      </c>
      <c r="AB376" s="6" t="s">
        <v>97</v>
      </c>
      <c r="AC376" t="s">
        <v>91</v>
      </c>
      <c r="AD376" t="s">
        <v>67</v>
      </c>
      <c r="AE376">
        <v>-18</v>
      </c>
      <c r="AF376">
        <v>49</v>
      </c>
      <c r="AG376">
        <v>0</v>
      </c>
      <c r="AH376" s="6">
        <v>66.599999999999994</v>
      </c>
      <c r="AI376" s="6">
        <v>0</v>
      </c>
      <c r="AJ376" s="6">
        <v>0.41799999999999998</v>
      </c>
      <c r="AK376" s="6">
        <v>0.64500000000000002</v>
      </c>
      <c r="AL376" s="8">
        <v>5817.86</v>
      </c>
      <c r="AM376" s="6" t="s">
        <v>68</v>
      </c>
      <c r="AN376" s="6">
        <v>1</v>
      </c>
      <c r="AO376" s="6">
        <v>1</v>
      </c>
      <c r="AP376" s="6">
        <v>0</v>
      </c>
      <c r="AQ376" s="6">
        <v>1</v>
      </c>
      <c r="AR376" s="6">
        <v>0</v>
      </c>
      <c r="AS376" s="6">
        <v>1</v>
      </c>
      <c r="AT376" s="6">
        <v>0</v>
      </c>
      <c r="AU376" s="6">
        <v>2.35</v>
      </c>
      <c r="AV376" s="6">
        <v>1.85</v>
      </c>
      <c r="AW376" s="6">
        <v>202.68</v>
      </c>
      <c r="AX376" s="6">
        <v>26.31</v>
      </c>
      <c r="AY376" s="6">
        <v>148.4</v>
      </c>
      <c r="AZ376" s="6">
        <v>28.3</v>
      </c>
      <c r="BA376" s="6">
        <v>0</v>
      </c>
    </row>
    <row r="377" spans="1:53" x14ac:dyDescent="0.3">
      <c r="A377" s="6">
        <v>457629711</v>
      </c>
      <c r="B377" s="6">
        <v>903035</v>
      </c>
      <c r="C377" s="6">
        <v>7110622</v>
      </c>
      <c r="D377" s="6">
        <v>3200</v>
      </c>
      <c r="E377" s="6" t="s">
        <v>92</v>
      </c>
      <c r="F377" s="6">
        <v>50849</v>
      </c>
      <c r="G377" s="6" t="s">
        <v>69</v>
      </c>
      <c r="H377" s="10">
        <v>45919</v>
      </c>
      <c r="I377" s="10">
        <v>45919</v>
      </c>
      <c r="J377" s="4">
        <v>45919.430555555555</v>
      </c>
      <c r="K377" s="4">
        <v>45919.581388888888</v>
      </c>
      <c r="L377" s="11">
        <v>45919.588333333333</v>
      </c>
      <c r="M377" s="10">
        <v>45919</v>
      </c>
      <c r="N377" s="6" t="s">
        <v>132</v>
      </c>
      <c r="O377" t="s">
        <v>186</v>
      </c>
      <c r="P377" s="6" t="s">
        <v>129</v>
      </c>
      <c r="Q377" t="s">
        <v>130</v>
      </c>
      <c r="R377" t="s">
        <v>123</v>
      </c>
      <c r="S377" s="6">
        <v>763944</v>
      </c>
      <c r="T377" s="6" t="s">
        <v>1</v>
      </c>
      <c r="U377">
        <v>173</v>
      </c>
      <c r="V377" s="6">
        <v>36.200000000000003</v>
      </c>
      <c r="W377" s="6">
        <v>13.2</v>
      </c>
      <c r="X377" s="6">
        <v>171.4</v>
      </c>
      <c r="Y377" s="6">
        <v>220.8</v>
      </c>
      <c r="Z377" s="6" t="s">
        <v>2</v>
      </c>
      <c r="AA377" t="s">
        <v>291</v>
      </c>
      <c r="AB377" s="6" t="s">
        <v>75</v>
      </c>
      <c r="AC377" t="s">
        <v>154</v>
      </c>
      <c r="AD377" t="s">
        <v>67</v>
      </c>
      <c r="AE377">
        <v>10</v>
      </c>
      <c r="AF377">
        <v>0</v>
      </c>
      <c r="AG377">
        <v>0</v>
      </c>
      <c r="AH377" s="6">
        <v>31.5</v>
      </c>
      <c r="AI377" s="6">
        <v>0</v>
      </c>
      <c r="AJ377" s="6">
        <v>0.441</v>
      </c>
      <c r="AK377" s="6">
        <v>0.86499999999999999</v>
      </c>
      <c r="AL377" s="8">
        <v>3085.3</v>
      </c>
      <c r="AM377" s="6" t="s">
        <v>68</v>
      </c>
      <c r="AN377" s="6">
        <v>1</v>
      </c>
      <c r="AO377" s="6">
        <v>1</v>
      </c>
      <c r="AP377" s="6">
        <v>0</v>
      </c>
      <c r="AQ377" s="6">
        <v>1</v>
      </c>
      <c r="AR377" s="6">
        <v>0</v>
      </c>
      <c r="AS377" s="6">
        <v>1</v>
      </c>
      <c r="AT377" s="6">
        <v>0</v>
      </c>
      <c r="AU377" s="6">
        <v>1.95</v>
      </c>
      <c r="AV377" s="6">
        <v>1.27</v>
      </c>
      <c r="AW377" s="6">
        <v>149.54</v>
      </c>
      <c r="AX377" s="6">
        <v>27.75</v>
      </c>
      <c r="AY377" s="6">
        <v>142.53</v>
      </c>
      <c r="AZ377" s="6">
        <v>26.8</v>
      </c>
      <c r="BA377" s="6">
        <v>17</v>
      </c>
    </row>
    <row r="378" spans="1:53" x14ac:dyDescent="0.3">
      <c r="A378" s="6">
        <v>936571442</v>
      </c>
      <c r="B378" s="6">
        <v>245051</v>
      </c>
      <c r="C378" s="6">
        <v>1739653</v>
      </c>
      <c r="D378" s="6">
        <v>4763</v>
      </c>
      <c r="E378" s="6" t="s">
        <v>185</v>
      </c>
      <c r="F378" s="6">
        <v>57498</v>
      </c>
      <c r="G378" s="6" t="s">
        <v>127</v>
      </c>
      <c r="H378" s="10">
        <v>45933</v>
      </c>
      <c r="I378" s="10">
        <v>45933</v>
      </c>
      <c r="J378" s="4">
        <v>45933.9375</v>
      </c>
      <c r="K378" s="4">
        <v>45934.340115740742</v>
      </c>
      <c r="L378" s="11">
        <v>45934.338726851849</v>
      </c>
      <c r="M378" s="10">
        <v>45934</v>
      </c>
      <c r="N378" s="6" t="s">
        <v>109</v>
      </c>
      <c r="O378" t="s">
        <v>161</v>
      </c>
      <c r="P378" s="6" t="s">
        <v>132</v>
      </c>
      <c r="Q378" t="s">
        <v>133</v>
      </c>
      <c r="R378" t="s">
        <v>62</v>
      </c>
      <c r="S378" s="6">
        <v>701800</v>
      </c>
      <c r="T378" s="6" t="s">
        <v>140</v>
      </c>
      <c r="U378">
        <v>627</v>
      </c>
      <c r="V378" s="6">
        <v>33.200000000000003</v>
      </c>
      <c r="W378" s="6">
        <v>23.3</v>
      </c>
      <c r="X378" s="6">
        <v>630.9</v>
      </c>
      <c r="Y378" s="6">
        <v>687.4</v>
      </c>
      <c r="Z378" s="6" t="s">
        <v>63</v>
      </c>
      <c r="AA378" t="s">
        <v>531</v>
      </c>
      <c r="AB378" s="6" t="s">
        <v>65</v>
      </c>
      <c r="AC378" t="s">
        <v>154</v>
      </c>
      <c r="AD378" t="s">
        <v>67</v>
      </c>
      <c r="AE378">
        <v>-2</v>
      </c>
      <c r="AF378">
        <v>0</v>
      </c>
      <c r="AG378">
        <v>0</v>
      </c>
      <c r="AH378" s="6">
        <v>39.299999999999997</v>
      </c>
      <c r="AI378" s="6">
        <v>0</v>
      </c>
      <c r="AJ378" s="6">
        <v>0.67400000000000004</v>
      </c>
      <c r="AK378" s="6">
        <v>0.71</v>
      </c>
      <c r="AL378" s="8">
        <v>4971.79</v>
      </c>
      <c r="AM378" s="6" t="s">
        <v>68</v>
      </c>
      <c r="AN378" s="6">
        <v>1</v>
      </c>
      <c r="AO378" s="6">
        <v>1</v>
      </c>
      <c r="AP378" s="6">
        <v>0</v>
      </c>
      <c r="AQ378" s="6">
        <v>1</v>
      </c>
      <c r="AR378" s="6">
        <v>0</v>
      </c>
      <c r="AS378" s="6">
        <v>1</v>
      </c>
      <c r="AT378" s="6">
        <v>0</v>
      </c>
      <c r="AU378" s="6">
        <v>1.86</v>
      </c>
      <c r="AV378" s="6">
        <v>1.27</v>
      </c>
      <c r="AW378" s="6">
        <v>456.3</v>
      </c>
      <c r="AX378" s="6">
        <v>81.48</v>
      </c>
      <c r="AY378" s="6">
        <v>360.52</v>
      </c>
      <c r="AZ378" s="6">
        <v>12.9</v>
      </c>
      <c r="BA378" s="6">
        <v>69.099999999999994</v>
      </c>
    </row>
    <row r="379" spans="1:53" x14ac:dyDescent="0.3">
      <c r="A379" s="6">
        <v>280531127</v>
      </c>
      <c r="B379" s="6">
        <v>814825</v>
      </c>
      <c r="C379" s="6">
        <v>7817881</v>
      </c>
      <c r="D379" s="6">
        <v>9958</v>
      </c>
      <c r="E379" s="6" t="s">
        <v>84</v>
      </c>
      <c r="F379" s="6">
        <v>54522</v>
      </c>
      <c r="G379" s="6" t="s">
        <v>107</v>
      </c>
      <c r="H379" s="10">
        <v>45690</v>
      </c>
      <c r="I379" s="10">
        <v>45690</v>
      </c>
      <c r="J379" s="4">
        <v>45690.625</v>
      </c>
      <c r="K379" s="4">
        <v>45690.888310185182</v>
      </c>
      <c r="L379" s="11">
        <v>45690.909837962965</v>
      </c>
      <c r="M379" s="10">
        <v>45690</v>
      </c>
      <c r="N379" s="6" t="s">
        <v>176</v>
      </c>
      <c r="O379" t="s">
        <v>177</v>
      </c>
      <c r="P379" s="6" t="s">
        <v>200</v>
      </c>
      <c r="Q379" t="s">
        <v>201</v>
      </c>
      <c r="R379" t="s">
        <v>62</v>
      </c>
      <c r="S379" s="6">
        <v>744993</v>
      </c>
      <c r="T379" s="6" t="s">
        <v>111</v>
      </c>
      <c r="U379">
        <v>298</v>
      </c>
      <c r="V379" s="6">
        <v>6.7</v>
      </c>
      <c r="W379" s="6">
        <v>21.7</v>
      </c>
      <c r="X379" s="6">
        <v>293.8</v>
      </c>
      <c r="Y379" s="6">
        <v>322.2</v>
      </c>
      <c r="Z379" s="6" t="s">
        <v>63</v>
      </c>
      <c r="AA379" t="s">
        <v>532</v>
      </c>
      <c r="AB379" s="6" t="s">
        <v>90</v>
      </c>
      <c r="AC379" t="s">
        <v>91</v>
      </c>
      <c r="AD379" t="s">
        <v>67</v>
      </c>
      <c r="AE379">
        <v>31</v>
      </c>
      <c r="AF379">
        <v>0</v>
      </c>
      <c r="AG379">
        <v>0</v>
      </c>
      <c r="AH379" s="6">
        <v>37.299999999999997</v>
      </c>
      <c r="AI379" s="6">
        <v>0</v>
      </c>
      <c r="AJ379" s="6">
        <v>0.48199999999999998</v>
      </c>
      <c r="AK379" s="6">
        <v>0.74099999999999999</v>
      </c>
      <c r="AL379" s="8">
        <v>112110.1</v>
      </c>
      <c r="AM379" s="6" t="s">
        <v>155</v>
      </c>
      <c r="AN379" s="6">
        <v>1</v>
      </c>
      <c r="AO379" s="6">
        <v>0</v>
      </c>
      <c r="AP379" s="6">
        <v>1</v>
      </c>
      <c r="AQ379" s="6">
        <v>0</v>
      </c>
      <c r="AR379" s="6">
        <v>1</v>
      </c>
      <c r="AS379" s="6">
        <v>0</v>
      </c>
      <c r="AT379" s="6">
        <v>1</v>
      </c>
      <c r="AU379" s="6">
        <v>2.39</v>
      </c>
      <c r="AV379" s="6">
        <v>1.81</v>
      </c>
      <c r="AW379" s="6">
        <v>290.17</v>
      </c>
      <c r="AX379" s="6">
        <v>36.17</v>
      </c>
      <c r="AY379" s="6">
        <v>192.94</v>
      </c>
      <c r="AZ379" s="6">
        <v>11.6</v>
      </c>
      <c r="BA379" s="6">
        <v>18</v>
      </c>
    </row>
    <row r="380" spans="1:53" x14ac:dyDescent="0.3">
      <c r="A380" s="6">
        <v>182011731</v>
      </c>
      <c r="B380" s="6">
        <v>581741</v>
      </c>
      <c r="C380" s="6">
        <v>3790237</v>
      </c>
      <c r="D380" s="6">
        <v>1995</v>
      </c>
      <c r="E380" s="6" t="s">
        <v>126</v>
      </c>
      <c r="F380" s="6">
        <v>52544</v>
      </c>
      <c r="G380" s="6" t="s">
        <v>203</v>
      </c>
      <c r="H380" s="10">
        <v>45972</v>
      </c>
      <c r="I380" s="10">
        <v>45972</v>
      </c>
      <c r="J380" s="4">
        <v>45972.520833333336</v>
      </c>
      <c r="K380" s="4">
        <v>45972.900914351849</v>
      </c>
      <c r="L380" s="11">
        <v>45972.873136574075</v>
      </c>
      <c r="M380" s="10">
        <v>45972</v>
      </c>
      <c r="N380" s="6" t="s">
        <v>132</v>
      </c>
      <c r="O380" t="s">
        <v>181</v>
      </c>
      <c r="P380" s="6" t="s">
        <v>78</v>
      </c>
      <c r="Q380" t="s">
        <v>147</v>
      </c>
      <c r="R380" t="s">
        <v>88</v>
      </c>
      <c r="S380" s="6">
        <v>751495</v>
      </c>
      <c r="T380" s="6" t="s">
        <v>111</v>
      </c>
      <c r="U380">
        <v>424</v>
      </c>
      <c r="V380" s="6">
        <v>44.8</v>
      </c>
      <c r="W380" s="6">
        <v>12.7</v>
      </c>
      <c r="X380" s="6">
        <v>420.7</v>
      </c>
      <c r="Y380" s="6">
        <v>478.2</v>
      </c>
      <c r="Z380" s="6" t="s">
        <v>2</v>
      </c>
      <c r="AA380" t="s">
        <v>533</v>
      </c>
      <c r="AB380" s="6" t="s">
        <v>75</v>
      </c>
      <c r="AC380" t="s">
        <v>66</v>
      </c>
      <c r="AD380" t="s">
        <v>67</v>
      </c>
      <c r="AE380">
        <v>-40</v>
      </c>
      <c r="AF380">
        <v>0</v>
      </c>
      <c r="AG380">
        <v>0</v>
      </c>
      <c r="AH380" s="6">
        <v>72.099999999999994</v>
      </c>
      <c r="AI380" s="6">
        <v>0</v>
      </c>
      <c r="AJ380" s="6">
        <v>0.55400000000000005</v>
      </c>
      <c r="AK380" s="6">
        <v>0.54300000000000004</v>
      </c>
      <c r="AL380" s="8">
        <v>5762.82</v>
      </c>
      <c r="AM380" s="6" t="s">
        <v>68</v>
      </c>
      <c r="AN380" s="6">
        <v>1</v>
      </c>
      <c r="AO380" s="6">
        <v>1</v>
      </c>
      <c r="AP380" s="6">
        <v>0</v>
      </c>
      <c r="AQ380" s="6">
        <v>1</v>
      </c>
      <c r="AR380" s="6">
        <v>0</v>
      </c>
      <c r="AS380" s="6">
        <v>1</v>
      </c>
      <c r="AT380" s="6">
        <v>0</v>
      </c>
      <c r="AU380" s="6">
        <v>2.46</v>
      </c>
      <c r="AV380" s="6">
        <v>1.64</v>
      </c>
      <c r="AW380" s="6">
        <v>374.99</v>
      </c>
      <c r="AX380" s="6">
        <v>60.16</v>
      </c>
      <c r="AY380" s="6">
        <v>314.2</v>
      </c>
      <c r="AZ380" s="6">
        <v>17.5</v>
      </c>
      <c r="BA380" s="6">
        <v>24.2</v>
      </c>
    </row>
    <row r="381" spans="1:53" x14ac:dyDescent="0.3">
      <c r="A381" s="6">
        <v>648127255</v>
      </c>
      <c r="B381" s="6">
        <v>814825</v>
      </c>
      <c r="C381" s="6">
        <v>7817881</v>
      </c>
      <c r="D381" s="6">
        <v>9958</v>
      </c>
      <c r="E381" s="6" t="s">
        <v>84</v>
      </c>
      <c r="F381" s="6">
        <v>51831</v>
      </c>
      <c r="G381" s="6" t="s">
        <v>115</v>
      </c>
      <c r="H381" s="10">
        <v>45954</v>
      </c>
      <c r="I381" s="10">
        <v>45954</v>
      </c>
      <c r="J381" s="4">
        <v>45954.659722222219</v>
      </c>
      <c r="K381" s="4">
        <v>45954.767534722225</v>
      </c>
      <c r="L381" s="11">
        <v>45954.773090277777</v>
      </c>
      <c r="M381" s="10">
        <v>45954</v>
      </c>
      <c r="N381" s="6" t="s">
        <v>150</v>
      </c>
      <c r="O381" t="s">
        <v>196</v>
      </c>
      <c r="P381" s="6" t="s">
        <v>109</v>
      </c>
      <c r="Q381" t="s">
        <v>161</v>
      </c>
      <c r="R381" t="s">
        <v>88</v>
      </c>
      <c r="S381" s="6">
        <v>718141</v>
      </c>
      <c r="T381" s="6" t="s">
        <v>1</v>
      </c>
      <c r="U381">
        <v>154</v>
      </c>
      <c r="V381" s="6">
        <v>71.099999999999994</v>
      </c>
      <c r="W381" s="6">
        <v>19.100000000000001</v>
      </c>
      <c r="X381" s="6">
        <v>157.80000000000001</v>
      </c>
      <c r="Y381" s="6">
        <v>248</v>
      </c>
      <c r="Z381" s="6" t="s">
        <v>63</v>
      </c>
      <c r="AA381" t="s">
        <v>81</v>
      </c>
      <c r="AB381" s="6" t="s">
        <v>90</v>
      </c>
      <c r="AC381" t="s">
        <v>154</v>
      </c>
      <c r="AD381" t="s">
        <v>67</v>
      </c>
      <c r="AE381">
        <v>8</v>
      </c>
      <c r="AF381">
        <v>0</v>
      </c>
      <c r="AG381">
        <v>0</v>
      </c>
      <c r="AH381" s="6">
        <v>41.7</v>
      </c>
      <c r="AI381" s="6">
        <v>0</v>
      </c>
      <c r="AJ381" s="6">
        <v>0.629</v>
      </c>
      <c r="AK381" s="6">
        <v>0.70899999999999996</v>
      </c>
      <c r="AL381" s="8">
        <v>5824.16</v>
      </c>
      <c r="AM381" s="6" t="s">
        <v>68</v>
      </c>
      <c r="AN381" s="6">
        <v>1</v>
      </c>
      <c r="AO381" s="6">
        <v>1</v>
      </c>
      <c r="AP381" s="6">
        <v>0</v>
      </c>
      <c r="AQ381" s="6">
        <v>1</v>
      </c>
      <c r="AR381" s="6">
        <v>0</v>
      </c>
      <c r="AS381" s="6">
        <v>1</v>
      </c>
      <c r="AT381" s="6">
        <v>0</v>
      </c>
      <c r="AU381" s="6">
        <v>2.35</v>
      </c>
      <c r="AV381" s="6">
        <v>1.59</v>
      </c>
      <c r="AW381" s="6">
        <v>154.1</v>
      </c>
      <c r="AX381" s="6">
        <v>41.57</v>
      </c>
      <c r="AY381" s="6">
        <v>158.19</v>
      </c>
      <c r="AZ381" s="6">
        <v>11.6</v>
      </c>
      <c r="BA381" s="6">
        <v>18.7</v>
      </c>
    </row>
    <row r="382" spans="1:53" x14ac:dyDescent="0.3">
      <c r="A382" s="6">
        <v>779919809</v>
      </c>
      <c r="B382" s="6">
        <v>334053</v>
      </c>
      <c r="C382" s="6">
        <v>6672134</v>
      </c>
      <c r="D382" s="6">
        <v>1466</v>
      </c>
      <c r="E382" s="6" t="s">
        <v>126</v>
      </c>
      <c r="F382" s="6">
        <v>51472</v>
      </c>
      <c r="G382" s="6" t="s">
        <v>164</v>
      </c>
      <c r="H382" s="10">
        <v>45670</v>
      </c>
      <c r="I382" s="10">
        <v>45670</v>
      </c>
      <c r="J382" s="4">
        <v>45670.979166666664</v>
      </c>
      <c r="K382" s="4">
        <v>45671.147233796299</v>
      </c>
      <c r="L382" s="11">
        <v>45671.365983796299</v>
      </c>
      <c r="M382" s="10">
        <v>45671</v>
      </c>
      <c r="N382" s="6" t="s">
        <v>200</v>
      </c>
      <c r="O382" t="s">
        <v>161</v>
      </c>
      <c r="P382" s="6" t="s">
        <v>86</v>
      </c>
      <c r="Q382" t="s">
        <v>243</v>
      </c>
      <c r="R382" t="s">
        <v>88</v>
      </c>
      <c r="S382" s="6">
        <v>775527</v>
      </c>
      <c r="T382" s="6" t="s">
        <v>1</v>
      </c>
      <c r="U382">
        <v>136</v>
      </c>
      <c r="V382" s="6">
        <v>5</v>
      </c>
      <c r="W382" s="6">
        <v>14.1</v>
      </c>
      <c r="X382" s="6">
        <v>132.6</v>
      </c>
      <c r="Y382" s="6">
        <v>151.69999999999999</v>
      </c>
      <c r="Z382" s="6" t="s">
        <v>63</v>
      </c>
      <c r="AA382" t="s">
        <v>261</v>
      </c>
      <c r="AB382" s="6" t="s">
        <v>65</v>
      </c>
      <c r="AC382" t="s">
        <v>83</v>
      </c>
      <c r="AD382" t="s">
        <v>188</v>
      </c>
      <c r="AE382">
        <v>315</v>
      </c>
      <c r="AF382">
        <v>0</v>
      </c>
      <c r="AG382">
        <v>3.5</v>
      </c>
      <c r="AH382" s="6">
        <v>31.1</v>
      </c>
      <c r="AI382" s="6">
        <v>0</v>
      </c>
      <c r="AJ382" s="6">
        <v>0.70899999999999996</v>
      </c>
      <c r="AK382" s="6">
        <v>0.87</v>
      </c>
      <c r="AL382" s="8">
        <v>12246.08</v>
      </c>
      <c r="AM382" s="6" t="s">
        <v>114</v>
      </c>
      <c r="AN382" s="6">
        <v>1</v>
      </c>
      <c r="AO382" s="6">
        <v>0</v>
      </c>
      <c r="AP382" s="6">
        <v>1</v>
      </c>
      <c r="AQ382" s="6">
        <v>0</v>
      </c>
      <c r="AR382" s="6">
        <v>1</v>
      </c>
      <c r="AS382" s="6">
        <v>0</v>
      </c>
      <c r="AT382" s="6">
        <v>1</v>
      </c>
      <c r="AU382" s="6">
        <v>2.42</v>
      </c>
      <c r="AV382" s="6">
        <v>1.59</v>
      </c>
      <c r="AW382" s="6">
        <v>130.16</v>
      </c>
      <c r="AX382" s="6">
        <v>17.93</v>
      </c>
      <c r="AY382" s="6">
        <v>99.03</v>
      </c>
      <c r="AZ382" s="6">
        <v>28.7</v>
      </c>
      <c r="BA382" s="6">
        <v>47.1</v>
      </c>
    </row>
    <row r="383" spans="1:53" x14ac:dyDescent="0.3">
      <c r="A383" s="6">
        <v>222435172</v>
      </c>
      <c r="B383" s="6">
        <v>974628</v>
      </c>
      <c r="C383" s="6">
        <v>3641282</v>
      </c>
      <c r="D383" s="6">
        <v>6892</v>
      </c>
      <c r="E383" s="6" t="s">
        <v>57</v>
      </c>
      <c r="F383" s="6">
        <v>59628</v>
      </c>
      <c r="G383" s="6" t="s">
        <v>69</v>
      </c>
      <c r="H383" s="10">
        <v>45691</v>
      </c>
      <c r="I383" s="10">
        <v>45691</v>
      </c>
      <c r="J383" s="4">
        <v>45691.451388888891</v>
      </c>
      <c r="K383" s="4">
        <v>45691.72457175926</v>
      </c>
      <c r="L383" s="11">
        <v>45691.709988425922</v>
      </c>
      <c r="M383" s="10">
        <v>45691</v>
      </c>
      <c r="N383" s="6" t="s">
        <v>150</v>
      </c>
      <c r="O383" t="s">
        <v>265</v>
      </c>
      <c r="P383" s="6" t="s">
        <v>59</v>
      </c>
      <c r="Q383" t="s">
        <v>85</v>
      </c>
      <c r="R383" t="s">
        <v>62</v>
      </c>
      <c r="S383" s="6">
        <v>790937</v>
      </c>
      <c r="T383" s="6" t="s">
        <v>1</v>
      </c>
      <c r="U383">
        <v>245</v>
      </c>
      <c r="V383" s="6">
        <v>38</v>
      </c>
      <c r="W383" s="6">
        <v>22.2</v>
      </c>
      <c r="X383" s="6">
        <v>246.5</v>
      </c>
      <c r="Y383" s="6">
        <v>306.7</v>
      </c>
      <c r="Z383" s="6" t="s">
        <v>63</v>
      </c>
      <c r="AA383" t="s">
        <v>534</v>
      </c>
      <c r="AB383" s="6" t="s">
        <v>75</v>
      </c>
      <c r="AC383" t="s">
        <v>83</v>
      </c>
      <c r="AD383" t="s">
        <v>67</v>
      </c>
      <c r="AE383">
        <v>-21</v>
      </c>
      <c r="AF383">
        <v>0</v>
      </c>
      <c r="AG383">
        <v>0</v>
      </c>
      <c r="AH383" s="6">
        <v>52.2</v>
      </c>
      <c r="AI383" s="6">
        <v>0</v>
      </c>
      <c r="AJ383" s="6">
        <v>0.77800000000000002</v>
      </c>
      <c r="AK383" s="6">
        <v>0.76</v>
      </c>
      <c r="AL383" s="8">
        <v>2071.9299999999998</v>
      </c>
      <c r="AM383" s="6" t="s">
        <v>68</v>
      </c>
      <c r="AN383" s="6">
        <v>1</v>
      </c>
      <c r="AO383" s="6">
        <v>1</v>
      </c>
      <c r="AP383" s="6">
        <v>0</v>
      </c>
      <c r="AQ383" s="6">
        <v>1</v>
      </c>
      <c r="AR383" s="6">
        <v>0</v>
      </c>
      <c r="AS383" s="6">
        <v>1</v>
      </c>
      <c r="AT383" s="6">
        <v>0</v>
      </c>
      <c r="AU383" s="6">
        <v>2.41</v>
      </c>
      <c r="AV383" s="6">
        <v>1.58</v>
      </c>
      <c r="AW383" s="6">
        <v>253.72</v>
      </c>
      <c r="AX383" s="6">
        <v>40.950000000000003</v>
      </c>
      <c r="AY383" s="6">
        <v>212.87</v>
      </c>
      <c r="AZ383" s="6">
        <v>1.4</v>
      </c>
      <c r="BA383" s="6">
        <v>10.6</v>
      </c>
    </row>
    <row r="384" spans="1:53" x14ac:dyDescent="0.3">
      <c r="A384" s="6">
        <v>669732591</v>
      </c>
      <c r="B384" s="6">
        <v>245051</v>
      </c>
      <c r="C384" s="6">
        <v>1739653</v>
      </c>
      <c r="D384" s="6">
        <v>4763</v>
      </c>
      <c r="E384" s="6" t="s">
        <v>185</v>
      </c>
      <c r="F384" s="6">
        <v>50329</v>
      </c>
      <c r="G384" s="6" t="s">
        <v>207</v>
      </c>
      <c r="H384" s="10">
        <v>45675</v>
      </c>
      <c r="I384" s="10">
        <v>45675</v>
      </c>
      <c r="J384" s="4">
        <v>45675.385416666664</v>
      </c>
      <c r="K384" s="4">
        <v>45675.622488425928</v>
      </c>
      <c r="L384" s="11">
        <v>45675.595405092594</v>
      </c>
      <c r="M384" s="10">
        <v>45675</v>
      </c>
      <c r="N384" s="6" t="s">
        <v>109</v>
      </c>
      <c r="O384" t="s">
        <v>161</v>
      </c>
      <c r="P384" s="6" t="s">
        <v>103</v>
      </c>
      <c r="Q384" t="s">
        <v>204</v>
      </c>
      <c r="R384" t="s">
        <v>73</v>
      </c>
      <c r="S384" s="6">
        <v>714585</v>
      </c>
      <c r="T384" s="6" t="s">
        <v>1</v>
      </c>
      <c r="U384">
        <v>251</v>
      </c>
      <c r="V384" s="6">
        <v>19.5</v>
      </c>
      <c r="W384" s="6">
        <v>8.5</v>
      </c>
      <c r="X384" s="6">
        <v>241.5</v>
      </c>
      <c r="Y384" s="6">
        <v>269.5</v>
      </c>
      <c r="Z384" s="6" t="s">
        <v>63</v>
      </c>
      <c r="AA384" t="s">
        <v>535</v>
      </c>
      <c r="AB384" s="6" t="s">
        <v>97</v>
      </c>
      <c r="AC384" t="s">
        <v>76</v>
      </c>
      <c r="AD384" t="s">
        <v>67</v>
      </c>
      <c r="AE384">
        <v>-39</v>
      </c>
      <c r="AF384">
        <v>0</v>
      </c>
      <c r="AG384">
        <v>0</v>
      </c>
      <c r="AH384" s="6">
        <v>31.9</v>
      </c>
      <c r="AI384" s="6">
        <v>0</v>
      </c>
      <c r="AJ384" s="6">
        <v>0.64300000000000002</v>
      </c>
      <c r="AK384" s="6">
        <v>0.83699999999999997</v>
      </c>
      <c r="AL384" s="8">
        <v>8836.75</v>
      </c>
      <c r="AM384" s="6" t="s">
        <v>114</v>
      </c>
      <c r="AN384" s="6">
        <v>1</v>
      </c>
      <c r="AO384" s="6">
        <v>1</v>
      </c>
      <c r="AP384" s="6">
        <v>0</v>
      </c>
      <c r="AQ384" s="6">
        <v>1</v>
      </c>
      <c r="AR384" s="6">
        <v>0</v>
      </c>
      <c r="AS384" s="6">
        <v>1</v>
      </c>
      <c r="AT384" s="6">
        <v>0</v>
      </c>
      <c r="AU384" s="6">
        <v>1.9</v>
      </c>
      <c r="AV384" s="6">
        <v>1.3</v>
      </c>
      <c r="AW384" s="6">
        <v>193.44</v>
      </c>
      <c r="AX384" s="6">
        <v>54.43</v>
      </c>
      <c r="AY384" s="6">
        <v>191.99</v>
      </c>
      <c r="AZ384" s="6">
        <v>12.9</v>
      </c>
      <c r="BA384" s="6">
        <v>71.099999999999994</v>
      </c>
    </row>
    <row r="385" spans="1:53" x14ac:dyDescent="0.3">
      <c r="A385" s="6">
        <v>647556857</v>
      </c>
      <c r="B385" s="6">
        <v>106814</v>
      </c>
      <c r="C385" s="6">
        <v>1908841</v>
      </c>
      <c r="D385" s="6">
        <v>9838</v>
      </c>
      <c r="E385" s="6" t="s">
        <v>225</v>
      </c>
      <c r="F385" s="6">
        <v>55851</v>
      </c>
      <c r="G385" s="6" t="s">
        <v>77</v>
      </c>
      <c r="H385" s="10">
        <v>45780</v>
      </c>
      <c r="I385" s="10">
        <v>45780</v>
      </c>
      <c r="J385" s="4">
        <v>45780.791666666664</v>
      </c>
      <c r="K385" s="4">
        <v>45781.000011574077</v>
      </c>
      <c r="L385" s="11">
        <v>45781.081261574072</v>
      </c>
      <c r="M385" s="10">
        <v>45781</v>
      </c>
      <c r="N385" s="6" t="s">
        <v>150</v>
      </c>
      <c r="O385" t="s">
        <v>151</v>
      </c>
      <c r="P385" s="6" t="s">
        <v>116</v>
      </c>
      <c r="Q385" t="s">
        <v>128</v>
      </c>
      <c r="R385" t="s">
        <v>123</v>
      </c>
      <c r="S385" s="6">
        <v>739992</v>
      </c>
      <c r="T385" s="6" t="s">
        <v>1</v>
      </c>
      <c r="U385">
        <v>266</v>
      </c>
      <c r="V385" s="6">
        <v>34.200000000000003</v>
      </c>
      <c r="W385" s="6">
        <v>25.1</v>
      </c>
      <c r="X385" s="6">
        <v>269.5</v>
      </c>
      <c r="Y385" s="6">
        <v>328.8</v>
      </c>
      <c r="Z385" s="6" t="s">
        <v>112</v>
      </c>
      <c r="AA385" t="s">
        <v>536</v>
      </c>
      <c r="AB385" s="6" t="s">
        <v>65</v>
      </c>
      <c r="AC385" t="s">
        <v>76</v>
      </c>
      <c r="AD385" t="s">
        <v>206</v>
      </c>
      <c r="AE385">
        <v>117</v>
      </c>
      <c r="AF385">
        <v>205</v>
      </c>
      <c r="AG385">
        <v>0</v>
      </c>
      <c r="AH385" s="6">
        <v>46.5</v>
      </c>
      <c r="AI385" s="6">
        <v>0</v>
      </c>
      <c r="AJ385" s="6">
        <v>0.34200000000000003</v>
      </c>
      <c r="AK385" s="6">
        <v>0.79300000000000004</v>
      </c>
      <c r="AL385" s="8">
        <v>3290.61</v>
      </c>
      <c r="AM385" s="6" t="s">
        <v>68</v>
      </c>
      <c r="AN385" s="6">
        <v>1</v>
      </c>
      <c r="AO385" s="6">
        <v>0</v>
      </c>
      <c r="AP385" s="6">
        <v>1</v>
      </c>
      <c r="AQ385" s="6">
        <v>0</v>
      </c>
      <c r="AR385" s="6">
        <v>1</v>
      </c>
      <c r="AS385" s="6">
        <v>0</v>
      </c>
      <c r="AT385" s="6">
        <v>1</v>
      </c>
      <c r="AU385" s="6">
        <v>2.36</v>
      </c>
      <c r="AV385" s="6">
        <v>1.86</v>
      </c>
      <c r="AW385" s="6">
        <v>249.62</v>
      </c>
      <c r="AX385" s="6">
        <v>67.92</v>
      </c>
      <c r="AY385" s="6">
        <v>194</v>
      </c>
      <c r="AZ385" s="6">
        <v>9.1999999999999993</v>
      </c>
      <c r="BA385" s="6">
        <v>41.3</v>
      </c>
    </row>
    <row r="386" spans="1:53" x14ac:dyDescent="0.3">
      <c r="A386" s="6">
        <v>308202515</v>
      </c>
      <c r="B386" s="6">
        <v>656116</v>
      </c>
      <c r="C386" s="6">
        <v>9996207</v>
      </c>
      <c r="D386" s="6">
        <v>5061</v>
      </c>
      <c r="E386" s="6" t="s">
        <v>92</v>
      </c>
      <c r="F386" s="6">
        <v>57032</v>
      </c>
      <c r="G386" s="6" t="s">
        <v>58</v>
      </c>
      <c r="H386" s="10">
        <v>45843</v>
      </c>
      <c r="I386" s="10">
        <v>45843</v>
      </c>
      <c r="J386" s="4">
        <v>45843.840277777781</v>
      </c>
      <c r="K386" s="4">
        <v>45843.902777777781</v>
      </c>
      <c r="L386" s="11">
        <v>45843.879861111112</v>
      </c>
      <c r="M386" s="10">
        <v>45843</v>
      </c>
      <c r="N386" s="6" t="s">
        <v>116</v>
      </c>
      <c r="O386" t="s">
        <v>117</v>
      </c>
      <c r="P386" s="6" t="s">
        <v>150</v>
      </c>
      <c r="Q386" t="s">
        <v>265</v>
      </c>
      <c r="R386" t="s">
        <v>73</v>
      </c>
      <c r="S386" s="6">
        <v>734413</v>
      </c>
      <c r="T386" s="6" t="s">
        <v>3</v>
      </c>
      <c r="U386">
        <v>65</v>
      </c>
      <c r="V386" s="6">
        <v>4.8</v>
      </c>
      <c r="W386" s="6">
        <v>11.6</v>
      </c>
      <c r="X386" s="6">
        <v>63.8</v>
      </c>
      <c r="Y386" s="6">
        <v>80.2</v>
      </c>
      <c r="Z386" s="6" t="s">
        <v>63</v>
      </c>
      <c r="AA386" t="s">
        <v>456</v>
      </c>
      <c r="AB386" s="6" t="s">
        <v>65</v>
      </c>
      <c r="AC386" t="s">
        <v>76</v>
      </c>
      <c r="AD386" t="s">
        <v>67</v>
      </c>
      <c r="AE386">
        <v>-33</v>
      </c>
      <c r="AF386">
        <v>0</v>
      </c>
      <c r="AG386">
        <v>0</v>
      </c>
      <c r="AH386" s="6">
        <v>60.4</v>
      </c>
      <c r="AI386" s="6">
        <v>0</v>
      </c>
      <c r="AJ386" s="6">
        <v>0.78600000000000003</v>
      </c>
      <c r="AK386" s="6">
        <v>0.2</v>
      </c>
      <c r="AL386" s="8">
        <v>8091.95</v>
      </c>
      <c r="AM386" s="6" t="s">
        <v>114</v>
      </c>
      <c r="AN386" s="6">
        <v>1</v>
      </c>
      <c r="AO386" s="6">
        <v>1</v>
      </c>
      <c r="AP386" s="6">
        <v>0</v>
      </c>
      <c r="AQ386" s="6">
        <v>1</v>
      </c>
      <c r="AR386" s="6">
        <v>0</v>
      </c>
      <c r="AS386" s="6">
        <v>1</v>
      </c>
      <c r="AT386" s="6">
        <v>0</v>
      </c>
      <c r="AU386" s="6">
        <v>1.99</v>
      </c>
      <c r="AV386" s="6">
        <v>1.56</v>
      </c>
      <c r="AW386" s="6">
        <v>60.55</v>
      </c>
      <c r="AX386" s="6">
        <v>11.23</v>
      </c>
      <c r="AY386" s="6">
        <v>39.65</v>
      </c>
      <c r="AZ386" s="6">
        <v>0.1</v>
      </c>
      <c r="BA386" s="6">
        <v>17.3</v>
      </c>
    </row>
    <row r="387" spans="1:53" x14ac:dyDescent="0.3">
      <c r="A387" s="6">
        <v>933468715</v>
      </c>
      <c r="B387" s="6">
        <v>946335</v>
      </c>
      <c r="C387" s="6">
        <v>1247595</v>
      </c>
      <c r="D387" s="6">
        <v>6675</v>
      </c>
      <c r="E387" s="6" t="s">
        <v>84</v>
      </c>
      <c r="F387" s="6">
        <v>55266</v>
      </c>
      <c r="G387" s="6" t="s">
        <v>127</v>
      </c>
      <c r="H387" s="10">
        <v>45852</v>
      </c>
      <c r="I387" s="10">
        <v>45852</v>
      </c>
      <c r="J387" s="4">
        <v>45852.25</v>
      </c>
      <c r="K387" s="4">
        <v>45852.384247685186</v>
      </c>
      <c r="L387" s="11">
        <v>45852.578692129631</v>
      </c>
      <c r="M387" s="10">
        <v>45852</v>
      </c>
      <c r="N387" s="6" t="s">
        <v>134</v>
      </c>
      <c r="O387" t="s">
        <v>278</v>
      </c>
      <c r="P387" s="6" t="s">
        <v>70</v>
      </c>
      <c r="Q387" t="s">
        <v>152</v>
      </c>
      <c r="R387" t="s">
        <v>73</v>
      </c>
      <c r="S387" s="6">
        <v>758990</v>
      </c>
      <c r="T387" s="6" t="s">
        <v>3</v>
      </c>
      <c r="U387">
        <v>100</v>
      </c>
      <c r="V387" s="6">
        <v>0.5</v>
      </c>
      <c r="W387" s="6">
        <v>31</v>
      </c>
      <c r="X387" s="6">
        <v>102.4</v>
      </c>
      <c r="Y387" s="6">
        <v>133.9</v>
      </c>
      <c r="Z387" s="6" t="s">
        <v>63</v>
      </c>
      <c r="AA387" t="s">
        <v>537</v>
      </c>
      <c r="AB387" s="6" t="s">
        <v>97</v>
      </c>
      <c r="AC387" t="s">
        <v>83</v>
      </c>
      <c r="AD387" t="s">
        <v>206</v>
      </c>
      <c r="AE387">
        <v>280</v>
      </c>
      <c r="AF387">
        <v>194</v>
      </c>
      <c r="AG387">
        <v>0</v>
      </c>
      <c r="AH387" s="6">
        <v>5</v>
      </c>
      <c r="AI387" s="6">
        <v>0</v>
      </c>
      <c r="AJ387" s="6">
        <v>0.86199999999999999</v>
      </c>
      <c r="AK387" s="6">
        <v>0.39500000000000002</v>
      </c>
      <c r="AL387" s="8">
        <v>20012.650000000001</v>
      </c>
      <c r="AM387" s="6" t="s">
        <v>114</v>
      </c>
      <c r="AN387" s="6">
        <v>1</v>
      </c>
      <c r="AO387" s="6">
        <v>0</v>
      </c>
      <c r="AP387" s="6">
        <v>1</v>
      </c>
      <c r="AQ387" s="6">
        <v>0</v>
      </c>
      <c r="AR387" s="6">
        <v>1</v>
      </c>
      <c r="AS387" s="6">
        <v>0</v>
      </c>
      <c r="AT387" s="6">
        <v>1</v>
      </c>
      <c r="AU387" s="6">
        <v>2.1800000000000002</v>
      </c>
      <c r="AV387" s="6">
        <v>1.53</v>
      </c>
      <c r="AW387" s="6">
        <v>94.06</v>
      </c>
      <c r="AX387" s="6">
        <v>27.83</v>
      </c>
      <c r="AY387" s="6">
        <v>91.08</v>
      </c>
      <c r="AZ387" s="6">
        <v>32.6</v>
      </c>
      <c r="BA387" s="6">
        <v>15.6</v>
      </c>
    </row>
    <row r="388" spans="1:53" x14ac:dyDescent="0.3">
      <c r="A388" s="6">
        <v>475138838</v>
      </c>
      <c r="B388" s="6">
        <v>813536</v>
      </c>
      <c r="C388" s="6">
        <v>3500715</v>
      </c>
      <c r="D388" s="6">
        <v>5737</v>
      </c>
      <c r="E388" s="6" t="s">
        <v>57</v>
      </c>
      <c r="F388" s="6">
        <v>54354</v>
      </c>
      <c r="G388" s="6" t="s">
        <v>69</v>
      </c>
      <c r="H388" s="10">
        <v>45755</v>
      </c>
      <c r="I388" s="10">
        <v>45755</v>
      </c>
      <c r="J388" s="4">
        <v>45755.5</v>
      </c>
      <c r="K388" s="4">
        <v>45756.496388888889</v>
      </c>
      <c r="L388" s="11">
        <v>45756.496388888889</v>
      </c>
      <c r="M388" s="10">
        <v>45756</v>
      </c>
      <c r="N388" s="6" t="s">
        <v>134</v>
      </c>
      <c r="O388" t="s">
        <v>278</v>
      </c>
      <c r="P388" s="6" t="s">
        <v>116</v>
      </c>
      <c r="Q388" t="s">
        <v>128</v>
      </c>
      <c r="R388" t="s">
        <v>123</v>
      </c>
      <c r="S388" s="6">
        <v>799317</v>
      </c>
      <c r="T388" s="6" t="s">
        <v>140</v>
      </c>
      <c r="U388">
        <v>1013</v>
      </c>
      <c r="V388" s="6">
        <v>-0.1</v>
      </c>
      <c r="W388" s="6">
        <v>33.700000000000003</v>
      </c>
      <c r="X388" s="6">
        <v>1019.7</v>
      </c>
      <c r="Y388" s="6">
        <v>1053.4000000000001</v>
      </c>
      <c r="Z388" s="6" t="s">
        <v>2</v>
      </c>
      <c r="AA388" t="s">
        <v>538</v>
      </c>
      <c r="AB388" s="6" t="s">
        <v>75</v>
      </c>
      <c r="AC388" t="s">
        <v>66</v>
      </c>
      <c r="AD388" t="s">
        <v>67</v>
      </c>
      <c r="AE388">
        <v>0</v>
      </c>
      <c r="AF388">
        <v>0</v>
      </c>
      <c r="AG388">
        <v>0.9</v>
      </c>
      <c r="AH388" s="6">
        <v>42.6</v>
      </c>
      <c r="AI388" s="6">
        <v>0</v>
      </c>
      <c r="AJ388" s="6">
        <v>0.64900000000000002</v>
      </c>
      <c r="AK388" s="6">
        <v>0.33200000000000002</v>
      </c>
      <c r="AL388" s="8">
        <v>5101.46</v>
      </c>
      <c r="AM388" s="6" t="s">
        <v>68</v>
      </c>
      <c r="AN388" s="6">
        <v>1</v>
      </c>
      <c r="AO388" s="6">
        <v>1</v>
      </c>
      <c r="AP388" s="6">
        <v>0</v>
      </c>
      <c r="AQ388" s="6">
        <v>1</v>
      </c>
      <c r="AR388" s="6">
        <v>0</v>
      </c>
      <c r="AS388" s="6">
        <v>1</v>
      </c>
      <c r="AT388" s="6">
        <v>0</v>
      </c>
      <c r="AU388" s="6">
        <v>2.31</v>
      </c>
      <c r="AV388" s="6">
        <v>1.57</v>
      </c>
      <c r="AW388" s="6">
        <v>962.98</v>
      </c>
      <c r="AX388" s="6">
        <v>179.38</v>
      </c>
      <c r="AY388" s="6">
        <v>535.46</v>
      </c>
      <c r="AZ388" s="6">
        <v>6.9</v>
      </c>
      <c r="BA388" s="6">
        <v>28.8</v>
      </c>
    </row>
    <row r="389" spans="1:53" x14ac:dyDescent="0.3">
      <c r="A389" s="6">
        <v>476990466</v>
      </c>
      <c r="B389" s="6">
        <v>816751</v>
      </c>
      <c r="C389" s="6">
        <v>3011363</v>
      </c>
      <c r="D389" s="6">
        <v>9996</v>
      </c>
      <c r="E389" s="6" t="s">
        <v>185</v>
      </c>
      <c r="F389" s="6">
        <v>56435</v>
      </c>
      <c r="G389" s="6" t="s">
        <v>77</v>
      </c>
      <c r="H389" s="10">
        <v>45990</v>
      </c>
      <c r="I389" s="10">
        <v>45990</v>
      </c>
      <c r="J389" s="4">
        <v>45990.5625</v>
      </c>
      <c r="K389" s="4">
        <v>45990.941250000003</v>
      </c>
      <c r="L389" s="11">
        <v>45991.159305555557</v>
      </c>
      <c r="M389" s="10">
        <v>45991</v>
      </c>
      <c r="N389" s="6" t="s">
        <v>59</v>
      </c>
      <c r="O389" t="s">
        <v>60</v>
      </c>
      <c r="P389" s="6" t="s">
        <v>70</v>
      </c>
      <c r="Q389" t="s">
        <v>138</v>
      </c>
      <c r="R389" t="s">
        <v>73</v>
      </c>
      <c r="S389" s="6">
        <v>736170</v>
      </c>
      <c r="T389" s="6" t="s">
        <v>111</v>
      </c>
      <c r="U389">
        <v>475</v>
      </c>
      <c r="V389" s="6">
        <v>11.8</v>
      </c>
      <c r="W389" s="6">
        <v>21.2</v>
      </c>
      <c r="X389" s="6">
        <v>473</v>
      </c>
      <c r="Y389" s="6">
        <v>506</v>
      </c>
      <c r="Z389" s="6" t="s">
        <v>63</v>
      </c>
      <c r="AA389" t="s">
        <v>539</v>
      </c>
      <c r="AB389" s="6" t="s">
        <v>75</v>
      </c>
      <c r="AC389" t="s">
        <v>76</v>
      </c>
      <c r="AD389" t="s">
        <v>188</v>
      </c>
      <c r="AE389">
        <v>314</v>
      </c>
      <c r="AF389">
        <v>0</v>
      </c>
      <c r="AG389">
        <v>2.7</v>
      </c>
      <c r="AH389" s="6">
        <v>35.799999999999997</v>
      </c>
      <c r="AI389" s="6">
        <v>0</v>
      </c>
      <c r="AJ389" s="6">
        <v>0.70799999999999996</v>
      </c>
      <c r="AK389" s="6">
        <v>0.55500000000000005</v>
      </c>
      <c r="AL389" s="8">
        <v>77087.600000000006</v>
      </c>
      <c r="AM389" s="6" t="s">
        <v>155</v>
      </c>
      <c r="AN389" s="6">
        <v>1</v>
      </c>
      <c r="AO389" s="6">
        <v>0</v>
      </c>
      <c r="AP389" s="6">
        <v>1</v>
      </c>
      <c r="AQ389" s="6">
        <v>0</v>
      </c>
      <c r="AR389" s="6">
        <v>1</v>
      </c>
      <c r="AS389" s="6">
        <v>0</v>
      </c>
      <c r="AT389" s="6">
        <v>1</v>
      </c>
      <c r="AU389" s="6">
        <v>2.16</v>
      </c>
      <c r="AV389" s="6">
        <v>1.64</v>
      </c>
      <c r="AW389" s="6">
        <v>396.28</v>
      </c>
      <c r="AX389" s="6">
        <v>64.349999999999994</v>
      </c>
      <c r="AY389" s="6">
        <v>269.52999999999997</v>
      </c>
      <c r="AZ389" s="6">
        <v>13.3</v>
      </c>
      <c r="BA389" s="6">
        <v>35.6</v>
      </c>
    </row>
    <row r="390" spans="1:53" x14ac:dyDescent="0.3">
      <c r="A390" s="6">
        <v>881017363</v>
      </c>
      <c r="B390" s="6">
        <v>358607</v>
      </c>
      <c r="C390" s="6">
        <v>5727085</v>
      </c>
      <c r="D390" s="6">
        <v>6864</v>
      </c>
      <c r="E390" s="6" t="s">
        <v>84</v>
      </c>
      <c r="F390" s="6">
        <v>57978</v>
      </c>
      <c r="G390" s="6" t="s">
        <v>77</v>
      </c>
      <c r="H390" s="10">
        <v>45792</v>
      </c>
      <c r="I390" s="10">
        <v>45792</v>
      </c>
      <c r="J390" s="4">
        <v>45792.333333333336</v>
      </c>
      <c r="K390" s="4">
        <v>45792.561909722222</v>
      </c>
      <c r="L390" s="11">
        <v>45792.677187499998</v>
      </c>
      <c r="M390" s="10">
        <v>45792</v>
      </c>
      <c r="N390" s="6" t="s">
        <v>200</v>
      </c>
      <c r="O390" t="s">
        <v>338</v>
      </c>
      <c r="P390" s="6" t="s">
        <v>93</v>
      </c>
      <c r="Q390" t="s">
        <v>144</v>
      </c>
      <c r="R390" t="s">
        <v>73</v>
      </c>
      <c r="S390" s="6">
        <v>754594</v>
      </c>
      <c r="T390" s="6" t="s">
        <v>1</v>
      </c>
      <c r="U390">
        <v>241</v>
      </c>
      <c r="V390" s="6">
        <v>17.8</v>
      </c>
      <c r="W390" s="6">
        <v>9.9</v>
      </c>
      <c r="X390" s="6">
        <v>231.8</v>
      </c>
      <c r="Y390" s="6">
        <v>259.5</v>
      </c>
      <c r="Z390" s="6" t="s">
        <v>63</v>
      </c>
      <c r="AA390" t="s">
        <v>376</v>
      </c>
      <c r="AB390" s="6" t="s">
        <v>97</v>
      </c>
      <c r="AC390" t="s">
        <v>137</v>
      </c>
      <c r="AD390" t="s">
        <v>206</v>
      </c>
      <c r="AE390">
        <v>166</v>
      </c>
      <c r="AF390">
        <v>268</v>
      </c>
      <c r="AG390">
        <v>0</v>
      </c>
      <c r="AH390" s="6">
        <v>75.8</v>
      </c>
      <c r="AI390" s="6">
        <v>0</v>
      </c>
      <c r="AJ390" s="6">
        <v>0.63600000000000001</v>
      </c>
      <c r="AK390" s="6">
        <v>0.79700000000000004</v>
      </c>
      <c r="AL390" s="8">
        <v>4551.6099999999997</v>
      </c>
      <c r="AM390" s="6" t="s">
        <v>68</v>
      </c>
      <c r="AN390" s="6">
        <v>1</v>
      </c>
      <c r="AO390" s="6">
        <v>0</v>
      </c>
      <c r="AP390" s="6">
        <v>1</v>
      </c>
      <c r="AQ390" s="6">
        <v>0</v>
      </c>
      <c r="AR390" s="6">
        <v>1</v>
      </c>
      <c r="AS390" s="6">
        <v>0</v>
      </c>
      <c r="AT390" s="6">
        <v>1</v>
      </c>
      <c r="AU390" s="6">
        <v>1.84</v>
      </c>
      <c r="AV390" s="6">
        <v>1.34</v>
      </c>
      <c r="AW390" s="6">
        <v>230.74</v>
      </c>
      <c r="AX390" s="6">
        <v>49.44</v>
      </c>
      <c r="AY390" s="6">
        <v>165.24</v>
      </c>
      <c r="AZ390" s="6">
        <v>7.3</v>
      </c>
      <c r="BA390" s="6">
        <v>55.9</v>
      </c>
    </row>
    <row r="391" spans="1:53" x14ac:dyDescent="0.3">
      <c r="A391" s="6">
        <v>979339361</v>
      </c>
      <c r="B391" s="6">
        <v>731262</v>
      </c>
      <c r="C391" s="6">
        <v>4594297</v>
      </c>
      <c r="D391" s="6">
        <v>3558</v>
      </c>
      <c r="E391" s="6" t="s">
        <v>126</v>
      </c>
      <c r="F391" s="6">
        <v>54238</v>
      </c>
      <c r="G391" s="6" t="s">
        <v>69</v>
      </c>
      <c r="H391" s="10">
        <v>45674</v>
      </c>
      <c r="I391" s="10">
        <v>45674</v>
      </c>
      <c r="J391" s="4">
        <v>45674.819444444445</v>
      </c>
      <c r="K391" s="4">
        <v>45674.979201388887</v>
      </c>
      <c r="L391" s="11">
        <v>45674.963229166664</v>
      </c>
      <c r="M391" s="10">
        <v>45674</v>
      </c>
      <c r="N391" s="6" t="s">
        <v>93</v>
      </c>
      <c r="O391" t="s">
        <v>94</v>
      </c>
      <c r="P391" s="6" t="s">
        <v>132</v>
      </c>
      <c r="Q391" t="s">
        <v>181</v>
      </c>
      <c r="R391" t="s">
        <v>62</v>
      </c>
      <c r="S391" s="6">
        <v>747876</v>
      </c>
      <c r="T391" s="6" t="s">
        <v>1</v>
      </c>
      <c r="U391">
        <v>170</v>
      </c>
      <c r="V391" s="6">
        <v>39</v>
      </c>
      <c r="W391" s="6">
        <v>1.9</v>
      </c>
      <c r="X391" s="6">
        <v>167.8</v>
      </c>
      <c r="Y391" s="6">
        <v>208.7</v>
      </c>
      <c r="Z391" s="6" t="s">
        <v>2</v>
      </c>
      <c r="AA391" t="s">
        <v>352</v>
      </c>
      <c r="AB391" s="6" t="s">
        <v>65</v>
      </c>
      <c r="AC391" t="s">
        <v>154</v>
      </c>
      <c r="AD391" t="s">
        <v>67</v>
      </c>
      <c r="AE391">
        <v>-23</v>
      </c>
      <c r="AF391">
        <v>0</v>
      </c>
      <c r="AG391">
        <v>0.5</v>
      </c>
      <c r="AH391" s="6">
        <v>56</v>
      </c>
      <c r="AI391" s="6">
        <v>0</v>
      </c>
      <c r="AJ391" s="6">
        <v>0.59099999999999997</v>
      </c>
      <c r="AK391" s="6">
        <v>0.67</v>
      </c>
      <c r="AL391" s="8">
        <v>3254.61</v>
      </c>
      <c r="AM391" s="6" t="s">
        <v>68</v>
      </c>
      <c r="AN391" s="6">
        <v>1</v>
      </c>
      <c r="AO391" s="6">
        <v>1</v>
      </c>
      <c r="AP391" s="6">
        <v>0</v>
      </c>
      <c r="AQ391" s="6">
        <v>1</v>
      </c>
      <c r="AR391" s="6">
        <v>0</v>
      </c>
      <c r="AS391" s="6">
        <v>1</v>
      </c>
      <c r="AT391" s="6">
        <v>0</v>
      </c>
      <c r="AU391" s="6">
        <v>2.29</v>
      </c>
      <c r="AV391" s="6">
        <v>1.77</v>
      </c>
      <c r="AW391" s="6">
        <v>166.04</v>
      </c>
      <c r="AX391" s="6">
        <v>43.96</v>
      </c>
      <c r="AY391" s="6">
        <v>137.53</v>
      </c>
      <c r="AZ391" s="6">
        <v>10</v>
      </c>
      <c r="BA391" s="6">
        <v>82.9</v>
      </c>
    </row>
    <row r="392" spans="1:53" x14ac:dyDescent="0.3">
      <c r="A392" s="6">
        <v>793039113</v>
      </c>
      <c r="B392" s="6">
        <v>216739</v>
      </c>
      <c r="C392" s="6">
        <v>8574680</v>
      </c>
      <c r="D392" s="6">
        <v>1860</v>
      </c>
      <c r="E392" s="6" t="s">
        <v>106</v>
      </c>
      <c r="F392" s="6">
        <v>56112</v>
      </c>
      <c r="G392" s="6" t="s">
        <v>207</v>
      </c>
      <c r="H392" s="10">
        <v>45767</v>
      </c>
      <c r="I392" s="10">
        <v>45767</v>
      </c>
      <c r="J392" s="4">
        <v>45767.510416666664</v>
      </c>
      <c r="K392" s="4">
        <v>45767.845127314817</v>
      </c>
      <c r="L392" s="11">
        <v>45767.837488425925</v>
      </c>
      <c r="M392" s="10">
        <v>45767</v>
      </c>
      <c r="N392" s="6" t="s">
        <v>59</v>
      </c>
      <c r="O392" t="s">
        <v>60</v>
      </c>
      <c r="P392" s="6" t="s">
        <v>86</v>
      </c>
      <c r="Q392" t="s">
        <v>243</v>
      </c>
      <c r="R392" t="s">
        <v>88</v>
      </c>
      <c r="S392" s="6">
        <v>759297</v>
      </c>
      <c r="T392" s="6" t="s">
        <v>1</v>
      </c>
      <c r="U392">
        <v>316</v>
      </c>
      <c r="V392" s="6">
        <v>7</v>
      </c>
      <c r="W392" s="6">
        <v>32.1</v>
      </c>
      <c r="X392" s="6">
        <v>323.3</v>
      </c>
      <c r="Y392" s="6">
        <v>362.4</v>
      </c>
      <c r="Z392" s="6" t="s">
        <v>80</v>
      </c>
      <c r="AA392" t="s">
        <v>540</v>
      </c>
      <c r="AB392" s="6" t="s">
        <v>75</v>
      </c>
      <c r="AC392" t="s">
        <v>91</v>
      </c>
      <c r="AD392" t="s">
        <v>67</v>
      </c>
      <c r="AE392">
        <v>-11</v>
      </c>
      <c r="AF392">
        <v>42</v>
      </c>
      <c r="AG392">
        <v>1.7</v>
      </c>
      <c r="AH392" s="6">
        <v>47.4</v>
      </c>
      <c r="AI392" s="6">
        <v>0</v>
      </c>
      <c r="AJ392" s="6">
        <v>0.66700000000000004</v>
      </c>
      <c r="AK392" s="6">
        <v>0.67400000000000004</v>
      </c>
      <c r="AL392" s="8">
        <v>1858.29</v>
      </c>
      <c r="AM392" s="6" t="s">
        <v>68</v>
      </c>
      <c r="AN392" s="6">
        <v>1</v>
      </c>
      <c r="AO392" s="6">
        <v>1</v>
      </c>
      <c r="AP392" s="6">
        <v>0</v>
      </c>
      <c r="AQ392" s="6">
        <v>1</v>
      </c>
      <c r="AR392" s="6">
        <v>0</v>
      </c>
      <c r="AS392" s="6">
        <v>1</v>
      </c>
      <c r="AT392" s="6">
        <v>0</v>
      </c>
      <c r="AU392" s="6">
        <v>2.31</v>
      </c>
      <c r="AV392" s="6">
        <v>1.71</v>
      </c>
      <c r="AW392" s="6">
        <v>299.72000000000003</v>
      </c>
      <c r="AX392" s="6">
        <v>64.91</v>
      </c>
      <c r="AY392" s="6">
        <v>234.37</v>
      </c>
      <c r="AZ392" s="6">
        <v>14.3</v>
      </c>
      <c r="BA392" s="6">
        <v>14.9</v>
      </c>
    </row>
    <row r="393" spans="1:53" x14ac:dyDescent="0.3">
      <c r="A393" s="6">
        <v>975139327</v>
      </c>
      <c r="B393" s="6">
        <v>903035</v>
      </c>
      <c r="C393" s="6">
        <v>7110622</v>
      </c>
      <c r="D393" s="6">
        <v>3200</v>
      </c>
      <c r="E393" s="6" t="s">
        <v>92</v>
      </c>
      <c r="F393" s="6">
        <v>54722</v>
      </c>
      <c r="G393" s="6" t="s">
        <v>107</v>
      </c>
      <c r="H393" s="10">
        <v>45851</v>
      </c>
      <c r="I393" s="10">
        <v>45851</v>
      </c>
      <c r="J393" s="4">
        <v>45851.986111111109</v>
      </c>
      <c r="K393" s="4">
        <v>45852.350717592592</v>
      </c>
      <c r="L393" s="11">
        <v>45852.339606481481</v>
      </c>
      <c r="M393" s="10">
        <v>45852</v>
      </c>
      <c r="N393" s="6" t="s">
        <v>200</v>
      </c>
      <c r="O393" t="s">
        <v>161</v>
      </c>
      <c r="P393" s="6" t="s">
        <v>116</v>
      </c>
      <c r="Q393" t="s">
        <v>117</v>
      </c>
      <c r="R393" t="s">
        <v>123</v>
      </c>
      <c r="S393" s="6">
        <v>766155</v>
      </c>
      <c r="T393" s="6" t="s">
        <v>111</v>
      </c>
      <c r="U393">
        <v>353</v>
      </c>
      <c r="V393" s="6">
        <v>10.5</v>
      </c>
      <c r="W393" s="6">
        <v>14.1</v>
      </c>
      <c r="X393" s="6">
        <v>354</v>
      </c>
      <c r="Y393" s="6">
        <v>378.6</v>
      </c>
      <c r="Z393" s="6" t="s">
        <v>2</v>
      </c>
      <c r="AA393" t="s">
        <v>541</v>
      </c>
      <c r="AB393" s="6" t="s">
        <v>65</v>
      </c>
      <c r="AC393" t="s">
        <v>91</v>
      </c>
      <c r="AD393" t="s">
        <v>192</v>
      </c>
      <c r="AE393">
        <v>-16</v>
      </c>
      <c r="AF393">
        <v>0</v>
      </c>
      <c r="AG393">
        <v>0</v>
      </c>
      <c r="AH393" s="6">
        <v>58.1</v>
      </c>
      <c r="AI393" s="6">
        <v>0</v>
      </c>
      <c r="AJ393" s="6">
        <v>0.78100000000000003</v>
      </c>
      <c r="AK393" s="6">
        <v>0.70499999999999996</v>
      </c>
      <c r="AL393" s="8">
        <v>84603.33</v>
      </c>
      <c r="AM393" s="6" t="s">
        <v>155</v>
      </c>
      <c r="AN393" s="6">
        <v>1</v>
      </c>
      <c r="AO393" s="6">
        <v>1</v>
      </c>
      <c r="AP393" s="6">
        <v>0</v>
      </c>
      <c r="AQ393" s="6">
        <v>1</v>
      </c>
      <c r="AR393" s="6">
        <v>0</v>
      </c>
      <c r="AS393" s="6">
        <v>1</v>
      </c>
      <c r="AT393" s="6">
        <v>0</v>
      </c>
      <c r="AU393" s="6">
        <v>2.35</v>
      </c>
      <c r="AV393" s="6">
        <v>1.86</v>
      </c>
      <c r="AW393" s="6">
        <v>238.09</v>
      </c>
      <c r="AX393" s="6">
        <v>47.01</v>
      </c>
      <c r="AY393" s="6">
        <v>221.57</v>
      </c>
      <c r="AZ393" s="6">
        <v>26.8</v>
      </c>
      <c r="BA393" s="6">
        <v>2.9</v>
      </c>
    </row>
    <row r="394" spans="1:53" x14ac:dyDescent="0.3">
      <c r="A394" s="6">
        <v>258580752</v>
      </c>
      <c r="B394" s="6">
        <v>230889</v>
      </c>
      <c r="C394" s="6">
        <v>9147706</v>
      </c>
      <c r="D394" s="6">
        <v>2016</v>
      </c>
      <c r="E394" s="6" t="s">
        <v>84</v>
      </c>
      <c r="F394" s="6">
        <v>51388</v>
      </c>
      <c r="G394" s="6" t="s">
        <v>149</v>
      </c>
      <c r="H394" s="10">
        <v>45807</v>
      </c>
      <c r="I394" s="10">
        <v>45807</v>
      </c>
      <c r="J394" s="4">
        <v>45807.302083333336</v>
      </c>
      <c r="K394" s="4">
        <v>45807.603032407409</v>
      </c>
      <c r="L394" s="11">
        <v>45807.589143518519</v>
      </c>
      <c r="M394" s="10">
        <v>45807</v>
      </c>
      <c r="N394" s="6" t="s">
        <v>150</v>
      </c>
      <c r="O394" t="s">
        <v>151</v>
      </c>
      <c r="P394" s="6" t="s">
        <v>150</v>
      </c>
      <c r="Q394" t="s">
        <v>196</v>
      </c>
      <c r="R394" t="s">
        <v>73</v>
      </c>
      <c r="S394" s="6">
        <v>710286</v>
      </c>
      <c r="T394" s="6" t="s">
        <v>111</v>
      </c>
      <c r="U394">
        <v>336</v>
      </c>
      <c r="V394" s="6">
        <v>59.4</v>
      </c>
      <c r="W394" s="6">
        <v>15.7</v>
      </c>
      <c r="X394" s="6">
        <v>329.6</v>
      </c>
      <c r="Y394" s="6">
        <v>404.7</v>
      </c>
      <c r="Z394" s="6" t="s">
        <v>2</v>
      </c>
      <c r="AA394" t="s">
        <v>542</v>
      </c>
      <c r="AB394" s="6" t="s">
        <v>97</v>
      </c>
      <c r="AC394" t="s">
        <v>154</v>
      </c>
      <c r="AD394" t="s">
        <v>67</v>
      </c>
      <c r="AE394">
        <v>-20</v>
      </c>
      <c r="AF394">
        <v>0</v>
      </c>
      <c r="AG394">
        <v>0</v>
      </c>
      <c r="AH394" s="6">
        <v>50.2</v>
      </c>
      <c r="AI394" s="6">
        <v>0</v>
      </c>
      <c r="AJ394" s="6">
        <v>0.59599999999999997</v>
      </c>
      <c r="AK394" s="6">
        <v>0.8</v>
      </c>
      <c r="AL394" s="8">
        <v>4276.6400000000003</v>
      </c>
      <c r="AM394" s="6" t="s">
        <v>68</v>
      </c>
      <c r="AN394" s="6">
        <v>1</v>
      </c>
      <c r="AO394" s="6">
        <v>1</v>
      </c>
      <c r="AP394" s="6">
        <v>0</v>
      </c>
      <c r="AQ394" s="6">
        <v>1</v>
      </c>
      <c r="AR394" s="6">
        <v>0</v>
      </c>
      <c r="AS394" s="6">
        <v>1</v>
      </c>
      <c r="AT394" s="6">
        <v>0</v>
      </c>
      <c r="AU394" s="6">
        <v>2.23</v>
      </c>
      <c r="AV394" s="6">
        <v>1.73</v>
      </c>
      <c r="AW394" s="6">
        <v>313.05</v>
      </c>
      <c r="AX394" s="6">
        <v>44.64</v>
      </c>
      <c r="AY394" s="6">
        <v>283.43</v>
      </c>
      <c r="AZ394" s="6">
        <v>28.3</v>
      </c>
      <c r="BA394" s="6">
        <v>0</v>
      </c>
    </row>
    <row r="395" spans="1:53" x14ac:dyDescent="0.3">
      <c r="A395" s="6">
        <v>353691745</v>
      </c>
      <c r="B395" s="6">
        <v>656116</v>
      </c>
      <c r="C395" s="6">
        <v>9996207</v>
      </c>
      <c r="D395" s="6">
        <v>5061</v>
      </c>
      <c r="E395" s="6" t="s">
        <v>92</v>
      </c>
      <c r="F395" s="6">
        <v>54185</v>
      </c>
      <c r="G395" s="6" t="s">
        <v>175</v>
      </c>
      <c r="H395" s="10">
        <v>45757</v>
      </c>
      <c r="I395" s="10">
        <v>45757</v>
      </c>
      <c r="J395" s="4">
        <v>45757.493055555555</v>
      </c>
      <c r="K395" s="4">
        <v>45757.84202546296</v>
      </c>
      <c r="L395" s="11">
        <v>45757.835081018522</v>
      </c>
      <c r="M395" s="10">
        <v>45757</v>
      </c>
      <c r="N395" s="6" t="s">
        <v>86</v>
      </c>
      <c r="O395" t="s">
        <v>253</v>
      </c>
      <c r="P395" s="6" t="s">
        <v>121</v>
      </c>
      <c r="Q395" t="s">
        <v>122</v>
      </c>
      <c r="R395" t="s">
        <v>123</v>
      </c>
      <c r="S395" s="6">
        <v>767013</v>
      </c>
      <c r="T395" s="6" t="s">
        <v>111</v>
      </c>
      <c r="U395">
        <v>391</v>
      </c>
      <c r="V395" s="6">
        <v>23</v>
      </c>
      <c r="W395" s="6">
        <v>9.6</v>
      </c>
      <c r="X395" s="6">
        <v>389.8</v>
      </c>
      <c r="Y395" s="6">
        <v>422.4</v>
      </c>
      <c r="Z395" s="6" t="s">
        <v>63</v>
      </c>
      <c r="AA395" t="s">
        <v>543</v>
      </c>
      <c r="AB395" s="6" t="s">
        <v>75</v>
      </c>
      <c r="AC395" t="s">
        <v>137</v>
      </c>
      <c r="AD395" t="s">
        <v>67</v>
      </c>
      <c r="AE395">
        <v>-10</v>
      </c>
      <c r="AF395">
        <v>87</v>
      </c>
      <c r="AG395">
        <v>0</v>
      </c>
      <c r="AH395" s="6">
        <v>64.400000000000006</v>
      </c>
      <c r="AI395" s="6">
        <v>0</v>
      </c>
      <c r="AJ395" s="6">
        <v>0.51</v>
      </c>
      <c r="AK395" s="6">
        <v>0.58499999999999996</v>
      </c>
      <c r="AL395" s="8">
        <v>81253.05</v>
      </c>
      <c r="AM395" s="6" t="s">
        <v>155</v>
      </c>
      <c r="AN395" s="6">
        <v>1</v>
      </c>
      <c r="AO395" s="6">
        <v>1</v>
      </c>
      <c r="AP395" s="6">
        <v>0</v>
      </c>
      <c r="AQ395" s="6">
        <v>1</v>
      </c>
      <c r="AR395" s="6">
        <v>0</v>
      </c>
      <c r="AS395" s="6">
        <v>1</v>
      </c>
      <c r="AT395" s="6">
        <v>0</v>
      </c>
      <c r="AU395" s="6">
        <v>2.29</v>
      </c>
      <c r="AV395" s="6">
        <v>1.76</v>
      </c>
      <c r="AW395" s="6">
        <v>353.29</v>
      </c>
      <c r="AX395" s="6">
        <v>53.87</v>
      </c>
      <c r="AY395" s="6">
        <v>287.12</v>
      </c>
      <c r="AZ395" s="6">
        <v>0.1</v>
      </c>
      <c r="BA395" s="6">
        <v>16.899999999999999</v>
      </c>
    </row>
    <row r="396" spans="1:53" x14ac:dyDescent="0.3">
      <c r="A396" s="6">
        <v>210385522</v>
      </c>
      <c r="B396" s="6">
        <v>559381</v>
      </c>
      <c r="C396" s="6">
        <v>4526280</v>
      </c>
      <c r="D396" s="6">
        <v>9754</v>
      </c>
      <c r="E396" s="6" t="s">
        <v>126</v>
      </c>
      <c r="F396" s="6">
        <v>58911</v>
      </c>
      <c r="G396" s="6" t="s">
        <v>98</v>
      </c>
      <c r="H396" s="10">
        <v>45705</v>
      </c>
      <c r="I396" s="10">
        <v>45705</v>
      </c>
      <c r="J396" s="4">
        <v>45705.034722222219</v>
      </c>
      <c r="K396" s="4">
        <v>45705.259155092594</v>
      </c>
      <c r="L396" s="11">
        <v>45705.230682870373</v>
      </c>
      <c r="M396" s="10">
        <v>45705</v>
      </c>
      <c r="N396" s="6" t="s">
        <v>86</v>
      </c>
      <c r="O396" t="s">
        <v>243</v>
      </c>
      <c r="P396" s="6" t="s">
        <v>134</v>
      </c>
      <c r="Q396" t="s">
        <v>248</v>
      </c>
      <c r="R396" t="s">
        <v>73</v>
      </c>
      <c r="S396" s="6">
        <v>757732</v>
      </c>
      <c r="T396" s="6" t="s">
        <v>111</v>
      </c>
      <c r="U396">
        <v>303</v>
      </c>
      <c r="V396" s="6">
        <v>27.1</v>
      </c>
      <c r="W396" s="6">
        <v>4.4000000000000004</v>
      </c>
      <c r="X396" s="6">
        <v>305.89999999999998</v>
      </c>
      <c r="Y396" s="6">
        <v>337.4</v>
      </c>
      <c r="Z396" s="6" t="s">
        <v>2</v>
      </c>
      <c r="AA396" t="s">
        <v>382</v>
      </c>
      <c r="AB396" s="6" t="s">
        <v>82</v>
      </c>
      <c r="AC396" t="s">
        <v>83</v>
      </c>
      <c r="AD396" t="s">
        <v>67</v>
      </c>
      <c r="AE396">
        <v>-41</v>
      </c>
      <c r="AF396">
        <v>0</v>
      </c>
      <c r="AG396">
        <v>0</v>
      </c>
      <c r="AH396" s="6">
        <v>50.3</v>
      </c>
      <c r="AI396" s="6">
        <v>0</v>
      </c>
      <c r="AJ396" s="6">
        <v>0.59199999999999997</v>
      </c>
      <c r="AK396" s="6">
        <v>0.77600000000000002</v>
      </c>
      <c r="AL396" s="8">
        <v>8041.68</v>
      </c>
      <c r="AM396" s="6" t="s">
        <v>114</v>
      </c>
      <c r="AN396" s="6">
        <v>1</v>
      </c>
      <c r="AO396" s="6">
        <v>1</v>
      </c>
      <c r="AP396" s="6">
        <v>0</v>
      </c>
      <c r="AQ396" s="6">
        <v>1</v>
      </c>
      <c r="AR396" s="6">
        <v>0</v>
      </c>
      <c r="AS396" s="6">
        <v>1</v>
      </c>
      <c r="AT396" s="6">
        <v>0</v>
      </c>
      <c r="AU396" s="6">
        <v>2.38</v>
      </c>
      <c r="AV396" s="6">
        <v>1.59</v>
      </c>
      <c r="AW396" s="6">
        <v>221.52</v>
      </c>
      <c r="AX396" s="6">
        <v>47.45</v>
      </c>
      <c r="AY396" s="6">
        <v>215.69</v>
      </c>
      <c r="AZ396" s="6">
        <v>25</v>
      </c>
      <c r="BA396" s="6">
        <v>7</v>
      </c>
    </row>
    <row r="397" spans="1:53" x14ac:dyDescent="0.3">
      <c r="A397" s="6">
        <v>257243284</v>
      </c>
      <c r="B397" s="6">
        <v>733052</v>
      </c>
      <c r="C397" s="6">
        <v>2642635</v>
      </c>
      <c r="D397" s="6">
        <v>8989</v>
      </c>
      <c r="E397" s="6" t="s">
        <v>84</v>
      </c>
      <c r="F397" s="6">
        <v>53235</v>
      </c>
      <c r="G397" s="6" t="s">
        <v>146</v>
      </c>
      <c r="H397" s="10">
        <v>45956</v>
      </c>
      <c r="I397" s="10">
        <v>45956</v>
      </c>
      <c r="J397" s="4">
        <v>45956.746527777781</v>
      </c>
      <c r="K397" s="4">
        <v>45957.012812499997</v>
      </c>
      <c r="L397" s="11">
        <v>45957.004479166666</v>
      </c>
      <c r="M397" s="10">
        <v>45957</v>
      </c>
      <c r="N397" s="6" t="s">
        <v>59</v>
      </c>
      <c r="O397" t="s">
        <v>85</v>
      </c>
      <c r="P397" s="6" t="s">
        <v>59</v>
      </c>
      <c r="Q397" t="s">
        <v>85</v>
      </c>
      <c r="R397" t="s">
        <v>62</v>
      </c>
      <c r="S397" s="6">
        <v>797593</v>
      </c>
      <c r="T397" s="6" t="s">
        <v>1</v>
      </c>
      <c r="U397">
        <v>315</v>
      </c>
      <c r="V397" s="6">
        <v>35.4</v>
      </c>
      <c r="W397" s="6">
        <v>30</v>
      </c>
      <c r="X397" s="6">
        <v>314.2</v>
      </c>
      <c r="Y397" s="6">
        <v>379.6</v>
      </c>
      <c r="Z397" s="6" t="s">
        <v>2</v>
      </c>
      <c r="AA397" t="s">
        <v>491</v>
      </c>
      <c r="AB397" s="6" t="s">
        <v>90</v>
      </c>
      <c r="AC397" t="s">
        <v>91</v>
      </c>
      <c r="AD397" t="s">
        <v>67</v>
      </c>
      <c r="AE397">
        <v>-12</v>
      </c>
      <c r="AF397">
        <v>0</v>
      </c>
      <c r="AG397">
        <v>0</v>
      </c>
      <c r="AH397" s="6">
        <v>83</v>
      </c>
      <c r="AI397" s="6">
        <v>0</v>
      </c>
      <c r="AJ397" s="6">
        <v>0.48799999999999999</v>
      </c>
      <c r="AK397" s="6">
        <v>0.91100000000000003</v>
      </c>
      <c r="AL397" s="8">
        <v>17795.02</v>
      </c>
      <c r="AM397" s="6" t="s">
        <v>114</v>
      </c>
      <c r="AN397" s="6">
        <v>1</v>
      </c>
      <c r="AO397" s="6">
        <v>1</v>
      </c>
      <c r="AP397" s="6">
        <v>0</v>
      </c>
      <c r="AQ397" s="6">
        <v>1</v>
      </c>
      <c r="AR397" s="6">
        <v>0</v>
      </c>
      <c r="AS397" s="6">
        <v>1</v>
      </c>
      <c r="AT397" s="6">
        <v>0</v>
      </c>
      <c r="AU397" s="6">
        <v>2.41</v>
      </c>
      <c r="AV397" s="6">
        <v>1.6</v>
      </c>
      <c r="AW397" s="6">
        <v>312.60000000000002</v>
      </c>
      <c r="AX397" s="6">
        <v>53.16</v>
      </c>
      <c r="AY397" s="6">
        <v>222.39</v>
      </c>
      <c r="AZ397" s="6">
        <v>11.9</v>
      </c>
      <c r="BA397" s="6">
        <v>19</v>
      </c>
    </row>
    <row r="398" spans="1:53" x14ac:dyDescent="0.3">
      <c r="A398" s="6">
        <v>374843786</v>
      </c>
      <c r="B398" s="6">
        <v>662275</v>
      </c>
      <c r="C398" s="6">
        <v>7818496</v>
      </c>
      <c r="D398" s="6">
        <v>8629</v>
      </c>
      <c r="E398" s="6" t="s">
        <v>106</v>
      </c>
      <c r="F398" s="6">
        <v>54576</v>
      </c>
      <c r="G398" s="6" t="s">
        <v>98</v>
      </c>
      <c r="H398" s="10">
        <v>46021</v>
      </c>
      <c r="I398" s="10">
        <v>46021</v>
      </c>
      <c r="J398" s="4">
        <v>46021.461805555555</v>
      </c>
      <c r="K398" s="4">
        <v>46021.681493055556</v>
      </c>
      <c r="L398" s="11">
        <v>46021.667604166665</v>
      </c>
      <c r="M398" s="10">
        <v>46021</v>
      </c>
      <c r="N398" s="6" t="s">
        <v>200</v>
      </c>
      <c r="O398" t="s">
        <v>161</v>
      </c>
      <c r="P398" s="6" t="s">
        <v>200</v>
      </c>
      <c r="Q398" t="s">
        <v>171</v>
      </c>
      <c r="R398" t="s">
        <v>62</v>
      </c>
      <c r="S398" s="6">
        <v>725966</v>
      </c>
      <c r="T398" s="6" t="s">
        <v>1</v>
      </c>
      <c r="U398">
        <v>231</v>
      </c>
      <c r="V398" s="6">
        <v>12.6</v>
      </c>
      <c r="W398" s="6">
        <v>13.8</v>
      </c>
      <c r="X398" s="6">
        <v>230.1</v>
      </c>
      <c r="Y398" s="6">
        <v>256.5</v>
      </c>
      <c r="Z398" s="6" t="s">
        <v>112</v>
      </c>
      <c r="AA398" t="s">
        <v>438</v>
      </c>
      <c r="AB398" s="6" t="s">
        <v>75</v>
      </c>
      <c r="AC398" t="s">
        <v>66</v>
      </c>
      <c r="AD398" t="s">
        <v>67</v>
      </c>
      <c r="AE398">
        <v>-20</v>
      </c>
      <c r="AF398">
        <v>0</v>
      </c>
      <c r="AG398">
        <v>0</v>
      </c>
      <c r="AH398" s="6">
        <v>40.1</v>
      </c>
      <c r="AI398" s="6">
        <v>0</v>
      </c>
      <c r="AJ398" s="6">
        <v>0.71199999999999997</v>
      </c>
      <c r="AK398" s="6">
        <v>0.93100000000000005</v>
      </c>
      <c r="AL398" s="8">
        <v>100754.39</v>
      </c>
      <c r="AM398" s="6" t="s">
        <v>155</v>
      </c>
      <c r="AN398" s="6">
        <v>1</v>
      </c>
      <c r="AO398" s="6">
        <v>1</v>
      </c>
      <c r="AP398" s="6">
        <v>0</v>
      </c>
      <c r="AQ398" s="6">
        <v>1</v>
      </c>
      <c r="AR398" s="6">
        <v>0</v>
      </c>
      <c r="AS398" s="6">
        <v>1</v>
      </c>
      <c r="AT398" s="6">
        <v>0</v>
      </c>
      <c r="AU398" s="6">
        <v>2.14</v>
      </c>
      <c r="AV398" s="6">
        <v>1.59</v>
      </c>
      <c r="AW398" s="6">
        <v>165.51</v>
      </c>
      <c r="AX398" s="6">
        <v>41</v>
      </c>
      <c r="AY398" s="6">
        <v>151.66999999999999</v>
      </c>
      <c r="AZ398" s="6">
        <v>31.4</v>
      </c>
      <c r="BA398" s="6">
        <v>63.4</v>
      </c>
    </row>
    <row r="399" spans="1:53" x14ac:dyDescent="0.3">
      <c r="A399" s="6">
        <v>311818984</v>
      </c>
      <c r="B399" s="6">
        <v>542666</v>
      </c>
      <c r="C399" s="6">
        <v>1604451</v>
      </c>
      <c r="D399" s="6">
        <v>1854</v>
      </c>
      <c r="E399" s="6" t="s">
        <v>142</v>
      </c>
      <c r="F399" s="6">
        <v>51100</v>
      </c>
      <c r="G399" s="6" t="s">
        <v>69</v>
      </c>
      <c r="H399" s="10">
        <v>45778</v>
      </c>
      <c r="I399" s="10">
        <v>45778</v>
      </c>
      <c r="J399" s="4">
        <v>45778.635416666664</v>
      </c>
      <c r="K399" s="4">
        <v>45778.846435185187</v>
      </c>
      <c r="L399" s="11">
        <v>45778.822824074072</v>
      </c>
      <c r="M399" s="10">
        <v>45778</v>
      </c>
      <c r="N399" s="6" t="s">
        <v>93</v>
      </c>
      <c r="O399" t="s">
        <v>94</v>
      </c>
      <c r="P399" s="6" t="s">
        <v>78</v>
      </c>
      <c r="Q399" t="s">
        <v>79</v>
      </c>
      <c r="R399" t="s">
        <v>88</v>
      </c>
      <c r="S399" s="6">
        <v>761759</v>
      </c>
      <c r="T399" s="6" t="s">
        <v>1</v>
      </c>
      <c r="U399">
        <v>224</v>
      </c>
      <c r="V399" s="6">
        <v>21.7</v>
      </c>
      <c r="W399" s="6">
        <v>13.8</v>
      </c>
      <c r="X399" s="6">
        <v>219.7</v>
      </c>
      <c r="Y399" s="6">
        <v>255.2</v>
      </c>
      <c r="Z399" s="6" t="s">
        <v>112</v>
      </c>
      <c r="AA399" t="s">
        <v>408</v>
      </c>
      <c r="AB399" s="6" t="s">
        <v>90</v>
      </c>
      <c r="AC399" t="s">
        <v>137</v>
      </c>
      <c r="AD399" t="s">
        <v>67</v>
      </c>
      <c r="AE399">
        <v>-34</v>
      </c>
      <c r="AF399">
        <v>0</v>
      </c>
      <c r="AG399">
        <v>0</v>
      </c>
      <c r="AH399" s="6">
        <v>51.1</v>
      </c>
      <c r="AI399" s="6">
        <v>0</v>
      </c>
      <c r="AJ399" s="6">
        <v>0.93500000000000005</v>
      </c>
      <c r="AK399" s="6">
        <v>0.85699999999999998</v>
      </c>
      <c r="AL399" s="8">
        <v>14740.4</v>
      </c>
      <c r="AM399" s="6" t="s">
        <v>114</v>
      </c>
      <c r="AN399" s="6">
        <v>1</v>
      </c>
      <c r="AO399" s="6">
        <v>1</v>
      </c>
      <c r="AP399" s="6">
        <v>0</v>
      </c>
      <c r="AQ399" s="6">
        <v>1</v>
      </c>
      <c r="AR399" s="6">
        <v>0</v>
      </c>
      <c r="AS399" s="6">
        <v>1</v>
      </c>
      <c r="AT399" s="6">
        <v>0</v>
      </c>
      <c r="AU399" s="6">
        <v>2.17</v>
      </c>
      <c r="AV399" s="6">
        <v>1.3</v>
      </c>
      <c r="AW399" s="6">
        <v>220.01</v>
      </c>
      <c r="AX399" s="6">
        <v>40.99</v>
      </c>
      <c r="AY399" s="6">
        <v>133.27000000000001</v>
      </c>
      <c r="AZ399" s="6">
        <v>8</v>
      </c>
      <c r="BA399" s="6">
        <v>34.200000000000003</v>
      </c>
    </row>
    <row r="400" spans="1:53" x14ac:dyDescent="0.3">
      <c r="A400" s="6">
        <v>286293158</v>
      </c>
      <c r="B400" s="6">
        <v>665492</v>
      </c>
      <c r="C400" s="6">
        <v>5960271</v>
      </c>
      <c r="D400" s="6">
        <v>7015</v>
      </c>
      <c r="E400" s="6" t="s">
        <v>84</v>
      </c>
      <c r="F400" s="6">
        <v>58864</v>
      </c>
      <c r="G400" s="6" t="s">
        <v>164</v>
      </c>
      <c r="H400" s="10">
        <v>45797</v>
      </c>
      <c r="I400" s="10">
        <v>45797</v>
      </c>
      <c r="J400" s="4">
        <v>45797.006944444445</v>
      </c>
      <c r="K400" s="4">
        <v>45797.20517361111</v>
      </c>
      <c r="L400" s="11">
        <v>45797.20239583333</v>
      </c>
      <c r="M400" s="10">
        <v>45797</v>
      </c>
      <c r="N400" s="6" t="s">
        <v>70</v>
      </c>
      <c r="O400" t="s">
        <v>72</v>
      </c>
      <c r="P400" s="6" t="s">
        <v>116</v>
      </c>
      <c r="Q400" t="s">
        <v>117</v>
      </c>
      <c r="R400" t="s">
        <v>123</v>
      </c>
      <c r="S400" s="6">
        <v>767844</v>
      </c>
      <c r="T400" s="6" t="s">
        <v>1</v>
      </c>
      <c r="U400">
        <v>245</v>
      </c>
      <c r="V400" s="6">
        <v>16.2</v>
      </c>
      <c r="W400" s="6">
        <v>13.1</v>
      </c>
      <c r="X400" s="6">
        <v>241.2</v>
      </c>
      <c r="Y400" s="6">
        <v>270.5</v>
      </c>
      <c r="Z400" s="6" t="s">
        <v>63</v>
      </c>
      <c r="AA400" t="s">
        <v>544</v>
      </c>
      <c r="AB400" s="6" t="s">
        <v>82</v>
      </c>
      <c r="AC400" t="s">
        <v>66</v>
      </c>
      <c r="AD400" t="s">
        <v>67</v>
      </c>
      <c r="AE400">
        <v>-4</v>
      </c>
      <c r="AF400">
        <v>0</v>
      </c>
      <c r="AG400">
        <v>0</v>
      </c>
      <c r="AH400" s="6">
        <v>60.7</v>
      </c>
      <c r="AI400" s="6">
        <v>0</v>
      </c>
      <c r="AJ400" s="6">
        <v>0.55000000000000004</v>
      </c>
      <c r="AK400" s="6">
        <v>0.66900000000000004</v>
      </c>
      <c r="AL400" s="8">
        <v>11718.51</v>
      </c>
      <c r="AM400" s="6" t="s">
        <v>114</v>
      </c>
      <c r="AN400" s="6">
        <v>1</v>
      </c>
      <c r="AO400" s="6">
        <v>1</v>
      </c>
      <c r="AP400" s="6">
        <v>0</v>
      </c>
      <c r="AQ400" s="6">
        <v>1</v>
      </c>
      <c r="AR400" s="6">
        <v>0</v>
      </c>
      <c r="AS400" s="6">
        <v>1</v>
      </c>
      <c r="AT400" s="6">
        <v>0</v>
      </c>
      <c r="AU400" s="6">
        <v>2.2799999999999998</v>
      </c>
      <c r="AV400" s="6">
        <v>1.48</v>
      </c>
      <c r="AW400" s="6">
        <v>247.06</v>
      </c>
      <c r="AX400" s="6">
        <v>42.35</v>
      </c>
      <c r="AY400" s="6">
        <v>180.46</v>
      </c>
      <c r="AZ400" s="6">
        <v>5.6</v>
      </c>
      <c r="BA400" s="6">
        <v>0</v>
      </c>
    </row>
    <row r="401" spans="1:53" x14ac:dyDescent="0.3">
      <c r="A401" s="6">
        <v>746820987</v>
      </c>
      <c r="B401" s="6">
        <v>903035</v>
      </c>
      <c r="C401" s="6">
        <v>7110622</v>
      </c>
      <c r="D401" s="6">
        <v>3200</v>
      </c>
      <c r="E401" s="6" t="s">
        <v>92</v>
      </c>
      <c r="F401" s="6">
        <v>58708</v>
      </c>
      <c r="G401" s="6" t="s">
        <v>69</v>
      </c>
      <c r="H401" s="10">
        <v>45883</v>
      </c>
      <c r="I401" s="10">
        <v>45883</v>
      </c>
      <c r="J401" s="4">
        <v>45883.295138888891</v>
      </c>
      <c r="K401" s="4">
        <v>45883.630428240744</v>
      </c>
      <c r="L401" s="11">
        <v>45883.645011574074</v>
      </c>
      <c r="M401" s="10">
        <v>45883</v>
      </c>
      <c r="N401" s="6" t="s">
        <v>78</v>
      </c>
      <c r="O401" t="s">
        <v>147</v>
      </c>
      <c r="P401" s="6" t="s">
        <v>86</v>
      </c>
      <c r="Q401" t="s">
        <v>108</v>
      </c>
      <c r="R401" t="s">
        <v>88</v>
      </c>
      <c r="S401" s="6">
        <v>702981</v>
      </c>
      <c r="T401" s="6" t="s">
        <v>111</v>
      </c>
      <c r="U401">
        <v>404</v>
      </c>
      <c r="V401" s="6">
        <v>20.5</v>
      </c>
      <c r="W401" s="6">
        <v>10.6</v>
      </c>
      <c r="X401" s="6">
        <v>405.3</v>
      </c>
      <c r="Y401" s="6">
        <v>436.4</v>
      </c>
      <c r="Z401" s="6" t="s">
        <v>2</v>
      </c>
      <c r="AA401" t="s">
        <v>545</v>
      </c>
      <c r="AB401" s="6" t="s">
        <v>97</v>
      </c>
      <c r="AC401" t="s">
        <v>137</v>
      </c>
      <c r="AD401" t="s">
        <v>67</v>
      </c>
      <c r="AE401">
        <v>21</v>
      </c>
      <c r="AF401">
        <v>0</v>
      </c>
      <c r="AG401">
        <v>0</v>
      </c>
      <c r="AH401" s="6">
        <v>64.900000000000006</v>
      </c>
      <c r="AI401" s="6">
        <v>0</v>
      </c>
      <c r="AJ401" s="6">
        <v>0.84299999999999997</v>
      </c>
      <c r="AK401" s="6">
        <v>0.497</v>
      </c>
      <c r="AL401" s="8">
        <v>10494.76</v>
      </c>
      <c r="AM401" s="6" t="s">
        <v>114</v>
      </c>
      <c r="AN401" s="6">
        <v>1</v>
      </c>
      <c r="AO401" s="6">
        <v>0</v>
      </c>
      <c r="AP401" s="6">
        <v>1</v>
      </c>
      <c r="AQ401" s="6">
        <v>0</v>
      </c>
      <c r="AR401" s="6">
        <v>1</v>
      </c>
      <c r="AS401" s="6">
        <v>0</v>
      </c>
      <c r="AT401" s="6">
        <v>1</v>
      </c>
      <c r="AU401" s="6">
        <v>2.5299999999999998</v>
      </c>
      <c r="AV401" s="6">
        <v>1.99</v>
      </c>
      <c r="AW401" s="6">
        <v>352.62</v>
      </c>
      <c r="AX401" s="6">
        <v>61.65</v>
      </c>
      <c r="AY401" s="6">
        <v>300.17</v>
      </c>
      <c r="AZ401" s="6">
        <v>26.8</v>
      </c>
      <c r="BA401" s="6">
        <v>19.5</v>
      </c>
    </row>
    <row r="402" spans="1:53" x14ac:dyDescent="0.3">
      <c r="A402" s="6">
        <v>264142683</v>
      </c>
      <c r="B402" s="6">
        <v>944151</v>
      </c>
      <c r="C402" s="6">
        <v>6855396</v>
      </c>
      <c r="D402" s="6">
        <v>8574</v>
      </c>
      <c r="E402" s="6" t="s">
        <v>225</v>
      </c>
      <c r="F402" s="6">
        <v>52532</v>
      </c>
      <c r="G402" s="6" t="s">
        <v>77</v>
      </c>
      <c r="H402" s="10">
        <v>45920</v>
      </c>
      <c r="I402" s="10">
        <v>45920</v>
      </c>
      <c r="J402" s="4">
        <v>45920.013888888891</v>
      </c>
      <c r="K402" s="4">
        <v>45920.14366898148</v>
      </c>
      <c r="L402" s="11">
        <v>45920.150613425925</v>
      </c>
      <c r="M402" s="10">
        <v>45920</v>
      </c>
      <c r="N402" s="6" t="s">
        <v>109</v>
      </c>
      <c r="O402" t="s">
        <v>193</v>
      </c>
      <c r="P402" s="6" t="s">
        <v>134</v>
      </c>
      <c r="Q402" t="s">
        <v>248</v>
      </c>
      <c r="R402" t="s">
        <v>73</v>
      </c>
      <c r="S402" s="6">
        <v>743499</v>
      </c>
      <c r="T402" s="6" t="s">
        <v>1</v>
      </c>
      <c r="U402">
        <v>111</v>
      </c>
      <c r="V402" s="6">
        <v>37.200000000000003</v>
      </c>
      <c r="W402" s="6">
        <v>23.3</v>
      </c>
      <c r="X402" s="6">
        <v>114</v>
      </c>
      <c r="Y402" s="6">
        <v>174.5</v>
      </c>
      <c r="Z402" s="6" t="s">
        <v>112</v>
      </c>
      <c r="AA402" t="s">
        <v>546</v>
      </c>
      <c r="AB402" s="6" t="s">
        <v>82</v>
      </c>
      <c r="AC402" t="s">
        <v>76</v>
      </c>
      <c r="AD402" t="s">
        <v>67</v>
      </c>
      <c r="AE402">
        <v>10</v>
      </c>
      <c r="AF402">
        <v>0</v>
      </c>
      <c r="AG402">
        <v>0</v>
      </c>
      <c r="AH402" s="6">
        <v>35.5</v>
      </c>
      <c r="AI402" s="6">
        <v>0</v>
      </c>
      <c r="AJ402" s="6">
        <v>0.59499999999999997</v>
      </c>
      <c r="AK402" s="6">
        <v>0.70499999999999996</v>
      </c>
      <c r="AL402" s="8">
        <v>10245.68</v>
      </c>
      <c r="AM402" s="6" t="s">
        <v>114</v>
      </c>
      <c r="AN402" s="6">
        <v>1</v>
      </c>
      <c r="AO402" s="6">
        <v>1</v>
      </c>
      <c r="AP402" s="6">
        <v>0</v>
      </c>
      <c r="AQ402" s="6">
        <v>1</v>
      </c>
      <c r="AR402" s="6">
        <v>0</v>
      </c>
      <c r="AS402" s="6">
        <v>1</v>
      </c>
      <c r="AT402" s="6">
        <v>0</v>
      </c>
      <c r="AU402" s="6">
        <v>2.15</v>
      </c>
      <c r="AV402" s="6">
        <v>1.46</v>
      </c>
      <c r="AW402" s="6">
        <v>112.23</v>
      </c>
      <c r="AX402" s="6">
        <v>19.690000000000001</v>
      </c>
      <c r="AY402" s="6">
        <v>118.41</v>
      </c>
      <c r="AZ402" s="6">
        <v>12.8</v>
      </c>
      <c r="BA402" s="6">
        <v>43.5</v>
      </c>
    </row>
    <row r="403" spans="1:53" x14ac:dyDescent="0.3">
      <c r="A403" s="6">
        <v>916274954</v>
      </c>
      <c r="B403" s="6">
        <v>632323</v>
      </c>
      <c r="C403" s="6">
        <v>4240180</v>
      </c>
      <c r="D403" s="6">
        <v>6759</v>
      </c>
      <c r="E403" s="6" t="s">
        <v>106</v>
      </c>
      <c r="F403" s="6">
        <v>57770</v>
      </c>
      <c r="G403" s="6" t="s">
        <v>69</v>
      </c>
      <c r="H403" s="10">
        <v>45801</v>
      </c>
      <c r="I403" s="10">
        <v>45801</v>
      </c>
      <c r="J403" s="4">
        <v>45801.413194444445</v>
      </c>
      <c r="K403" s="4">
        <v>45801.499166666668</v>
      </c>
      <c r="L403" s="11">
        <v>45801.482499999998</v>
      </c>
      <c r="M403" s="10">
        <v>45801</v>
      </c>
      <c r="N403" s="6" t="s">
        <v>132</v>
      </c>
      <c r="O403" t="s">
        <v>328</v>
      </c>
      <c r="P403" s="6" t="s">
        <v>132</v>
      </c>
      <c r="Q403" t="s">
        <v>181</v>
      </c>
      <c r="R403" t="s">
        <v>62</v>
      </c>
      <c r="S403" s="6">
        <v>711807</v>
      </c>
      <c r="T403" s="6" t="s">
        <v>3</v>
      </c>
      <c r="U403">
        <v>75</v>
      </c>
      <c r="V403" s="6">
        <v>34.1</v>
      </c>
      <c r="W403" s="6">
        <v>21.3</v>
      </c>
      <c r="X403" s="6">
        <v>74</v>
      </c>
      <c r="Y403" s="6">
        <v>129.4</v>
      </c>
      <c r="Z403" s="6" t="s">
        <v>63</v>
      </c>
      <c r="AA403" t="s">
        <v>547</v>
      </c>
      <c r="AB403" s="6" t="s">
        <v>97</v>
      </c>
      <c r="AC403" t="s">
        <v>76</v>
      </c>
      <c r="AD403" t="s">
        <v>67</v>
      </c>
      <c r="AE403">
        <v>-24</v>
      </c>
      <c r="AF403">
        <v>0</v>
      </c>
      <c r="AG403">
        <v>0</v>
      </c>
      <c r="AH403" s="6">
        <v>41.4</v>
      </c>
      <c r="AI403" s="6">
        <v>0</v>
      </c>
      <c r="AJ403" s="6">
        <v>0.59199999999999997</v>
      </c>
      <c r="AK403" s="6">
        <v>0.67200000000000004</v>
      </c>
      <c r="AL403" s="8">
        <v>3517.17</v>
      </c>
      <c r="AM403" s="6" t="s">
        <v>68</v>
      </c>
      <c r="AN403" s="6">
        <v>1</v>
      </c>
      <c r="AO403" s="6">
        <v>1</v>
      </c>
      <c r="AP403" s="6">
        <v>0</v>
      </c>
      <c r="AQ403" s="6">
        <v>1</v>
      </c>
      <c r="AR403" s="6">
        <v>0</v>
      </c>
      <c r="AS403" s="6">
        <v>1</v>
      </c>
      <c r="AT403" s="6">
        <v>0</v>
      </c>
      <c r="AU403" s="6">
        <v>2.11</v>
      </c>
      <c r="AV403" s="6">
        <v>1.35</v>
      </c>
      <c r="AW403" s="6">
        <v>103.01</v>
      </c>
      <c r="AX403" s="6">
        <v>19.440000000000001</v>
      </c>
      <c r="AY403" s="6">
        <v>79.099999999999994</v>
      </c>
      <c r="AZ403" s="6">
        <v>1.1000000000000001</v>
      </c>
      <c r="BA403" s="6">
        <v>38.5</v>
      </c>
    </row>
    <row r="404" spans="1:53" x14ac:dyDescent="0.3">
      <c r="A404" s="6">
        <v>915133660</v>
      </c>
      <c r="B404" s="6">
        <v>331148</v>
      </c>
      <c r="C404" s="6">
        <v>8231838</v>
      </c>
      <c r="D404" s="6">
        <v>8734</v>
      </c>
      <c r="E404" s="6" t="s">
        <v>84</v>
      </c>
      <c r="F404" s="6">
        <v>53670</v>
      </c>
      <c r="G404" s="6" t="s">
        <v>235</v>
      </c>
      <c r="H404" s="10">
        <v>45988</v>
      </c>
      <c r="I404" s="10">
        <v>45988</v>
      </c>
      <c r="J404" s="4">
        <v>45988.628472222219</v>
      </c>
      <c r="K404" s="4">
        <v>45988.833923611113</v>
      </c>
      <c r="L404" s="11">
        <v>45988.83184027778</v>
      </c>
      <c r="M404" s="10">
        <v>45988</v>
      </c>
      <c r="N404" s="6" t="s">
        <v>70</v>
      </c>
      <c r="O404" t="s">
        <v>71</v>
      </c>
      <c r="P404" s="6" t="s">
        <v>132</v>
      </c>
      <c r="Q404" t="s">
        <v>328</v>
      </c>
      <c r="R404" t="s">
        <v>62</v>
      </c>
      <c r="S404" s="6">
        <v>784181</v>
      </c>
      <c r="T404" s="6" t="s">
        <v>1</v>
      </c>
      <c r="U404">
        <v>258</v>
      </c>
      <c r="V404" s="6">
        <v>19.100000000000001</v>
      </c>
      <c r="W404" s="6">
        <v>36.1</v>
      </c>
      <c r="X404" s="6">
        <v>255</v>
      </c>
      <c r="Y404" s="6">
        <v>310.2</v>
      </c>
      <c r="Z404" s="6" t="s">
        <v>63</v>
      </c>
      <c r="AA404" t="s">
        <v>523</v>
      </c>
      <c r="AB404" s="6" t="s">
        <v>90</v>
      </c>
      <c r="AC404" t="s">
        <v>137</v>
      </c>
      <c r="AD404" t="s">
        <v>67</v>
      </c>
      <c r="AE404">
        <v>-3</v>
      </c>
      <c r="AF404">
        <v>0</v>
      </c>
      <c r="AG404">
        <v>0</v>
      </c>
      <c r="AH404" s="6">
        <v>20.8</v>
      </c>
      <c r="AI404" s="6">
        <v>0</v>
      </c>
      <c r="AJ404" s="6">
        <v>0.65400000000000003</v>
      </c>
      <c r="AK404" s="6">
        <v>0.877</v>
      </c>
      <c r="AL404" s="8">
        <v>10088.290000000001</v>
      </c>
      <c r="AM404" s="6" t="s">
        <v>114</v>
      </c>
      <c r="AN404" s="6">
        <v>1</v>
      </c>
      <c r="AO404" s="6">
        <v>1</v>
      </c>
      <c r="AP404" s="6">
        <v>0</v>
      </c>
      <c r="AQ404" s="6">
        <v>1</v>
      </c>
      <c r="AR404" s="6">
        <v>0</v>
      </c>
      <c r="AS404" s="6">
        <v>1</v>
      </c>
      <c r="AT404" s="6">
        <v>0</v>
      </c>
      <c r="AU404" s="6">
        <v>1.8</v>
      </c>
      <c r="AV404" s="6">
        <v>1.23</v>
      </c>
      <c r="AW404" s="6">
        <v>261.27</v>
      </c>
      <c r="AX404" s="6">
        <v>67.709999999999994</v>
      </c>
      <c r="AY404" s="6">
        <v>211.28</v>
      </c>
      <c r="AZ404" s="6">
        <v>5.8</v>
      </c>
      <c r="BA404" s="6">
        <v>10</v>
      </c>
    </row>
    <row r="405" spans="1:53" x14ac:dyDescent="0.3">
      <c r="A405" s="6">
        <v>803847447</v>
      </c>
      <c r="B405" s="6">
        <v>847581</v>
      </c>
      <c r="C405" s="6">
        <v>3919694</v>
      </c>
      <c r="D405" s="6">
        <v>9050</v>
      </c>
      <c r="E405" s="6" t="s">
        <v>185</v>
      </c>
      <c r="F405" s="6">
        <v>50781</v>
      </c>
      <c r="G405" s="6" t="s">
        <v>69</v>
      </c>
      <c r="H405" s="10">
        <v>45862</v>
      </c>
      <c r="I405" s="10">
        <v>45862</v>
      </c>
      <c r="J405" s="4">
        <v>45862.493055555555</v>
      </c>
      <c r="K405" s="4">
        <v>45863.074282407404</v>
      </c>
      <c r="L405" s="11">
        <v>45863.166643518518</v>
      </c>
      <c r="M405" s="10">
        <v>45863</v>
      </c>
      <c r="N405" s="6" t="s">
        <v>121</v>
      </c>
      <c r="O405" t="s">
        <v>143</v>
      </c>
      <c r="P405" s="6" t="s">
        <v>121</v>
      </c>
      <c r="Q405" t="s">
        <v>143</v>
      </c>
      <c r="R405" t="s">
        <v>123</v>
      </c>
      <c r="S405" s="6">
        <v>742838</v>
      </c>
      <c r="T405" s="6" t="s">
        <v>140</v>
      </c>
      <c r="U405">
        <v>717</v>
      </c>
      <c r="V405" s="6">
        <v>39.799999999999997</v>
      </c>
      <c r="W405" s="6">
        <v>5.7</v>
      </c>
      <c r="X405" s="6">
        <v>721.5</v>
      </c>
      <c r="Y405" s="6">
        <v>767</v>
      </c>
      <c r="Z405" s="6" t="s">
        <v>63</v>
      </c>
      <c r="AA405" t="s">
        <v>548</v>
      </c>
      <c r="AB405" s="6" t="s">
        <v>75</v>
      </c>
      <c r="AC405" t="s">
        <v>137</v>
      </c>
      <c r="AD405" t="s">
        <v>192</v>
      </c>
      <c r="AE405">
        <v>133</v>
      </c>
      <c r="AF405">
        <v>0</v>
      </c>
      <c r="AG405">
        <v>0</v>
      </c>
      <c r="AH405" s="6">
        <v>95.3</v>
      </c>
      <c r="AI405" s="6">
        <v>0</v>
      </c>
      <c r="AJ405" s="6">
        <v>0.68700000000000006</v>
      </c>
      <c r="AK405" s="6">
        <v>0.85299999999999998</v>
      </c>
      <c r="AL405" s="8">
        <v>18447.13</v>
      </c>
      <c r="AM405" s="6" t="s">
        <v>114</v>
      </c>
      <c r="AN405" s="6">
        <v>1</v>
      </c>
      <c r="AO405" s="6">
        <v>0</v>
      </c>
      <c r="AP405" s="6">
        <v>1</v>
      </c>
      <c r="AQ405" s="6">
        <v>0</v>
      </c>
      <c r="AR405" s="6">
        <v>1</v>
      </c>
      <c r="AS405" s="6">
        <v>0</v>
      </c>
      <c r="AT405" s="6">
        <v>1</v>
      </c>
      <c r="AU405" s="6">
        <v>2.27</v>
      </c>
      <c r="AV405" s="6">
        <v>1.46</v>
      </c>
      <c r="AW405" s="6">
        <v>690.25</v>
      </c>
      <c r="AX405" s="6">
        <v>136.88</v>
      </c>
      <c r="AY405" s="6">
        <v>513.66</v>
      </c>
      <c r="AZ405" s="6">
        <v>12.5</v>
      </c>
      <c r="BA405" s="6">
        <v>21.1</v>
      </c>
    </row>
    <row r="406" spans="1:53" x14ac:dyDescent="0.3">
      <c r="A406" s="6">
        <v>180909963</v>
      </c>
      <c r="B406" s="6">
        <v>665492</v>
      </c>
      <c r="C406" s="6">
        <v>5960271</v>
      </c>
      <c r="D406" s="6">
        <v>7015</v>
      </c>
      <c r="E406" s="6" t="s">
        <v>84</v>
      </c>
      <c r="F406" s="6">
        <v>53523</v>
      </c>
      <c r="G406" s="6" t="s">
        <v>127</v>
      </c>
      <c r="H406" s="10">
        <v>45822</v>
      </c>
      <c r="I406" s="10">
        <v>45822</v>
      </c>
      <c r="J406" s="4">
        <v>45822.572916666664</v>
      </c>
      <c r="K406" s="4">
        <v>45822.80945601852</v>
      </c>
      <c r="L406" s="11">
        <v>45822.799039351848</v>
      </c>
      <c r="M406" s="10">
        <v>45822</v>
      </c>
      <c r="N406" s="6" t="s">
        <v>70</v>
      </c>
      <c r="O406" t="s">
        <v>152</v>
      </c>
      <c r="P406" s="6" t="s">
        <v>150</v>
      </c>
      <c r="Q406" t="s">
        <v>311</v>
      </c>
      <c r="R406" t="s">
        <v>73</v>
      </c>
      <c r="S406" s="6">
        <v>737982</v>
      </c>
      <c r="T406" s="6" t="s">
        <v>1</v>
      </c>
      <c r="U406">
        <v>267</v>
      </c>
      <c r="V406" s="6">
        <v>15.8</v>
      </c>
      <c r="W406" s="6">
        <v>35.1</v>
      </c>
      <c r="X406" s="6">
        <v>264.5</v>
      </c>
      <c r="Y406" s="6">
        <v>315.39999999999998</v>
      </c>
      <c r="Z406" s="6" t="s">
        <v>63</v>
      </c>
      <c r="AA406" t="s">
        <v>495</v>
      </c>
      <c r="AB406" s="6" t="s">
        <v>75</v>
      </c>
      <c r="AC406" t="s">
        <v>76</v>
      </c>
      <c r="AD406" t="s">
        <v>67</v>
      </c>
      <c r="AE406">
        <v>-15</v>
      </c>
      <c r="AF406">
        <v>0</v>
      </c>
      <c r="AG406">
        <v>0</v>
      </c>
      <c r="AH406" s="6">
        <v>20.6</v>
      </c>
      <c r="AI406" s="6">
        <v>0</v>
      </c>
      <c r="AJ406" s="6">
        <v>0.58099999999999996</v>
      </c>
      <c r="AK406" s="6">
        <v>0.77600000000000002</v>
      </c>
      <c r="AL406" s="8">
        <v>8107.86</v>
      </c>
      <c r="AM406" s="6" t="s">
        <v>114</v>
      </c>
      <c r="AN406" s="6">
        <v>1</v>
      </c>
      <c r="AO406" s="6">
        <v>1</v>
      </c>
      <c r="AP406" s="6">
        <v>0</v>
      </c>
      <c r="AQ406" s="6">
        <v>1</v>
      </c>
      <c r="AR406" s="6">
        <v>0</v>
      </c>
      <c r="AS406" s="6">
        <v>1</v>
      </c>
      <c r="AT406" s="6">
        <v>0</v>
      </c>
      <c r="AU406" s="6">
        <v>2.19</v>
      </c>
      <c r="AV406" s="6">
        <v>1.64</v>
      </c>
      <c r="AW406" s="6">
        <v>199.85</v>
      </c>
      <c r="AX406" s="6">
        <v>48.18</v>
      </c>
      <c r="AY406" s="6">
        <v>214.4</v>
      </c>
      <c r="AZ406" s="6">
        <v>5.6</v>
      </c>
      <c r="BA406" s="6">
        <v>10.6</v>
      </c>
    </row>
    <row r="407" spans="1:53" x14ac:dyDescent="0.3">
      <c r="A407" s="6">
        <v>290209201</v>
      </c>
      <c r="B407" s="6">
        <v>263032</v>
      </c>
      <c r="C407" s="6">
        <v>4191175</v>
      </c>
      <c r="D407" s="6">
        <v>6486</v>
      </c>
      <c r="E407" s="6" t="s">
        <v>225</v>
      </c>
      <c r="F407" s="6">
        <v>56131</v>
      </c>
      <c r="G407" s="6" t="s">
        <v>146</v>
      </c>
      <c r="H407" s="10">
        <v>45894</v>
      </c>
      <c r="I407" s="10">
        <v>45894</v>
      </c>
      <c r="J407" s="4">
        <v>45894.5</v>
      </c>
      <c r="K407" s="4">
        <v>45894.704305555555</v>
      </c>
      <c r="L407" s="11">
        <v>45894.691111111111</v>
      </c>
      <c r="M407" s="10">
        <v>45894</v>
      </c>
      <c r="N407" s="6" t="s">
        <v>70</v>
      </c>
      <c r="O407" t="s">
        <v>71</v>
      </c>
      <c r="P407" s="6" t="s">
        <v>129</v>
      </c>
      <c r="Q407" t="s">
        <v>157</v>
      </c>
      <c r="R407" t="s">
        <v>123</v>
      </c>
      <c r="S407" s="6">
        <v>731760</v>
      </c>
      <c r="T407" s="6" t="s">
        <v>1</v>
      </c>
      <c r="U407">
        <v>153</v>
      </c>
      <c r="V407" s="6">
        <v>29.1</v>
      </c>
      <c r="W407" s="6">
        <v>22.3</v>
      </c>
      <c r="X407" s="6">
        <v>154.69999999999999</v>
      </c>
      <c r="Y407" s="6">
        <v>206.1</v>
      </c>
      <c r="Z407" s="6" t="s">
        <v>215</v>
      </c>
      <c r="AA407" t="s">
        <v>549</v>
      </c>
      <c r="AB407" s="6" t="s">
        <v>75</v>
      </c>
      <c r="AC407" t="s">
        <v>83</v>
      </c>
      <c r="AD407" t="s">
        <v>67</v>
      </c>
      <c r="AE407">
        <v>-19</v>
      </c>
      <c r="AF407">
        <v>0</v>
      </c>
      <c r="AG407">
        <v>0</v>
      </c>
      <c r="AH407" s="6">
        <v>69.7</v>
      </c>
      <c r="AI407" s="6">
        <v>0</v>
      </c>
      <c r="AJ407" s="6">
        <v>0.57199999999999995</v>
      </c>
      <c r="AK407" s="6">
        <v>0.88400000000000001</v>
      </c>
      <c r="AL407" s="8">
        <v>3485.41</v>
      </c>
      <c r="AM407" s="6" t="s">
        <v>68</v>
      </c>
      <c r="AN407" s="6">
        <v>1</v>
      </c>
      <c r="AO407" s="6">
        <v>1</v>
      </c>
      <c r="AP407" s="6">
        <v>0</v>
      </c>
      <c r="AQ407" s="6">
        <v>1</v>
      </c>
      <c r="AR407" s="6">
        <v>0</v>
      </c>
      <c r="AS407" s="6">
        <v>1</v>
      </c>
      <c r="AT407" s="6">
        <v>0</v>
      </c>
      <c r="AU407" s="6">
        <v>2.83</v>
      </c>
      <c r="AV407" s="6">
        <v>2.17</v>
      </c>
      <c r="AW407" s="6">
        <v>175.7</v>
      </c>
      <c r="AX407" s="6">
        <v>22.67</v>
      </c>
      <c r="AY407" s="6">
        <v>147.5</v>
      </c>
      <c r="AZ407" s="6">
        <v>13.2</v>
      </c>
      <c r="BA407" s="6">
        <v>28.4</v>
      </c>
    </row>
    <row r="408" spans="1:53" x14ac:dyDescent="0.3">
      <c r="A408" s="6">
        <v>929839316</v>
      </c>
      <c r="B408" s="6">
        <v>705397</v>
      </c>
      <c r="C408" s="6">
        <v>5449368</v>
      </c>
      <c r="D408" s="6">
        <v>5859</v>
      </c>
      <c r="E408" s="6" t="s">
        <v>84</v>
      </c>
      <c r="F408" s="6">
        <v>54782</v>
      </c>
      <c r="G408" s="6" t="s">
        <v>127</v>
      </c>
      <c r="H408" s="10">
        <v>46005</v>
      </c>
      <c r="I408" s="10">
        <v>46005</v>
      </c>
      <c r="J408" s="4">
        <v>46005.40625</v>
      </c>
      <c r="K408" s="4">
        <v>46005.59443287037</v>
      </c>
      <c r="L408" s="11">
        <v>46005.587488425925</v>
      </c>
      <c r="M408" s="10">
        <v>46005</v>
      </c>
      <c r="N408" s="6" t="s">
        <v>170</v>
      </c>
      <c r="O408" t="s">
        <v>189</v>
      </c>
      <c r="P408" s="6" t="s">
        <v>200</v>
      </c>
      <c r="Q408" t="s">
        <v>338</v>
      </c>
      <c r="R408" t="s">
        <v>62</v>
      </c>
      <c r="S408" s="6">
        <v>763035</v>
      </c>
      <c r="T408" s="6" t="s">
        <v>1</v>
      </c>
      <c r="U408">
        <v>152</v>
      </c>
      <c r="V408" s="6">
        <v>14.7</v>
      </c>
      <c r="W408" s="6">
        <v>4.0999999999999996</v>
      </c>
      <c r="X408" s="6">
        <v>155.19999999999999</v>
      </c>
      <c r="Y408" s="6">
        <v>174</v>
      </c>
      <c r="Z408" s="6" t="s">
        <v>2</v>
      </c>
      <c r="AA408" t="s">
        <v>550</v>
      </c>
      <c r="AB408" s="6" t="s">
        <v>97</v>
      </c>
      <c r="AC408" t="s">
        <v>91</v>
      </c>
      <c r="AD408" t="s">
        <v>67</v>
      </c>
      <c r="AE408">
        <v>-10</v>
      </c>
      <c r="AF408">
        <v>0</v>
      </c>
      <c r="AG408">
        <v>0</v>
      </c>
      <c r="AH408" s="6">
        <v>78.3</v>
      </c>
      <c r="AI408" s="6">
        <v>0</v>
      </c>
      <c r="AJ408" s="6">
        <v>0.72899999999999998</v>
      </c>
      <c r="AK408" s="6">
        <v>0.79900000000000004</v>
      </c>
      <c r="AL408" s="8">
        <v>14617.85</v>
      </c>
      <c r="AM408" s="6" t="s">
        <v>114</v>
      </c>
      <c r="AN408" s="6">
        <v>1</v>
      </c>
      <c r="AO408" s="6">
        <v>1</v>
      </c>
      <c r="AP408" s="6">
        <v>0</v>
      </c>
      <c r="AQ408" s="6">
        <v>1</v>
      </c>
      <c r="AR408" s="6">
        <v>0</v>
      </c>
      <c r="AS408" s="6">
        <v>1</v>
      </c>
      <c r="AT408" s="6">
        <v>0</v>
      </c>
      <c r="AU408" s="6">
        <v>2.21</v>
      </c>
      <c r="AV408" s="6">
        <v>1.66</v>
      </c>
      <c r="AW408" s="6">
        <v>114.8</v>
      </c>
      <c r="AX408" s="6">
        <v>21.85</v>
      </c>
      <c r="AY408" s="6">
        <v>117.35</v>
      </c>
      <c r="AZ408" s="6">
        <v>11.4</v>
      </c>
      <c r="BA408" s="6">
        <v>29.8</v>
      </c>
    </row>
    <row r="409" spans="1:53" x14ac:dyDescent="0.3">
      <c r="A409" s="6">
        <v>774254861</v>
      </c>
      <c r="B409" s="6">
        <v>343962</v>
      </c>
      <c r="C409" s="6">
        <v>5672073</v>
      </c>
      <c r="D409" s="6">
        <v>7396</v>
      </c>
      <c r="E409" s="6" t="s">
        <v>92</v>
      </c>
      <c r="F409" s="6">
        <v>59781</v>
      </c>
      <c r="G409" s="6" t="s">
        <v>127</v>
      </c>
      <c r="H409" s="10">
        <v>45948</v>
      </c>
      <c r="I409" s="10">
        <v>45948</v>
      </c>
      <c r="J409" s="4">
        <v>45948.371527777781</v>
      </c>
      <c r="K409" s="4">
        <v>45948.434027777781</v>
      </c>
      <c r="L409" s="11">
        <v>45948.459722222222</v>
      </c>
      <c r="M409" s="10">
        <v>45948</v>
      </c>
      <c r="N409" s="6" t="s">
        <v>86</v>
      </c>
      <c r="O409" t="s">
        <v>268</v>
      </c>
      <c r="P409" s="6" t="s">
        <v>103</v>
      </c>
      <c r="Q409" t="s">
        <v>104</v>
      </c>
      <c r="R409" t="s">
        <v>73</v>
      </c>
      <c r="S409" s="6">
        <v>700025</v>
      </c>
      <c r="T409" s="6" t="s">
        <v>3</v>
      </c>
      <c r="U409">
        <v>34</v>
      </c>
      <c r="V409" s="6">
        <v>21.1</v>
      </c>
      <c r="W409" s="6">
        <v>40.6</v>
      </c>
      <c r="X409" s="6">
        <v>26.4</v>
      </c>
      <c r="Y409" s="6">
        <v>88.1</v>
      </c>
      <c r="Z409" s="6" t="s">
        <v>80</v>
      </c>
      <c r="AA409" t="s">
        <v>551</v>
      </c>
      <c r="AB409" s="6" t="s">
        <v>97</v>
      </c>
      <c r="AC409" t="s">
        <v>76</v>
      </c>
      <c r="AD409" t="s">
        <v>67</v>
      </c>
      <c r="AE409">
        <v>37</v>
      </c>
      <c r="AF409">
        <v>0</v>
      </c>
      <c r="AG409">
        <v>0</v>
      </c>
      <c r="AH409" s="6">
        <v>82.7</v>
      </c>
      <c r="AI409" s="6">
        <v>0</v>
      </c>
      <c r="AJ409" s="6">
        <v>0.66400000000000003</v>
      </c>
      <c r="AK409" s="6">
        <v>0.78900000000000003</v>
      </c>
      <c r="AL409" s="8">
        <v>1522.24</v>
      </c>
      <c r="AM409" s="6" t="s">
        <v>68</v>
      </c>
      <c r="AN409" s="6">
        <v>1</v>
      </c>
      <c r="AO409" s="6">
        <v>0</v>
      </c>
      <c r="AP409" s="6">
        <v>1</v>
      </c>
      <c r="AQ409" s="6">
        <v>0</v>
      </c>
      <c r="AR409" s="6">
        <v>1</v>
      </c>
      <c r="AS409" s="6">
        <v>0</v>
      </c>
      <c r="AT409" s="6">
        <v>1</v>
      </c>
      <c r="AU409" s="6">
        <v>2.08</v>
      </c>
      <c r="AV409" s="6">
        <v>1.27</v>
      </c>
      <c r="AW409" s="6">
        <v>75.52</v>
      </c>
      <c r="AX409" s="6">
        <v>14.89</v>
      </c>
      <c r="AY409" s="6">
        <v>48.01</v>
      </c>
      <c r="AZ409" s="6">
        <v>13.7</v>
      </c>
      <c r="BA409" s="6">
        <v>55</v>
      </c>
    </row>
    <row r="410" spans="1:53" x14ac:dyDescent="0.3">
      <c r="A410" s="6">
        <v>630554118</v>
      </c>
      <c r="B410" s="6">
        <v>496922</v>
      </c>
      <c r="C410" s="6">
        <v>9075854</v>
      </c>
      <c r="D410" s="6">
        <v>8869</v>
      </c>
      <c r="E410" s="6" t="s">
        <v>84</v>
      </c>
      <c r="F410" s="6">
        <v>54995</v>
      </c>
      <c r="G410" s="6" t="s">
        <v>115</v>
      </c>
      <c r="H410" s="10">
        <v>45672</v>
      </c>
      <c r="I410" s="10">
        <v>45672</v>
      </c>
      <c r="J410" s="4">
        <v>45672.378472222219</v>
      </c>
      <c r="K410" s="4">
        <v>45672.559976851851</v>
      </c>
      <c r="L410" s="11">
        <v>45672.55164351852</v>
      </c>
      <c r="M410" s="10">
        <v>45672</v>
      </c>
      <c r="N410" s="6" t="s">
        <v>176</v>
      </c>
      <c r="O410" t="s">
        <v>227</v>
      </c>
      <c r="P410" s="6" t="s">
        <v>132</v>
      </c>
      <c r="Q410" t="s">
        <v>181</v>
      </c>
      <c r="R410" t="s">
        <v>62</v>
      </c>
      <c r="S410" s="6">
        <v>727395</v>
      </c>
      <c r="T410" s="6" t="s">
        <v>1</v>
      </c>
      <c r="U410">
        <v>184</v>
      </c>
      <c r="V410" s="6">
        <v>45.7</v>
      </c>
      <c r="W410" s="6">
        <v>13.3</v>
      </c>
      <c r="X410" s="6">
        <v>184.8</v>
      </c>
      <c r="Y410" s="6">
        <v>243.8</v>
      </c>
      <c r="Z410" s="6" t="s">
        <v>112</v>
      </c>
      <c r="AA410" t="s">
        <v>552</v>
      </c>
      <c r="AB410" s="6" t="s">
        <v>97</v>
      </c>
      <c r="AC410" t="s">
        <v>125</v>
      </c>
      <c r="AD410" t="s">
        <v>67</v>
      </c>
      <c r="AE410">
        <v>-12</v>
      </c>
      <c r="AF410">
        <v>0</v>
      </c>
      <c r="AG410">
        <v>0</v>
      </c>
      <c r="AH410" s="6">
        <v>42.5</v>
      </c>
      <c r="AI410" s="6">
        <v>0</v>
      </c>
      <c r="AJ410" s="6">
        <v>0.60499999999999998</v>
      </c>
      <c r="AK410" s="6">
        <v>0.64500000000000002</v>
      </c>
      <c r="AL410" s="8">
        <v>119508.78</v>
      </c>
      <c r="AM410" s="6" t="s">
        <v>155</v>
      </c>
      <c r="AN410" s="6">
        <v>1</v>
      </c>
      <c r="AO410" s="6">
        <v>1</v>
      </c>
      <c r="AP410" s="6">
        <v>0</v>
      </c>
      <c r="AQ410" s="6">
        <v>1</v>
      </c>
      <c r="AR410" s="6">
        <v>0</v>
      </c>
      <c r="AS410" s="6">
        <v>1</v>
      </c>
      <c r="AT410" s="6">
        <v>0</v>
      </c>
      <c r="AU410" s="6">
        <v>2.33</v>
      </c>
      <c r="AV410" s="6">
        <v>1.52</v>
      </c>
      <c r="AW410" s="6">
        <v>216.16</v>
      </c>
      <c r="AX410" s="6">
        <v>38.950000000000003</v>
      </c>
      <c r="AY410" s="6">
        <v>165.05</v>
      </c>
      <c r="AZ410" s="6">
        <v>9.3000000000000007</v>
      </c>
      <c r="BA410" s="6">
        <v>33.700000000000003</v>
      </c>
    </row>
    <row r="411" spans="1:53" x14ac:dyDescent="0.3">
      <c r="A411" s="6">
        <v>598165815</v>
      </c>
      <c r="B411" s="6">
        <v>899550</v>
      </c>
      <c r="C411" s="6">
        <v>5682940</v>
      </c>
      <c r="D411" s="6">
        <v>9155</v>
      </c>
      <c r="E411" s="6" t="s">
        <v>225</v>
      </c>
      <c r="F411" s="6">
        <v>51501</v>
      </c>
      <c r="G411" s="6" t="s">
        <v>77</v>
      </c>
      <c r="H411" s="10">
        <v>45779</v>
      </c>
      <c r="I411" s="10">
        <v>45779</v>
      </c>
      <c r="J411" s="4">
        <v>45779.677083333336</v>
      </c>
      <c r="K411" s="4">
        <v>45780.080092592594</v>
      </c>
      <c r="L411" s="11">
        <v>45780.048148148147</v>
      </c>
      <c r="M411" s="10">
        <v>45780</v>
      </c>
      <c r="N411" s="6" t="s">
        <v>70</v>
      </c>
      <c r="O411" t="s">
        <v>72</v>
      </c>
      <c r="P411" s="6" t="s">
        <v>170</v>
      </c>
      <c r="Q411" t="s">
        <v>171</v>
      </c>
      <c r="R411" t="s">
        <v>62</v>
      </c>
      <c r="S411" s="6">
        <v>722184</v>
      </c>
      <c r="T411" s="6" t="s">
        <v>111</v>
      </c>
      <c r="U411">
        <v>484</v>
      </c>
      <c r="V411" s="6">
        <v>28</v>
      </c>
      <c r="W411" s="6">
        <v>1.7</v>
      </c>
      <c r="X411" s="6">
        <v>467.8</v>
      </c>
      <c r="Y411" s="6">
        <v>497.5</v>
      </c>
      <c r="Z411" s="6" t="s">
        <v>2</v>
      </c>
      <c r="AA411" t="s">
        <v>553</v>
      </c>
      <c r="AB411" s="6" t="s">
        <v>90</v>
      </c>
      <c r="AC411" t="s">
        <v>154</v>
      </c>
      <c r="AD411" t="s">
        <v>67</v>
      </c>
      <c r="AE411">
        <v>-46</v>
      </c>
      <c r="AF411">
        <v>0</v>
      </c>
      <c r="AG411">
        <v>0</v>
      </c>
      <c r="AH411" s="6">
        <v>41.8</v>
      </c>
      <c r="AI411" s="6">
        <v>0</v>
      </c>
      <c r="AJ411" s="6">
        <v>0.69899999999999995</v>
      </c>
      <c r="AK411" s="6">
        <v>0.56499999999999995</v>
      </c>
      <c r="AL411" s="8">
        <v>7512.01</v>
      </c>
      <c r="AM411" s="6" t="s">
        <v>68</v>
      </c>
      <c r="AN411" s="6">
        <v>1</v>
      </c>
      <c r="AO411" s="6">
        <v>1</v>
      </c>
      <c r="AP411" s="6">
        <v>0</v>
      </c>
      <c r="AQ411" s="6">
        <v>1</v>
      </c>
      <c r="AR411" s="6">
        <v>0</v>
      </c>
      <c r="AS411" s="6">
        <v>1</v>
      </c>
      <c r="AT411" s="6">
        <v>0</v>
      </c>
      <c r="AU411" s="6">
        <v>2.0299999999999998</v>
      </c>
      <c r="AV411" s="6">
        <v>1.27</v>
      </c>
      <c r="AW411" s="6">
        <v>436.99</v>
      </c>
      <c r="AX411" s="6">
        <v>50.9</v>
      </c>
      <c r="AY411" s="6">
        <v>283.64999999999998</v>
      </c>
      <c r="AZ411" s="6">
        <v>16.100000000000001</v>
      </c>
      <c r="BA411" s="6">
        <v>56.9</v>
      </c>
    </row>
    <row r="412" spans="1:53" x14ac:dyDescent="0.3">
      <c r="A412" s="6">
        <v>910080036</v>
      </c>
      <c r="B412" s="6">
        <v>974628</v>
      </c>
      <c r="C412" s="6">
        <v>3641282</v>
      </c>
      <c r="D412" s="6">
        <v>6892</v>
      </c>
      <c r="E412" s="6" t="s">
        <v>57</v>
      </c>
      <c r="F412" s="6">
        <v>53080</v>
      </c>
      <c r="G412" s="6" t="s">
        <v>164</v>
      </c>
      <c r="H412" s="10">
        <v>45829</v>
      </c>
      <c r="I412" s="10">
        <v>45829</v>
      </c>
      <c r="J412" s="4">
        <v>45829.472222222219</v>
      </c>
      <c r="K412" s="4">
        <v>45829.679409722223</v>
      </c>
      <c r="L412" s="11">
        <v>45829.650937500002</v>
      </c>
      <c r="M412" s="10">
        <v>45829</v>
      </c>
      <c r="N412" s="6" t="s">
        <v>200</v>
      </c>
      <c r="O412" t="s">
        <v>201</v>
      </c>
      <c r="P412" s="6" t="s">
        <v>134</v>
      </c>
      <c r="Q412" t="s">
        <v>135</v>
      </c>
      <c r="R412" t="s">
        <v>73</v>
      </c>
      <c r="S412" s="6">
        <v>796994</v>
      </c>
      <c r="T412" s="6" t="s">
        <v>1</v>
      </c>
      <c r="U412">
        <v>283</v>
      </c>
      <c r="V412" s="6">
        <v>-44.8</v>
      </c>
      <c r="W412" s="6">
        <v>29.6</v>
      </c>
      <c r="X412" s="6">
        <v>282.39999999999998</v>
      </c>
      <c r="Y412" s="6">
        <v>312</v>
      </c>
      <c r="Z412" s="6" t="s">
        <v>63</v>
      </c>
      <c r="AA412" t="s">
        <v>554</v>
      </c>
      <c r="AB412" s="6" t="s">
        <v>75</v>
      </c>
      <c r="AC412" t="s">
        <v>76</v>
      </c>
      <c r="AD412" t="s">
        <v>67</v>
      </c>
      <c r="AE412">
        <v>-41</v>
      </c>
      <c r="AF412">
        <v>0</v>
      </c>
      <c r="AG412">
        <v>0</v>
      </c>
      <c r="AH412" s="6">
        <v>46.7</v>
      </c>
      <c r="AI412" s="6">
        <v>0</v>
      </c>
      <c r="AJ412" s="6">
        <v>0.50700000000000001</v>
      </c>
      <c r="AK412" s="6">
        <v>0.79</v>
      </c>
      <c r="AL412" s="8">
        <v>12184.52</v>
      </c>
      <c r="AM412" s="6" t="s">
        <v>114</v>
      </c>
      <c r="AN412" s="6">
        <v>1</v>
      </c>
      <c r="AO412" s="6">
        <v>1</v>
      </c>
      <c r="AP412" s="6">
        <v>0</v>
      </c>
      <c r="AQ412" s="6">
        <v>1</v>
      </c>
      <c r="AR412" s="6">
        <v>0</v>
      </c>
      <c r="AS412" s="6">
        <v>1</v>
      </c>
      <c r="AT412" s="6">
        <v>0</v>
      </c>
      <c r="AU412" s="6">
        <v>1.92</v>
      </c>
      <c r="AW412" s="6">
        <v>254.55</v>
      </c>
      <c r="AX412" s="6">
        <v>34.43</v>
      </c>
      <c r="AY412" s="6">
        <v>188.41</v>
      </c>
      <c r="AZ412" s="6">
        <v>1.4</v>
      </c>
      <c r="BA412" s="6">
        <v>2.2000000000000002</v>
      </c>
    </row>
    <row r="413" spans="1:53" x14ac:dyDescent="0.3">
      <c r="A413" s="6">
        <v>705306363</v>
      </c>
      <c r="B413" s="6">
        <v>198246</v>
      </c>
      <c r="C413" s="6">
        <v>9626108</v>
      </c>
      <c r="D413" s="6">
        <v>5555</v>
      </c>
      <c r="E413" s="6" t="s">
        <v>57</v>
      </c>
      <c r="F413" s="6">
        <v>59268</v>
      </c>
      <c r="G413" s="6" t="s">
        <v>175</v>
      </c>
      <c r="H413" s="10">
        <v>45772</v>
      </c>
      <c r="I413" s="10">
        <v>45772</v>
      </c>
      <c r="J413" s="4">
        <v>45772.329861111109</v>
      </c>
      <c r="K413" s="4">
        <v>45772.594837962963</v>
      </c>
      <c r="L413" s="11">
        <v>45772.579560185186</v>
      </c>
      <c r="M413" s="10">
        <v>45772</v>
      </c>
      <c r="N413" s="6" t="s">
        <v>109</v>
      </c>
      <c r="O413" t="s">
        <v>118</v>
      </c>
      <c r="P413" s="6" t="s">
        <v>150</v>
      </c>
      <c r="Q413" t="s">
        <v>311</v>
      </c>
      <c r="R413" t="s">
        <v>73</v>
      </c>
      <c r="S413" s="6">
        <v>703172</v>
      </c>
      <c r="T413" s="6" t="s">
        <v>111</v>
      </c>
      <c r="U413">
        <v>378</v>
      </c>
      <c r="V413" s="6">
        <v>21.1</v>
      </c>
      <c r="W413" s="6">
        <v>0.2</v>
      </c>
      <c r="X413" s="6">
        <v>381.5</v>
      </c>
      <c r="Y413" s="6">
        <v>402.8</v>
      </c>
      <c r="Z413" s="6" t="s">
        <v>80</v>
      </c>
      <c r="AA413" t="s">
        <v>478</v>
      </c>
      <c r="AB413" s="6" t="s">
        <v>97</v>
      </c>
      <c r="AC413" t="s">
        <v>154</v>
      </c>
      <c r="AD413" t="s">
        <v>67</v>
      </c>
      <c r="AE413">
        <v>-22</v>
      </c>
      <c r="AF413">
        <v>0</v>
      </c>
      <c r="AG413">
        <v>0</v>
      </c>
      <c r="AH413" s="6">
        <v>64.2</v>
      </c>
      <c r="AI413" s="6">
        <v>0</v>
      </c>
      <c r="AJ413" s="6">
        <v>0.20899999999999999</v>
      </c>
      <c r="AK413" s="6">
        <v>0.47599999999999998</v>
      </c>
      <c r="AL413" s="8">
        <v>4361.51</v>
      </c>
      <c r="AM413" s="6" t="s">
        <v>68</v>
      </c>
      <c r="AN413" s="6">
        <v>1</v>
      </c>
      <c r="AO413" s="6">
        <v>1</v>
      </c>
      <c r="AP413" s="6">
        <v>0</v>
      </c>
      <c r="AQ413" s="6">
        <v>1</v>
      </c>
      <c r="AR413" s="6">
        <v>0</v>
      </c>
      <c r="AS413" s="6">
        <v>1</v>
      </c>
      <c r="AT413" s="6">
        <v>0</v>
      </c>
      <c r="AU413" s="6">
        <v>2.14</v>
      </c>
      <c r="AV413" s="6">
        <v>1.59</v>
      </c>
      <c r="AW413" s="6">
        <v>310.25</v>
      </c>
      <c r="AX413" s="6">
        <v>57.49</v>
      </c>
      <c r="AY413" s="6">
        <v>270.33</v>
      </c>
      <c r="AZ413" s="6">
        <v>11.5</v>
      </c>
      <c r="BA413" s="6">
        <v>4.9000000000000004</v>
      </c>
    </row>
    <row r="414" spans="1:53" x14ac:dyDescent="0.3">
      <c r="A414" s="6">
        <v>915911873</v>
      </c>
      <c r="B414" s="6">
        <v>183667</v>
      </c>
      <c r="C414" s="6">
        <v>1981186</v>
      </c>
      <c r="D414" s="6">
        <v>3568</v>
      </c>
      <c r="E414" s="6" t="s">
        <v>142</v>
      </c>
      <c r="F414" s="6">
        <v>59292</v>
      </c>
      <c r="G414" s="6" t="s">
        <v>207</v>
      </c>
      <c r="H414" s="10">
        <v>45913</v>
      </c>
      <c r="I414" s="10">
        <v>45913</v>
      </c>
      <c r="J414" s="4">
        <v>45913.326388888891</v>
      </c>
      <c r="K414" s="4">
        <v>45913.566145833334</v>
      </c>
      <c r="L414" s="11">
        <v>45913.534895833334</v>
      </c>
      <c r="M414" s="10">
        <v>45913</v>
      </c>
      <c r="N414" s="6" t="s">
        <v>93</v>
      </c>
      <c r="O414" t="s">
        <v>217</v>
      </c>
      <c r="P414" s="6" t="s">
        <v>70</v>
      </c>
      <c r="Q414" t="s">
        <v>322</v>
      </c>
      <c r="R414" t="s">
        <v>73</v>
      </c>
      <c r="S414" s="6">
        <v>707329</v>
      </c>
      <c r="T414" s="6" t="s">
        <v>1</v>
      </c>
      <c r="U414">
        <v>231</v>
      </c>
      <c r="V414" s="6">
        <v>19.2</v>
      </c>
      <c r="W414" s="6">
        <v>31.2</v>
      </c>
      <c r="X414" s="6">
        <v>233</v>
      </c>
      <c r="Y414" s="6">
        <v>283.39999999999998</v>
      </c>
      <c r="Z414" s="6" t="s">
        <v>80</v>
      </c>
      <c r="AA414" t="s">
        <v>555</v>
      </c>
      <c r="AB414" s="6" t="s">
        <v>97</v>
      </c>
      <c r="AC414" t="s">
        <v>76</v>
      </c>
      <c r="AD414" t="s">
        <v>67</v>
      </c>
      <c r="AE414">
        <v>-45</v>
      </c>
      <c r="AF414">
        <v>0</v>
      </c>
      <c r="AG414">
        <v>0</v>
      </c>
      <c r="AH414" s="6">
        <v>45.6</v>
      </c>
      <c r="AI414" s="6">
        <v>0</v>
      </c>
      <c r="AJ414" s="6">
        <v>0.38800000000000001</v>
      </c>
      <c r="AK414" s="6">
        <v>0.49099999999999999</v>
      </c>
      <c r="AL414" s="8">
        <v>17465.3</v>
      </c>
      <c r="AM414" s="6" t="s">
        <v>114</v>
      </c>
      <c r="AN414" s="6">
        <v>1</v>
      </c>
      <c r="AO414" s="6">
        <v>1</v>
      </c>
      <c r="AP414" s="6">
        <v>0</v>
      </c>
      <c r="AQ414" s="6">
        <v>1</v>
      </c>
      <c r="AR414" s="6">
        <v>0</v>
      </c>
      <c r="AS414" s="6">
        <v>1</v>
      </c>
      <c r="AT414" s="6">
        <v>0</v>
      </c>
      <c r="AU414" s="6">
        <v>2.06</v>
      </c>
      <c r="AV414" s="6">
        <v>1.39</v>
      </c>
      <c r="AW414" s="6">
        <v>250.07</v>
      </c>
      <c r="AX414" s="6">
        <v>33.130000000000003</v>
      </c>
      <c r="AY414" s="6">
        <v>157.57</v>
      </c>
      <c r="AZ414" s="6">
        <v>21.8</v>
      </c>
      <c r="BA414" s="6">
        <v>7</v>
      </c>
    </row>
    <row r="415" spans="1:53" x14ac:dyDescent="0.3">
      <c r="A415" s="6">
        <v>722199123</v>
      </c>
      <c r="B415" s="6">
        <v>426858</v>
      </c>
      <c r="C415" s="6">
        <v>6049101</v>
      </c>
      <c r="D415" s="6">
        <v>4446</v>
      </c>
      <c r="E415" s="6" t="s">
        <v>101</v>
      </c>
      <c r="F415" s="6">
        <v>50502</v>
      </c>
      <c r="G415" s="6" t="s">
        <v>164</v>
      </c>
      <c r="H415" s="10">
        <v>45959</v>
      </c>
      <c r="I415" s="10">
        <v>45959</v>
      </c>
      <c r="J415" s="4">
        <v>45959.871527777781</v>
      </c>
      <c r="K415" s="4">
        <v>45959.993888888886</v>
      </c>
      <c r="L415" s="11">
        <v>45959.979305555556</v>
      </c>
      <c r="M415" s="10">
        <v>45959</v>
      </c>
      <c r="N415" s="6" t="s">
        <v>86</v>
      </c>
      <c r="O415" t="s">
        <v>87</v>
      </c>
      <c r="P415" s="6" t="s">
        <v>116</v>
      </c>
      <c r="Q415" t="s">
        <v>251</v>
      </c>
      <c r="R415" t="s">
        <v>123</v>
      </c>
      <c r="S415" s="6">
        <v>775534</v>
      </c>
      <c r="T415" s="6" t="s">
        <v>3</v>
      </c>
      <c r="U415">
        <v>84</v>
      </c>
      <c r="V415" s="6">
        <v>22.2</v>
      </c>
      <c r="W415" s="6">
        <v>12.3</v>
      </c>
      <c r="X415" s="6">
        <v>88.8</v>
      </c>
      <c r="Y415" s="6">
        <v>123.3</v>
      </c>
      <c r="Z415" s="6" t="s">
        <v>112</v>
      </c>
      <c r="AA415" t="s">
        <v>420</v>
      </c>
      <c r="AB415" s="6" t="s">
        <v>65</v>
      </c>
      <c r="AC415" t="s">
        <v>125</v>
      </c>
      <c r="AD415" t="s">
        <v>67</v>
      </c>
      <c r="AE415">
        <v>-21</v>
      </c>
      <c r="AF415">
        <v>0</v>
      </c>
      <c r="AG415">
        <v>1.1000000000000001</v>
      </c>
      <c r="AH415" s="6">
        <v>55.1</v>
      </c>
      <c r="AI415" s="6">
        <v>0</v>
      </c>
      <c r="AJ415" s="6">
        <v>0.80700000000000005</v>
      </c>
      <c r="AK415" s="6">
        <v>0.64100000000000001</v>
      </c>
      <c r="AL415" s="8">
        <v>4185.97</v>
      </c>
      <c r="AM415" s="6" t="s">
        <v>68</v>
      </c>
      <c r="AN415" s="6">
        <v>1</v>
      </c>
      <c r="AO415" s="6">
        <v>1</v>
      </c>
      <c r="AP415" s="6">
        <v>0</v>
      </c>
      <c r="AQ415" s="6">
        <v>1</v>
      </c>
      <c r="AR415" s="6">
        <v>0</v>
      </c>
      <c r="AS415" s="6">
        <v>1</v>
      </c>
      <c r="AT415" s="6">
        <v>0</v>
      </c>
      <c r="AU415" s="6">
        <v>2.42</v>
      </c>
      <c r="AV415" s="6">
        <v>1.55</v>
      </c>
      <c r="AW415" s="6">
        <v>95.65</v>
      </c>
      <c r="AX415" s="6">
        <v>26.5</v>
      </c>
      <c r="AY415" s="6">
        <v>59.96</v>
      </c>
      <c r="AZ415" s="6">
        <v>24.9</v>
      </c>
      <c r="BA415" s="6">
        <v>11.8</v>
      </c>
    </row>
    <row r="416" spans="1:53" x14ac:dyDescent="0.3">
      <c r="A416" s="6">
        <v>582008349</v>
      </c>
      <c r="B416" s="6">
        <v>245051</v>
      </c>
      <c r="C416" s="6">
        <v>1739653</v>
      </c>
      <c r="D416" s="6">
        <v>4763</v>
      </c>
      <c r="E416" s="6" t="s">
        <v>185</v>
      </c>
      <c r="F416" s="6">
        <v>59531</v>
      </c>
      <c r="G416" s="6" t="s">
        <v>69</v>
      </c>
      <c r="H416" s="10">
        <v>45924</v>
      </c>
      <c r="I416" s="10">
        <v>45924</v>
      </c>
      <c r="J416" s="4">
        <v>45924.65625</v>
      </c>
      <c r="K416" s="4">
        <v>45925.11787037037</v>
      </c>
      <c r="L416" s="11">
        <v>45925.139398148145</v>
      </c>
      <c r="M416" s="10">
        <v>45925</v>
      </c>
      <c r="N416" s="6" t="s">
        <v>121</v>
      </c>
      <c r="O416" t="s">
        <v>179</v>
      </c>
      <c r="P416" s="6" t="s">
        <v>103</v>
      </c>
      <c r="Q416" t="s">
        <v>99</v>
      </c>
      <c r="R416" t="s">
        <v>73</v>
      </c>
      <c r="S416" s="6">
        <v>785561</v>
      </c>
      <c r="T416" s="6" t="s">
        <v>140</v>
      </c>
      <c r="U416">
        <v>617</v>
      </c>
      <c r="V416" s="6">
        <v>3.2</v>
      </c>
      <c r="W416" s="6">
        <v>10.1</v>
      </c>
      <c r="X416" s="6">
        <v>619.1</v>
      </c>
      <c r="Y416" s="6">
        <v>632.4</v>
      </c>
      <c r="Z416" s="6" t="s">
        <v>63</v>
      </c>
      <c r="AA416" t="s">
        <v>556</v>
      </c>
      <c r="AB416" s="6" t="s">
        <v>90</v>
      </c>
      <c r="AC416" t="s">
        <v>125</v>
      </c>
      <c r="AD416" t="s">
        <v>67</v>
      </c>
      <c r="AE416">
        <v>31</v>
      </c>
      <c r="AF416">
        <v>0</v>
      </c>
      <c r="AG416">
        <v>0</v>
      </c>
      <c r="AH416" s="6">
        <v>67.3</v>
      </c>
      <c r="AI416" s="6">
        <v>0</v>
      </c>
      <c r="AJ416" s="6">
        <v>0.34100000000000003</v>
      </c>
      <c r="AK416" s="6">
        <v>0.54</v>
      </c>
      <c r="AL416" s="8">
        <v>12919.74</v>
      </c>
      <c r="AM416" s="6" t="s">
        <v>114</v>
      </c>
      <c r="AN416" s="6">
        <v>1</v>
      </c>
      <c r="AO416" s="6">
        <v>0</v>
      </c>
      <c r="AP416" s="6">
        <v>1</v>
      </c>
      <c r="AQ416" s="6">
        <v>0</v>
      </c>
      <c r="AR416" s="6">
        <v>1</v>
      </c>
      <c r="AS416" s="6">
        <v>0</v>
      </c>
      <c r="AT416" s="6">
        <v>1</v>
      </c>
      <c r="AU416" s="6">
        <v>2.06</v>
      </c>
      <c r="AV416" s="6">
        <v>1.33</v>
      </c>
      <c r="AW416" s="6">
        <v>428.16</v>
      </c>
      <c r="AX416" s="6">
        <v>65.83</v>
      </c>
      <c r="AY416" s="6">
        <v>412.55</v>
      </c>
      <c r="AZ416" s="6">
        <v>12.9</v>
      </c>
      <c r="BA416" s="6">
        <v>67.2</v>
      </c>
    </row>
    <row r="417" spans="1:53" x14ac:dyDescent="0.3">
      <c r="A417" s="6">
        <v>831361497</v>
      </c>
      <c r="B417" s="6">
        <v>816751</v>
      </c>
      <c r="C417" s="6">
        <v>3011363</v>
      </c>
      <c r="D417" s="6">
        <v>9996</v>
      </c>
      <c r="E417" s="6" t="s">
        <v>185</v>
      </c>
      <c r="F417" s="6">
        <v>53885</v>
      </c>
      <c r="G417" s="6" t="s">
        <v>69</v>
      </c>
      <c r="H417" s="10">
        <v>46019</v>
      </c>
      <c r="I417" s="10">
        <v>46019</v>
      </c>
      <c r="J417" s="4">
        <v>46019.708333333336</v>
      </c>
      <c r="K417" s="4">
        <v>46019.859259259261</v>
      </c>
      <c r="L417" s="11">
        <v>46019.839120370372</v>
      </c>
      <c r="M417" s="10">
        <v>46019</v>
      </c>
      <c r="N417" s="6" t="s">
        <v>59</v>
      </c>
      <c r="O417" t="s">
        <v>167</v>
      </c>
      <c r="P417" s="6" t="s">
        <v>70</v>
      </c>
      <c r="Q417" t="s">
        <v>71</v>
      </c>
      <c r="R417" t="s">
        <v>73</v>
      </c>
      <c r="S417" s="6">
        <v>736170</v>
      </c>
      <c r="T417" s="6" t="s">
        <v>1</v>
      </c>
      <c r="U417">
        <v>141</v>
      </c>
      <c r="V417" s="6">
        <v>26.4</v>
      </c>
      <c r="W417" s="6">
        <v>3.2</v>
      </c>
      <c r="X417" s="6">
        <v>137.69999999999999</v>
      </c>
      <c r="Y417" s="6">
        <v>167.3</v>
      </c>
      <c r="Z417" s="6" t="s">
        <v>63</v>
      </c>
      <c r="AA417" t="s">
        <v>169</v>
      </c>
      <c r="AB417" s="6" t="s">
        <v>90</v>
      </c>
      <c r="AC417" t="s">
        <v>91</v>
      </c>
      <c r="AD417" t="s">
        <v>67</v>
      </c>
      <c r="AE417">
        <v>-29</v>
      </c>
      <c r="AF417">
        <v>0</v>
      </c>
      <c r="AG417">
        <v>0</v>
      </c>
      <c r="AH417" s="6">
        <v>48.8</v>
      </c>
      <c r="AI417" s="6">
        <v>0</v>
      </c>
      <c r="AJ417" s="6">
        <v>0.70799999999999996</v>
      </c>
      <c r="AK417" s="6">
        <v>0.66100000000000003</v>
      </c>
      <c r="AL417" s="8">
        <v>5402.58</v>
      </c>
      <c r="AM417" s="6" t="s">
        <v>68</v>
      </c>
      <c r="AN417" s="6">
        <v>1</v>
      </c>
      <c r="AO417" s="6">
        <v>1</v>
      </c>
      <c r="AP417" s="6">
        <v>0</v>
      </c>
      <c r="AQ417" s="6">
        <v>1</v>
      </c>
      <c r="AR417" s="6">
        <v>0</v>
      </c>
      <c r="AS417" s="6">
        <v>1</v>
      </c>
      <c r="AT417" s="6">
        <v>0</v>
      </c>
      <c r="AU417" s="6">
        <v>1.89</v>
      </c>
      <c r="AV417" s="6">
        <v>1.1499999999999999</v>
      </c>
      <c r="AW417" s="6">
        <v>151.05000000000001</v>
      </c>
      <c r="AX417" s="6">
        <v>36.29</v>
      </c>
      <c r="AY417" s="6">
        <v>116.53</v>
      </c>
      <c r="AZ417" s="6">
        <v>13.3</v>
      </c>
      <c r="BA417" s="6">
        <v>37.6</v>
      </c>
    </row>
    <row r="418" spans="1:53" x14ac:dyDescent="0.3">
      <c r="A418" s="6">
        <v>706118438</v>
      </c>
      <c r="B418" s="6">
        <v>325772</v>
      </c>
      <c r="C418" s="6">
        <v>9997381</v>
      </c>
      <c r="D418" s="6">
        <v>8099</v>
      </c>
      <c r="E418" s="6" t="s">
        <v>211</v>
      </c>
      <c r="F418" s="6">
        <v>58009</v>
      </c>
      <c r="G418" s="6" t="s">
        <v>175</v>
      </c>
      <c r="H418" s="10">
        <v>45757</v>
      </c>
      <c r="I418" s="10">
        <v>45757</v>
      </c>
      <c r="J418" s="4">
        <v>45757.427083333336</v>
      </c>
      <c r="K418" s="4">
        <v>45757.693078703705</v>
      </c>
      <c r="L418" s="11">
        <v>45757.663912037038</v>
      </c>
      <c r="M418" s="10">
        <v>45757</v>
      </c>
      <c r="N418" s="6" t="s">
        <v>200</v>
      </c>
      <c r="O418" t="s">
        <v>338</v>
      </c>
      <c r="P418" s="6" t="s">
        <v>59</v>
      </c>
      <c r="Q418" t="s">
        <v>99</v>
      </c>
      <c r="R418" t="s">
        <v>62</v>
      </c>
      <c r="S418" s="6">
        <v>791457</v>
      </c>
      <c r="T418" s="6" t="s">
        <v>1</v>
      </c>
      <c r="U418">
        <v>314</v>
      </c>
      <c r="V418" s="6">
        <v>7.9</v>
      </c>
      <c r="W418" s="6">
        <v>0.4</v>
      </c>
      <c r="X418" s="6">
        <v>304.8</v>
      </c>
      <c r="Y418" s="6">
        <v>313.10000000000002</v>
      </c>
      <c r="Z418" s="6" t="s">
        <v>2</v>
      </c>
      <c r="AA418" t="s">
        <v>557</v>
      </c>
      <c r="AB418" s="6" t="s">
        <v>75</v>
      </c>
      <c r="AC418" t="s">
        <v>137</v>
      </c>
      <c r="AD418" t="s">
        <v>67</v>
      </c>
      <c r="AE418">
        <v>-42</v>
      </c>
      <c r="AF418">
        <v>0</v>
      </c>
      <c r="AG418">
        <v>0</v>
      </c>
      <c r="AH418" s="6">
        <v>45.2</v>
      </c>
      <c r="AI418" s="6">
        <v>0</v>
      </c>
      <c r="AJ418" s="6">
        <v>0.56899999999999995</v>
      </c>
      <c r="AK418" s="6">
        <v>0.92100000000000004</v>
      </c>
      <c r="AL418" s="8">
        <v>98738.27</v>
      </c>
      <c r="AM418" s="6" t="s">
        <v>155</v>
      </c>
      <c r="AN418" s="6">
        <v>1</v>
      </c>
      <c r="AO418" s="6">
        <v>1</v>
      </c>
      <c r="AP418" s="6">
        <v>0</v>
      </c>
      <c r="AQ418" s="6">
        <v>1</v>
      </c>
      <c r="AR418" s="6">
        <v>0</v>
      </c>
      <c r="AS418" s="6">
        <v>1</v>
      </c>
      <c r="AT418" s="6">
        <v>0</v>
      </c>
      <c r="AU418" s="6">
        <v>2.44</v>
      </c>
      <c r="AV418" s="6">
        <v>1.86</v>
      </c>
      <c r="AW418" s="6">
        <v>229.19</v>
      </c>
      <c r="AX418" s="6">
        <v>55.98</v>
      </c>
      <c r="AY418" s="6">
        <v>220.01</v>
      </c>
      <c r="AZ418" s="6">
        <v>4.7</v>
      </c>
      <c r="BA418" s="6">
        <v>19.3</v>
      </c>
    </row>
    <row r="419" spans="1:53" x14ac:dyDescent="0.3">
      <c r="A419" s="6">
        <v>790407222</v>
      </c>
      <c r="B419" s="6">
        <v>804314</v>
      </c>
      <c r="C419" s="6">
        <v>1006810</v>
      </c>
      <c r="D419" s="6">
        <v>7893</v>
      </c>
      <c r="E419" s="6" t="s">
        <v>106</v>
      </c>
      <c r="F419" s="6">
        <v>50623</v>
      </c>
      <c r="G419" s="6" t="s">
        <v>127</v>
      </c>
      <c r="H419" s="10">
        <v>45977</v>
      </c>
      <c r="I419" s="10">
        <v>45977</v>
      </c>
      <c r="J419" s="4">
        <v>45977.291666666664</v>
      </c>
      <c r="K419" s="4">
        <v>45977.758842592593</v>
      </c>
      <c r="L419" s="11">
        <v>45977.74287037037</v>
      </c>
      <c r="M419" s="10">
        <v>45977</v>
      </c>
      <c r="N419" s="6" t="s">
        <v>200</v>
      </c>
      <c r="O419" t="s">
        <v>275</v>
      </c>
      <c r="P419" s="6" t="s">
        <v>200</v>
      </c>
      <c r="Q419" t="s">
        <v>201</v>
      </c>
      <c r="R419" t="s">
        <v>62</v>
      </c>
      <c r="S419" s="6">
        <v>725966</v>
      </c>
      <c r="T419" s="6" t="s">
        <v>111</v>
      </c>
      <c r="U419">
        <v>432</v>
      </c>
      <c r="V419" s="6">
        <v>40.5</v>
      </c>
      <c r="W419" s="6">
        <v>17.2</v>
      </c>
      <c r="X419" s="6">
        <v>432.7</v>
      </c>
      <c r="Y419" s="6">
        <v>490.4</v>
      </c>
      <c r="Z419" s="6" t="s">
        <v>63</v>
      </c>
      <c r="AA419" t="s">
        <v>119</v>
      </c>
      <c r="AB419" s="6" t="s">
        <v>97</v>
      </c>
      <c r="AC419" t="s">
        <v>91</v>
      </c>
      <c r="AD419" t="s">
        <v>67</v>
      </c>
      <c r="AE419">
        <v>-23</v>
      </c>
      <c r="AF419">
        <v>0</v>
      </c>
      <c r="AG419">
        <v>0</v>
      </c>
      <c r="AH419" s="6">
        <v>32.200000000000003</v>
      </c>
      <c r="AI419" s="6">
        <v>0</v>
      </c>
      <c r="AJ419" s="6">
        <v>0.83199999999999996</v>
      </c>
      <c r="AK419" s="6">
        <v>0.56899999999999995</v>
      </c>
      <c r="AL419" s="8">
        <v>3618.5</v>
      </c>
      <c r="AM419" s="6" t="s">
        <v>68</v>
      </c>
      <c r="AN419" s="6">
        <v>1</v>
      </c>
      <c r="AO419" s="6">
        <v>1</v>
      </c>
      <c r="AP419" s="6">
        <v>0</v>
      </c>
      <c r="AQ419" s="6">
        <v>1</v>
      </c>
      <c r="AR419" s="6">
        <v>0</v>
      </c>
      <c r="AS419" s="6">
        <v>1</v>
      </c>
      <c r="AT419" s="6">
        <v>0</v>
      </c>
      <c r="AU419" s="6">
        <v>2.1800000000000002</v>
      </c>
      <c r="AV419" s="6">
        <v>1.33</v>
      </c>
      <c r="AW419" s="6">
        <v>395.9</v>
      </c>
      <c r="AX419" s="6">
        <v>73</v>
      </c>
      <c r="AY419" s="6">
        <v>329.42</v>
      </c>
      <c r="AZ419" s="6">
        <v>11.6</v>
      </c>
      <c r="BA419" s="6">
        <v>5.8</v>
      </c>
    </row>
    <row r="420" spans="1:53" x14ac:dyDescent="0.3">
      <c r="A420" s="6">
        <v>782146375</v>
      </c>
      <c r="B420" s="6">
        <v>656116</v>
      </c>
      <c r="C420" s="6">
        <v>9996207</v>
      </c>
      <c r="D420" s="6">
        <v>5061</v>
      </c>
      <c r="E420" s="6" t="s">
        <v>92</v>
      </c>
      <c r="F420" s="6">
        <v>51050</v>
      </c>
      <c r="G420" s="6" t="s">
        <v>127</v>
      </c>
      <c r="H420" s="10">
        <v>45937</v>
      </c>
      <c r="I420" s="10">
        <v>45937</v>
      </c>
      <c r="J420" s="4">
        <v>45937.756944444445</v>
      </c>
      <c r="K420" s="4">
        <v>45938.024814814817</v>
      </c>
      <c r="L420" s="11">
        <v>45938.010925925926</v>
      </c>
      <c r="M420" s="10">
        <v>45938</v>
      </c>
      <c r="N420" s="6" t="s">
        <v>103</v>
      </c>
      <c r="O420" t="s">
        <v>99</v>
      </c>
      <c r="P420" s="6" t="s">
        <v>129</v>
      </c>
      <c r="Q420" t="s">
        <v>241</v>
      </c>
      <c r="R420" t="s">
        <v>123</v>
      </c>
      <c r="S420" s="6">
        <v>770517</v>
      </c>
      <c r="T420" s="6" t="s">
        <v>1</v>
      </c>
      <c r="U420">
        <v>316</v>
      </c>
      <c r="V420" s="6">
        <v>47.6</v>
      </c>
      <c r="W420" s="6">
        <v>7.9</v>
      </c>
      <c r="X420" s="6">
        <v>318.89999999999998</v>
      </c>
      <c r="Y420" s="6">
        <v>374.4</v>
      </c>
      <c r="Z420" s="6" t="s">
        <v>63</v>
      </c>
      <c r="AA420" t="s">
        <v>266</v>
      </c>
      <c r="AB420" s="6" t="s">
        <v>65</v>
      </c>
      <c r="AC420" t="s">
        <v>66</v>
      </c>
      <c r="AD420" t="s">
        <v>67</v>
      </c>
      <c r="AE420">
        <v>-20</v>
      </c>
      <c r="AF420">
        <v>0</v>
      </c>
      <c r="AG420">
        <v>1.7</v>
      </c>
      <c r="AH420" s="6">
        <v>78.5</v>
      </c>
      <c r="AI420" s="6">
        <v>0</v>
      </c>
      <c r="AJ420" s="6">
        <v>0.65400000000000003</v>
      </c>
      <c r="AK420" s="6">
        <v>0.65600000000000003</v>
      </c>
      <c r="AL420" s="8">
        <v>22251.15</v>
      </c>
      <c r="AM420" s="6" t="s">
        <v>155</v>
      </c>
      <c r="AN420" s="6">
        <v>1</v>
      </c>
      <c r="AO420" s="6">
        <v>1</v>
      </c>
      <c r="AP420" s="6">
        <v>0</v>
      </c>
      <c r="AQ420" s="6">
        <v>1</v>
      </c>
      <c r="AR420" s="6">
        <v>0</v>
      </c>
      <c r="AS420" s="6">
        <v>1</v>
      </c>
      <c r="AT420" s="6">
        <v>0</v>
      </c>
      <c r="AU420" s="6">
        <v>1.92</v>
      </c>
      <c r="AV420" s="6">
        <v>1.26</v>
      </c>
      <c r="AW420" s="6">
        <v>254.5</v>
      </c>
      <c r="AX420" s="6">
        <v>61.68</v>
      </c>
      <c r="AY420" s="6">
        <v>263.74</v>
      </c>
      <c r="AZ420" s="6">
        <v>0.1</v>
      </c>
      <c r="BA420" s="6">
        <v>16.399999999999999</v>
      </c>
    </row>
    <row r="421" spans="1:53" x14ac:dyDescent="0.3">
      <c r="A421" s="6">
        <v>770575153</v>
      </c>
      <c r="B421" s="6">
        <v>969693</v>
      </c>
      <c r="C421" s="6">
        <v>3762152</v>
      </c>
      <c r="D421" s="6">
        <v>8916</v>
      </c>
      <c r="E421" s="6" t="s">
        <v>101</v>
      </c>
      <c r="F421" s="6">
        <v>57385</v>
      </c>
      <c r="G421" s="6" t="s">
        <v>175</v>
      </c>
      <c r="H421" s="10">
        <v>45790</v>
      </c>
      <c r="I421" s="10">
        <v>45790</v>
      </c>
      <c r="J421" s="4">
        <v>45790.625</v>
      </c>
      <c r="K421" s="4">
        <v>45790.972662037035</v>
      </c>
      <c r="L421" s="11">
        <v>45790.944884259261</v>
      </c>
      <c r="M421" s="10">
        <v>45790</v>
      </c>
      <c r="N421" s="6" t="s">
        <v>200</v>
      </c>
      <c r="O421" t="s">
        <v>275</v>
      </c>
      <c r="P421" s="6" t="s">
        <v>134</v>
      </c>
      <c r="Q421" t="s">
        <v>248</v>
      </c>
      <c r="R421" t="s">
        <v>73</v>
      </c>
      <c r="S421" s="6">
        <v>796994</v>
      </c>
      <c r="T421" s="6" t="s">
        <v>111</v>
      </c>
      <c r="U421">
        <v>367</v>
      </c>
      <c r="V421" s="6">
        <v>14</v>
      </c>
      <c r="W421" s="6">
        <v>24.6</v>
      </c>
      <c r="X421" s="6">
        <v>356.5</v>
      </c>
      <c r="Y421" s="6">
        <v>395.1</v>
      </c>
      <c r="Z421" s="6" t="s">
        <v>63</v>
      </c>
      <c r="AA421" t="s">
        <v>360</v>
      </c>
      <c r="AB421" s="6" t="s">
        <v>90</v>
      </c>
      <c r="AC421" t="s">
        <v>66</v>
      </c>
      <c r="AD421" t="s">
        <v>67</v>
      </c>
      <c r="AE421">
        <v>-40</v>
      </c>
      <c r="AF421">
        <v>0</v>
      </c>
      <c r="AG421">
        <v>0</v>
      </c>
      <c r="AH421" s="6">
        <v>52.4</v>
      </c>
      <c r="AI421" s="6">
        <v>0</v>
      </c>
      <c r="AJ421" s="6">
        <v>0.75900000000000001</v>
      </c>
      <c r="AK421" s="6">
        <v>0.48099999999999998</v>
      </c>
      <c r="AL421" s="8">
        <v>9573.99</v>
      </c>
      <c r="AM421" s="6" t="s">
        <v>114</v>
      </c>
      <c r="AN421" s="6">
        <v>1</v>
      </c>
      <c r="AO421" s="6">
        <v>1</v>
      </c>
      <c r="AP421" s="6">
        <v>0</v>
      </c>
      <c r="AQ421" s="6">
        <v>1</v>
      </c>
      <c r="AR421" s="6">
        <v>0</v>
      </c>
      <c r="AS421" s="6">
        <v>1</v>
      </c>
      <c r="AT421" s="6">
        <v>0</v>
      </c>
      <c r="AU421" s="6">
        <v>2.13</v>
      </c>
      <c r="AV421" s="6">
        <v>1.24</v>
      </c>
      <c r="AW421" s="6">
        <v>258.06</v>
      </c>
      <c r="AX421" s="6">
        <v>58.95</v>
      </c>
      <c r="AY421" s="6">
        <v>267.47000000000003</v>
      </c>
      <c r="AZ421" s="6">
        <v>28.3</v>
      </c>
      <c r="BA421" s="6">
        <v>49.1</v>
      </c>
    </row>
    <row r="422" spans="1:53" x14ac:dyDescent="0.3">
      <c r="A422" s="6">
        <v>447042200</v>
      </c>
      <c r="B422" s="6">
        <v>542417</v>
      </c>
      <c r="C422" s="6">
        <v>1527021</v>
      </c>
      <c r="D422" s="6">
        <v>6051</v>
      </c>
      <c r="E422" s="6" t="s">
        <v>57</v>
      </c>
      <c r="F422" s="6">
        <v>56081</v>
      </c>
      <c r="G422" s="6" t="s">
        <v>77</v>
      </c>
      <c r="H422" s="10">
        <v>45925</v>
      </c>
      <c r="I422" s="10">
        <v>45925</v>
      </c>
      <c r="J422" s="4">
        <v>45925.322916666664</v>
      </c>
      <c r="K422" s="4">
        <v>45925.385520833333</v>
      </c>
      <c r="L422" s="11">
        <v>45925.354270833333</v>
      </c>
      <c r="M422" s="10">
        <v>45925</v>
      </c>
      <c r="N422" s="6" t="s">
        <v>176</v>
      </c>
      <c r="O422" t="s">
        <v>355</v>
      </c>
      <c r="P422" s="6" t="s">
        <v>132</v>
      </c>
      <c r="Q422" t="s">
        <v>328</v>
      </c>
      <c r="R422" t="s">
        <v>62</v>
      </c>
      <c r="S422" s="6">
        <v>727395</v>
      </c>
      <c r="T422" s="6" t="s">
        <v>3</v>
      </c>
      <c r="U422">
        <v>83</v>
      </c>
      <c r="V422" s="6">
        <v>45.2</v>
      </c>
      <c r="W422" s="6">
        <v>7.7</v>
      </c>
      <c r="X422" s="6">
        <v>85.4</v>
      </c>
      <c r="Y422" s="6">
        <v>138.30000000000001</v>
      </c>
      <c r="Z422" s="6" t="s">
        <v>112</v>
      </c>
      <c r="AA422" t="s">
        <v>558</v>
      </c>
      <c r="AB422" s="6" t="s">
        <v>97</v>
      </c>
      <c r="AC422" t="s">
        <v>137</v>
      </c>
      <c r="AD422" t="s">
        <v>67</v>
      </c>
      <c r="AE422">
        <v>-45</v>
      </c>
      <c r="AF422">
        <v>0</v>
      </c>
      <c r="AG422">
        <v>0</v>
      </c>
      <c r="AH422" s="6">
        <v>47.8</v>
      </c>
      <c r="AI422" s="6">
        <v>0</v>
      </c>
      <c r="AJ422" s="6">
        <v>0.72199999999999998</v>
      </c>
      <c r="AK422" s="6">
        <v>0.77</v>
      </c>
      <c r="AL422" s="8">
        <v>3445.89</v>
      </c>
      <c r="AM422" s="6" t="s">
        <v>68</v>
      </c>
      <c r="AN422" s="6">
        <v>1</v>
      </c>
      <c r="AO422" s="6">
        <v>1</v>
      </c>
      <c r="AP422" s="6">
        <v>0</v>
      </c>
      <c r="AQ422" s="6">
        <v>1</v>
      </c>
      <c r="AR422" s="6">
        <v>0</v>
      </c>
      <c r="AS422" s="6">
        <v>1</v>
      </c>
      <c r="AT422" s="6">
        <v>0</v>
      </c>
      <c r="AU422" s="6">
        <v>2.6</v>
      </c>
      <c r="AV422" s="6">
        <v>1.76</v>
      </c>
      <c r="AW422" s="6">
        <v>108.61</v>
      </c>
      <c r="AX422" s="6">
        <v>23.34</v>
      </c>
      <c r="AY422" s="6">
        <v>67.38</v>
      </c>
      <c r="AZ422" s="6">
        <v>27.6</v>
      </c>
      <c r="BA422" s="6">
        <v>32.299999999999997</v>
      </c>
    </row>
    <row r="423" spans="1:53" x14ac:dyDescent="0.3">
      <c r="A423" s="6">
        <v>773469560</v>
      </c>
      <c r="B423" s="6">
        <v>876646</v>
      </c>
      <c r="C423" s="6">
        <v>2191066</v>
      </c>
      <c r="D423" s="6">
        <v>1769</v>
      </c>
      <c r="E423" s="6" t="s">
        <v>84</v>
      </c>
      <c r="F423" s="6">
        <v>55484</v>
      </c>
      <c r="G423" s="6" t="s">
        <v>127</v>
      </c>
      <c r="H423" s="10">
        <v>45695</v>
      </c>
      <c r="I423" s="10">
        <v>45695</v>
      </c>
      <c r="J423" s="4">
        <v>45695.611111111109</v>
      </c>
      <c r="K423" s="4">
        <v>45695.769305555557</v>
      </c>
      <c r="L423" s="11">
        <v>45695.777638888889</v>
      </c>
      <c r="M423" s="10">
        <v>45695</v>
      </c>
      <c r="N423" s="6" t="s">
        <v>170</v>
      </c>
      <c r="O423" t="s">
        <v>189</v>
      </c>
      <c r="P423" s="6" t="s">
        <v>59</v>
      </c>
      <c r="Q423" t="s">
        <v>85</v>
      </c>
      <c r="R423" t="s">
        <v>62</v>
      </c>
      <c r="S423" s="6">
        <v>762371</v>
      </c>
      <c r="T423" s="6" t="s">
        <v>1</v>
      </c>
      <c r="U423">
        <v>152</v>
      </c>
      <c r="V423" s="6">
        <v>11.3</v>
      </c>
      <c r="W423" s="6">
        <v>9.5</v>
      </c>
      <c r="X423" s="6">
        <v>152.5</v>
      </c>
      <c r="Y423" s="6">
        <v>173.3</v>
      </c>
      <c r="Z423" s="6" t="s">
        <v>215</v>
      </c>
      <c r="AA423" t="s">
        <v>559</v>
      </c>
      <c r="AB423" s="6" t="s">
        <v>90</v>
      </c>
      <c r="AC423" t="s">
        <v>154</v>
      </c>
      <c r="AD423" t="s">
        <v>67</v>
      </c>
      <c r="AE423">
        <v>12</v>
      </c>
      <c r="AF423">
        <v>0</v>
      </c>
      <c r="AG423">
        <v>0</v>
      </c>
      <c r="AH423" s="6">
        <v>14.5</v>
      </c>
      <c r="AI423" s="6">
        <v>0</v>
      </c>
      <c r="AJ423" s="6">
        <v>0.90100000000000002</v>
      </c>
      <c r="AK423" s="6">
        <v>0.56299999999999994</v>
      </c>
      <c r="AL423" s="8">
        <v>20382.86</v>
      </c>
      <c r="AM423" s="6" t="s">
        <v>114</v>
      </c>
      <c r="AN423" s="6">
        <v>1</v>
      </c>
      <c r="AO423" s="6">
        <v>1</v>
      </c>
      <c r="AP423" s="6">
        <v>0</v>
      </c>
      <c r="AQ423" s="6">
        <v>1</v>
      </c>
      <c r="AR423" s="6">
        <v>0</v>
      </c>
      <c r="AS423" s="6">
        <v>1</v>
      </c>
      <c r="AT423" s="6">
        <v>0</v>
      </c>
      <c r="AU423" s="6">
        <v>2.66</v>
      </c>
      <c r="AV423" s="6">
        <v>1.75</v>
      </c>
      <c r="AW423" s="6">
        <v>136.28</v>
      </c>
      <c r="AX423" s="6">
        <v>20.49</v>
      </c>
      <c r="AY423" s="6">
        <v>97.73</v>
      </c>
      <c r="AZ423" s="6">
        <v>17.2</v>
      </c>
      <c r="BA423" s="6">
        <v>7.8</v>
      </c>
    </row>
    <row r="424" spans="1:53" x14ac:dyDescent="0.3">
      <c r="A424" s="6">
        <v>439451556</v>
      </c>
      <c r="B424" s="6">
        <v>688508</v>
      </c>
      <c r="C424" s="6">
        <v>8930103</v>
      </c>
      <c r="D424" s="6">
        <v>3047</v>
      </c>
      <c r="E424" s="6" t="s">
        <v>225</v>
      </c>
      <c r="F424" s="6">
        <v>53772</v>
      </c>
      <c r="G424" s="6" t="s">
        <v>115</v>
      </c>
      <c r="H424" s="10">
        <v>45946</v>
      </c>
      <c r="I424" s="10">
        <v>45946</v>
      </c>
      <c r="J424" s="4">
        <v>45946.625</v>
      </c>
      <c r="K424" s="4">
        <v>45946.718645833331</v>
      </c>
      <c r="L424" s="11">
        <v>45946.713784722226</v>
      </c>
      <c r="M424" s="10">
        <v>45946</v>
      </c>
      <c r="N424" s="6" t="s">
        <v>134</v>
      </c>
      <c r="O424" t="s">
        <v>172</v>
      </c>
      <c r="P424" s="6" t="s">
        <v>200</v>
      </c>
      <c r="Q424" t="s">
        <v>338</v>
      </c>
      <c r="R424" t="s">
        <v>62</v>
      </c>
      <c r="S424" s="6">
        <v>727770</v>
      </c>
      <c r="T424" s="6" t="s">
        <v>3</v>
      </c>
      <c r="U424">
        <v>43</v>
      </c>
      <c r="V424" s="6">
        <v>3.7</v>
      </c>
      <c r="W424" s="6">
        <v>23.2</v>
      </c>
      <c r="X424" s="6">
        <v>40.799999999999997</v>
      </c>
      <c r="Y424" s="6">
        <v>67.7</v>
      </c>
      <c r="Z424" s="6" t="s">
        <v>80</v>
      </c>
      <c r="AA424" t="s">
        <v>560</v>
      </c>
      <c r="AB424" s="6" t="s">
        <v>90</v>
      </c>
      <c r="AC424" t="s">
        <v>137</v>
      </c>
      <c r="AD424" t="s">
        <v>67</v>
      </c>
      <c r="AE424">
        <v>-7</v>
      </c>
      <c r="AF424">
        <v>0</v>
      </c>
      <c r="AG424">
        <v>0</v>
      </c>
      <c r="AH424" s="6">
        <v>65.2</v>
      </c>
      <c r="AI424" s="6">
        <v>0</v>
      </c>
      <c r="AJ424" s="6">
        <v>0.59</v>
      </c>
      <c r="AK424" s="6">
        <v>0.58799999999999997</v>
      </c>
      <c r="AL424" s="8">
        <v>16057.94</v>
      </c>
      <c r="AM424" s="6" t="s">
        <v>114</v>
      </c>
      <c r="AN424" s="6">
        <v>1</v>
      </c>
      <c r="AO424" s="6">
        <v>1</v>
      </c>
      <c r="AP424" s="6">
        <v>0</v>
      </c>
      <c r="AQ424" s="6">
        <v>1</v>
      </c>
      <c r="AR424" s="6">
        <v>0</v>
      </c>
      <c r="AS424" s="6">
        <v>1</v>
      </c>
      <c r="AT424" s="6">
        <v>0</v>
      </c>
      <c r="AU424" s="6">
        <v>1.89</v>
      </c>
      <c r="AV424" s="6">
        <v>1.4</v>
      </c>
      <c r="AW424" s="6">
        <v>49.48</v>
      </c>
      <c r="AX424" s="6">
        <v>7.74</v>
      </c>
      <c r="AY424" s="6">
        <v>37.96</v>
      </c>
      <c r="AZ424" s="6">
        <v>4</v>
      </c>
      <c r="BA424" s="6">
        <v>52.6</v>
      </c>
    </row>
    <row r="425" spans="1:53" x14ac:dyDescent="0.3">
      <c r="A425" s="6">
        <v>262089272</v>
      </c>
      <c r="B425" s="6">
        <v>249811</v>
      </c>
      <c r="C425" s="6">
        <v>2795765</v>
      </c>
      <c r="D425" s="6">
        <v>8392</v>
      </c>
      <c r="E425" s="6" t="s">
        <v>92</v>
      </c>
      <c r="F425" s="6">
        <v>53916</v>
      </c>
      <c r="G425" s="6" t="s">
        <v>149</v>
      </c>
      <c r="H425" s="10">
        <v>45852</v>
      </c>
      <c r="I425" s="10">
        <v>45852</v>
      </c>
      <c r="J425" s="4">
        <v>45852.319444444445</v>
      </c>
      <c r="K425" s="4">
        <v>45852.800706018519</v>
      </c>
      <c r="L425" s="11">
        <v>45852.78056712963</v>
      </c>
      <c r="M425" s="10">
        <v>45852</v>
      </c>
      <c r="N425" s="6" t="s">
        <v>103</v>
      </c>
      <c r="O425" t="s">
        <v>232</v>
      </c>
      <c r="P425" s="6" t="s">
        <v>78</v>
      </c>
      <c r="Q425" t="s">
        <v>222</v>
      </c>
      <c r="R425" t="s">
        <v>88</v>
      </c>
      <c r="S425" s="6">
        <v>717677</v>
      </c>
      <c r="T425" s="6" t="s">
        <v>111</v>
      </c>
      <c r="U425">
        <v>407</v>
      </c>
      <c r="V425" s="6">
        <v>41.1</v>
      </c>
      <c r="W425" s="6">
        <v>12.5</v>
      </c>
      <c r="X425" s="6">
        <v>409.6</v>
      </c>
      <c r="Y425" s="6">
        <v>463.2</v>
      </c>
      <c r="Z425" s="6" t="s">
        <v>63</v>
      </c>
      <c r="AA425" t="s">
        <v>561</v>
      </c>
      <c r="AB425" s="6" t="s">
        <v>97</v>
      </c>
      <c r="AC425" t="s">
        <v>83</v>
      </c>
      <c r="AD425" t="s">
        <v>67</v>
      </c>
      <c r="AE425">
        <v>-29</v>
      </c>
      <c r="AF425">
        <v>0</v>
      </c>
      <c r="AG425">
        <v>0</v>
      </c>
      <c r="AH425" s="6">
        <v>27.6</v>
      </c>
      <c r="AI425" s="6">
        <v>0</v>
      </c>
      <c r="AJ425" s="6">
        <v>0.495</v>
      </c>
      <c r="AK425" s="6">
        <v>0.29299999999999998</v>
      </c>
      <c r="AL425" s="8">
        <v>12685.8</v>
      </c>
      <c r="AM425" s="6" t="s">
        <v>114</v>
      </c>
      <c r="AN425" s="6">
        <v>1</v>
      </c>
      <c r="AO425" s="6">
        <v>1</v>
      </c>
      <c r="AP425" s="6">
        <v>0</v>
      </c>
      <c r="AQ425" s="6">
        <v>1</v>
      </c>
      <c r="AR425" s="6">
        <v>0</v>
      </c>
      <c r="AS425" s="6">
        <v>1</v>
      </c>
      <c r="AT425" s="6">
        <v>0</v>
      </c>
      <c r="AU425" s="6">
        <v>2.1800000000000002</v>
      </c>
      <c r="AV425" s="6">
        <v>1.61</v>
      </c>
      <c r="AW425" s="6">
        <v>330.5</v>
      </c>
      <c r="AX425" s="6">
        <v>75.7</v>
      </c>
      <c r="AY425" s="6">
        <v>246.7</v>
      </c>
      <c r="AZ425" s="6">
        <v>11.1</v>
      </c>
      <c r="BA425" s="6">
        <v>7.9</v>
      </c>
    </row>
    <row r="426" spans="1:53" x14ac:dyDescent="0.3">
      <c r="A426" s="6">
        <v>572191734</v>
      </c>
      <c r="B426" s="6">
        <v>903035</v>
      </c>
      <c r="C426" s="6">
        <v>7110622</v>
      </c>
      <c r="D426" s="6">
        <v>3200</v>
      </c>
      <c r="E426" s="6" t="s">
        <v>92</v>
      </c>
      <c r="F426" s="6">
        <v>54018</v>
      </c>
      <c r="G426" s="6" t="s">
        <v>98</v>
      </c>
      <c r="H426" s="10">
        <v>45764</v>
      </c>
      <c r="I426" s="10">
        <v>45764</v>
      </c>
      <c r="J426" s="4">
        <v>45764.572916666664</v>
      </c>
      <c r="K426" s="4">
        <v>45764.729189814818</v>
      </c>
      <c r="L426" s="11">
        <v>45764.699328703704</v>
      </c>
      <c r="M426" s="10">
        <v>45764</v>
      </c>
      <c r="N426" s="6" t="s">
        <v>121</v>
      </c>
      <c r="O426" t="s">
        <v>143</v>
      </c>
      <c r="P426" s="6" t="s">
        <v>109</v>
      </c>
      <c r="Q426" t="s">
        <v>198</v>
      </c>
      <c r="R426" t="s">
        <v>88</v>
      </c>
      <c r="S426" s="6">
        <v>726712</v>
      </c>
      <c r="T426" s="6" t="s">
        <v>1</v>
      </c>
      <c r="U426">
        <v>173</v>
      </c>
      <c r="V426" s="6">
        <v>12.9</v>
      </c>
      <c r="W426" s="6">
        <v>46.9</v>
      </c>
      <c r="X426" s="6">
        <v>171.3</v>
      </c>
      <c r="Y426" s="6">
        <v>231.1</v>
      </c>
      <c r="Z426" s="6" t="s">
        <v>2</v>
      </c>
      <c r="AA426" t="s">
        <v>426</v>
      </c>
      <c r="AB426" s="6" t="s">
        <v>75</v>
      </c>
      <c r="AC426" t="s">
        <v>137</v>
      </c>
      <c r="AD426" t="s">
        <v>67</v>
      </c>
      <c r="AE426">
        <v>-43</v>
      </c>
      <c r="AF426">
        <v>0</v>
      </c>
      <c r="AG426">
        <v>0</v>
      </c>
      <c r="AH426" s="6">
        <v>56.1</v>
      </c>
      <c r="AI426" s="6">
        <v>0</v>
      </c>
      <c r="AJ426" s="6">
        <v>0.57299999999999995</v>
      </c>
      <c r="AK426" s="6">
        <v>0.54500000000000004</v>
      </c>
      <c r="AL426" s="8">
        <v>2379.67</v>
      </c>
      <c r="AM426" s="6" t="s">
        <v>68</v>
      </c>
      <c r="AN426" s="6">
        <v>1</v>
      </c>
      <c r="AO426" s="6">
        <v>1</v>
      </c>
      <c r="AP426" s="6">
        <v>0</v>
      </c>
      <c r="AQ426" s="6">
        <v>1</v>
      </c>
      <c r="AR426" s="6">
        <v>0</v>
      </c>
      <c r="AS426" s="6">
        <v>1</v>
      </c>
      <c r="AT426" s="6">
        <v>0</v>
      </c>
      <c r="AU426" s="6">
        <v>2.31</v>
      </c>
      <c r="AV426" s="6">
        <v>1.36</v>
      </c>
      <c r="AW426" s="6">
        <v>169.22</v>
      </c>
      <c r="AX426" s="6">
        <v>25.09</v>
      </c>
      <c r="AY426" s="6">
        <v>155.18</v>
      </c>
      <c r="AZ426" s="6">
        <v>26.8</v>
      </c>
      <c r="BA426" s="6">
        <v>9.8000000000000007</v>
      </c>
    </row>
    <row r="427" spans="1:53" x14ac:dyDescent="0.3">
      <c r="A427" s="6">
        <v>173321814</v>
      </c>
      <c r="B427" s="6">
        <v>158655</v>
      </c>
      <c r="C427" s="6">
        <v>4576135</v>
      </c>
      <c r="D427" s="6">
        <v>9755</v>
      </c>
      <c r="E427" s="6" t="s">
        <v>84</v>
      </c>
      <c r="F427" s="6">
        <v>51329</v>
      </c>
      <c r="G427" s="6" t="s">
        <v>207</v>
      </c>
      <c r="H427" s="10">
        <v>45897</v>
      </c>
      <c r="I427" s="10">
        <v>45897</v>
      </c>
      <c r="J427" s="4">
        <v>45897.402777777781</v>
      </c>
      <c r="K427" s="4">
        <v>45897.708854166667</v>
      </c>
      <c r="L427" s="11">
        <v>45897.688715277778</v>
      </c>
      <c r="M427" s="10">
        <v>45897</v>
      </c>
      <c r="N427" s="6" t="s">
        <v>59</v>
      </c>
      <c r="O427" t="s">
        <v>167</v>
      </c>
      <c r="P427" s="6" t="s">
        <v>200</v>
      </c>
      <c r="Q427" t="s">
        <v>171</v>
      </c>
      <c r="R427" t="s">
        <v>62</v>
      </c>
      <c r="S427" s="6">
        <v>771620</v>
      </c>
      <c r="T427" s="6" t="s">
        <v>111</v>
      </c>
      <c r="U427">
        <v>328</v>
      </c>
      <c r="V427" s="6">
        <v>69.099999999999994</v>
      </c>
      <c r="W427" s="6">
        <v>13.7</v>
      </c>
      <c r="X427" s="6">
        <v>326</v>
      </c>
      <c r="Y427" s="6">
        <v>408.8</v>
      </c>
      <c r="Z427" s="6" t="s">
        <v>63</v>
      </c>
      <c r="AA427" t="s">
        <v>562</v>
      </c>
      <c r="AB427" s="6" t="s">
        <v>97</v>
      </c>
      <c r="AC427" t="s">
        <v>137</v>
      </c>
      <c r="AD427" t="s">
        <v>67</v>
      </c>
      <c r="AE427">
        <v>-29</v>
      </c>
      <c r="AF427">
        <v>0</v>
      </c>
      <c r="AG427">
        <v>0</v>
      </c>
      <c r="AH427" s="6">
        <v>34</v>
      </c>
      <c r="AI427" s="6">
        <v>0</v>
      </c>
      <c r="AJ427" s="6">
        <v>0.72</v>
      </c>
      <c r="AK427" s="6">
        <v>0.56799999999999995</v>
      </c>
      <c r="AL427" s="8">
        <v>80533.460000000006</v>
      </c>
      <c r="AM427" s="6" t="s">
        <v>155</v>
      </c>
      <c r="AN427" s="6">
        <v>1</v>
      </c>
      <c r="AO427" s="6">
        <v>1</v>
      </c>
      <c r="AP427" s="6">
        <v>0</v>
      </c>
      <c r="AQ427" s="6">
        <v>1</v>
      </c>
      <c r="AR427" s="6">
        <v>0</v>
      </c>
      <c r="AS427" s="6">
        <v>1</v>
      </c>
      <c r="AT427" s="6">
        <v>0</v>
      </c>
      <c r="AU427" s="6">
        <v>2.4500000000000002</v>
      </c>
      <c r="AV427" s="6">
        <v>1.48</v>
      </c>
      <c r="AW427" s="6">
        <v>350.97</v>
      </c>
      <c r="AX427" s="6">
        <v>55.23</v>
      </c>
      <c r="AY427" s="6">
        <v>247.25</v>
      </c>
      <c r="AZ427" s="6">
        <v>12.9</v>
      </c>
      <c r="BA427" s="6">
        <v>37.299999999999997</v>
      </c>
    </row>
    <row r="428" spans="1:53" x14ac:dyDescent="0.3">
      <c r="A428" s="6">
        <v>603500181</v>
      </c>
      <c r="B428" s="6">
        <v>217301</v>
      </c>
      <c r="C428" s="6">
        <v>5453786</v>
      </c>
      <c r="D428" s="6">
        <v>5548</v>
      </c>
      <c r="E428" s="6" t="s">
        <v>142</v>
      </c>
      <c r="F428" s="6">
        <v>54114</v>
      </c>
      <c r="G428" s="6" t="s">
        <v>77</v>
      </c>
      <c r="H428" s="10">
        <v>45892</v>
      </c>
      <c r="I428" s="10">
        <v>45892</v>
      </c>
      <c r="J428" s="4">
        <v>45892.378472222219</v>
      </c>
      <c r="K428" s="4">
        <v>45892.897650462961</v>
      </c>
      <c r="L428" s="11">
        <v>45892.866400462961</v>
      </c>
      <c r="M428" s="10">
        <v>45892</v>
      </c>
      <c r="N428" s="6" t="s">
        <v>134</v>
      </c>
      <c r="O428" t="s">
        <v>282</v>
      </c>
      <c r="P428" s="6" t="s">
        <v>134</v>
      </c>
      <c r="Q428" t="s">
        <v>278</v>
      </c>
      <c r="R428" t="s">
        <v>73</v>
      </c>
      <c r="S428" s="6">
        <v>752322</v>
      </c>
      <c r="T428" s="6" t="s">
        <v>140</v>
      </c>
      <c r="U428">
        <v>629</v>
      </c>
      <c r="V428" s="6">
        <v>20.399999999999999</v>
      </c>
      <c r="W428" s="6">
        <v>26.2</v>
      </c>
      <c r="X428" s="6">
        <v>621.4</v>
      </c>
      <c r="Y428" s="6">
        <v>668</v>
      </c>
      <c r="Z428" s="6" t="s">
        <v>112</v>
      </c>
      <c r="AA428" t="s">
        <v>563</v>
      </c>
      <c r="AB428" s="6" t="s">
        <v>97</v>
      </c>
      <c r="AC428" t="s">
        <v>76</v>
      </c>
      <c r="AD428" t="s">
        <v>67</v>
      </c>
      <c r="AE428">
        <v>-45</v>
      </c>
      <c r="AF428">
        <v>0</v>
      </c>
      <c r="AG428">
        <v>0</v>
      </c>
      <c r="AH428" s="6">
        <v>28.7</v>
      </c>
      <c r="AI428" s="6">
        <v>0</v>
      </c>
      <c r="AJ428" s="6">
        <v>0.69</v>
      </c>
      <c r="AK428" s="6">
        <v>0.8</v>
      </c>
      <c r="AL428" s="8">
        <v>11612.04</v>
      </c>
      <c r="AM428" s="6" t="s">
        <v>114</v>
      </c>
      <c r="AN428" s="6">
        <v>1</v>
      </c>
      <c r="AO428" s="6">
        <v>1</v>
      </c>
      <c r="AP428" s="6">
        <v>0</v>
      </c>
      <c r="AQ428" s="6">
        <v>1</v>
      </c>
      <c r="AR428" s="6">
        <v>0</v>
      </c>
      <c r="AS428" s="6">
        <v>1</v>
      </c>
      <c r="AT428" s="6">
        <v>0</v>
      </c>
      <c r="AU428" s="6">
        <v>2.16</v>
      </c>
      <c r="AV428" s="6">
        <v>1.68</v>
      </c>
      <c r="AW428" s="6">
        <v>485.85</v>
      </c>
      <c r="AX428" s="6">
        <v>141.1</v>
      </c>
      <c r="AY428" s="6">
        <v>454.71</v>
      </c>
      <c r="AZ428" s="6">
        <v>13</v>
      </c>
      <c r="BA428" s="6">
        <v>48.1</v>
      </c>
    </row>
    <row r="429" spans="1:53" x14ac:dyDescent="0.3">
      <c r="A429" s="6">
        <v>574817290</v>
      </c>
      <c r="B429" s="6">
        <v>864544</v>
      </c>
      <c r="C429" s="6">
        <v>5374922</v>
      </c>
      <c r="D429" s="6">
        <v>8385</v>
      </c>
      <c r="E429" s="6" t="s">
        <v>84</v>
      </c>
      <c r="F429" s="6">
        <v>53367</v>
      </c>
      <c r="G429" s="6" t="s">
        <v>146</v>
      </c>
      <c r="H429" s="10">
        <v>45734</v>
      </c>
      <c r="I429" s="10">
        <v>45734</v>
      </c>
      <c r="J429" s="4">
        <v>45734.645833333336</v>
      </c>
      <c r="K429" s="4">
        <v>45734.73809027778</v>
      </c>
      <c r="L429" s="11">
        <v>45734.716562499998</v>
      </c>
      <c r="M429" s="10">
        <v>45734</v>
      </c>
      <c r="N429" s="6" t="s">
        <v>86</v>
      </c>
      <c r="O429" t="s">
        <v>108</v>
      </c>
      <c r="P429" s="6" t="s">
        <v>93</v>
      </c>
      <c r="Q429" t="s">
        <v>95</v>
      </c>
      <c r="R429" t="s">
        <v>73</v>
      </c>
      <c r="S429" s="6">
        <v>704898</v>
      </c>
      <c r="T429" s="6" t="s">
        <v>1</v>
      </c>
      <c r="U429">
        <v>112</v>
      </c>
      <c r="V429" s="6">
        <v>17</v>
      </c>
      <c r="W429" s="6">
        <v>15.3</v>
      </c>
      <c r="X429" s="6">
        <v>114.4</v>
      </c>
      <c r="Y429" s="6">
        <v>146.69999999999999</v>
      </c>
      <c r="Z429" s="6" t="s">
        <v>63</v>
      </c>
      <c r="AA429" t="s">
        <v>359</v>
      </c>
      <c r="AB429" s="6" t="s">
        <v>90</v>
      </c>
      <c r="AC429" t="s">
        <v>66</v>
      </c>
      <c r="AD429" t="s">
        <v>67</v>
      </c>
      <c r="AE429">
        <v>-31</v>
      </c>
      <c r="AF429">
        <v>0</v>
      </c>
      <c r="AG429">
        <v>0</v>
      </c>
      <c r="AH429" s="6">
        <v>64.7</v>
      </c>
      <c r="AI429" s="6">
        <v>0</v>
      </c>
      <c r="AJ429" s="6">
        <v>0.65300000000000002</v>
      </c>
      <c r="AK429" s="6">
        <v>0.85</v>
      </c>
      <c r="AL429" s="8">
        <v>3594.36</v>
      </c>
      <c r="AM429" s="6" t="s">
        <v>68</v>
      </c>
      <c r="AN429" s="6">
        <v>1</v>
      </c>
      <c r="AO429" s="6">
        <v>1</v>
      </c>
      <c r="AP429" s="6">
        <v>0</v>
      </c>
      <c r="AQ429" s="6">
        <v>1</v>
      </c>
      <c r="AR429" s="6">
        <v>0</v>
      </c>
      <c r="AS429" s="6">
        <v>1</v>
      </c>
      <c r="AT429" s="6">
        <v>0</v>
      </c>
      <c r="AU429" s="6">
        <v>2.38</v>
      </c>
      <c r="AV429" s="6">
        <v>1.79</v>
      </c>
      <c r="AW429" s="6">
        <v>131.5</v>
      </c>
      <c r="AX429" s="6">
        <v>30.09</v>
      </c>
      <c r="AY429" s="6">
        <v>91.59</v>
      </c>
      <c r="AZ429" s="6">
        <v>24.5</v>
      </c>
      <c r="BA429" s="6">
        <v>51</v>
      </c>
    </row>
    <row r="430" spans="1:53" x14ac:dyDescent="0.3">
      <c r="A430" s="6">
        <v>777944609</v>
      </c>
      <c r="B430" s="6">
        <v>855731</v>
      </c>
      <c r="C430" s="6">
        <v>2724590</v>
      </c>
      <c r="D430" s="6">
        <v>1202</v>
      </c>
      <c r="E430" s="6" t="s">
        <v>211</v>
      </c>
      <c r="F430" s="6">
        <v>58095</v>
      </c>
      <c r="G430" s="6" t="s">
        <v>235</v>
      </c>
      <c r="H430" s="10">
        <v>45669</v>
      </c>
      <c r="I430" s="10">
        <v>45669</v>
      </c>
      <c r="J430" s="4">
        <v>45669.402777777781</v>
      </c>
      <c r="K430" s="4">
        <v>45669.685011574074</v>
      </c>
      <c r="L430" s="11">
        <v>45669.703761574077</v>
      </c>
      <c r="M430" s="10">
        <v>45669</v>
      </c>
      <c r="N430" s="6" t="s">
        <v>59</v>
      </c>
      <c r="O430" t="s">
        <v>85</v>
      </c>
      <c r="P430" s="6" t="s">
        <v>176</v>
      </c>
      <c r="Q430" t="s">
        <v>292</v>
      </c>
      <c r="R430" t="s">
        <v>88</v>
      </c>
      <c r="S430" s="6">
        <v>772569</v>
      </c>
      <c r="T430" s="6" t="s">
        <v>1</v>
      </c>
      <c r="U430">
        <v>256</v>
      </c>
      <c r="V430" s="6">
        <v>4.4000000000000004</v>
      </c>
      <c r="W430" s="6">
        <v>16.8</v>
      </c>
      <c r="X430" s="6">
        <v>248.2</v>
      </c>
      <c r="Y430" s="6">
        <v>269.39999999999998</v>
      </c>
      <c r="Z430" s="6" t="s">
        <v>63</v>
      </c>
      <c r="AA430" t="s">
        <v>564</v>
      </c>
      <c r="AB430" s="6" t="s">
        <v>97</v>
      </c>
      <c r="AC430" t="s">
        <v>91</v>
      </c>
      <c r="AD430" t="s">
        <v>67</v>
      </c>
      <c r="AE430">
        <v>27</v>
      </c>
      <c r="AF430">
        <v>0</v>
      </c>
      <c r="AG430">
        <v>0</v>
      </c>
      <c r="AH430" s="6">
        <v>49.8</v>
      </c>
      <c r="AI430" s="6">
        <v>0</v>
      </c>
      <c r="AJ430" s="6">
        <v>0.68899999999999995</v>
      </c>
      <c r="AK430" s="6">
        <v>0.61899999999999999</v>
      </c>
      <c r="AL430" s="8">
        <v>18263.07</v>
      </c>
      <c r="AM430" s="6" t="s">
        <v>114</v>
      </c>
      <c r="AN430" s="6">
        <v>1</v>
      </c>
      <c r="AO430" s="6">
        <v>0</v>
      </c>
      <c r="AP430" s="6">
        <v>1</v>
      </c>
      <c r="AQ430" s="6">
        <v>0</v>
      </c>
      <c r="AR430" s="6">
        <v>1</v>
      </c>
      <c r="AS430" s="6">
        <v>0</v>
      </c>
      <c r="AT430" s="6">
        <v>1</v>
      </c>
      <c r="AU430" s="6">
        <v>1.94</v>
      </c>
      <c r="AV430" s="6">
        <v>1.29</v>
      </c>
      <c r="AW430" s="6">
        <v>176.16</v>
      </c>
      <c r="AX430" s="6">
        <v>53.82</v>
      </c>
      <c r="AY430" s="6">
        <v>167.5</v>
      </c>
      <c r="AZ430" s="6">
        <v>32.200000000000003</v>
      </c>
      <c r="BA430" s="6">
        <v>65.2</v>
      </c>
    </row>
    <row r="431" spans="1:53" x14ac:dyDescent="0.3">
      <c r="A431" s="6">
        <v>425150964</v>
      </c>
      <c r="B431" s="6">
        <v>379786</v>
      </c>
      <c r="C431" s="6">
        <v>3726327</v>
      </c>
      <c r="D431" s="6">
        <v>9004</v>
      </c>
      <c r="E431" s="6" t="s">
        <v>126</v>
      </c>
      <c r="F431" s="6">
        <v>55141</v>
      </c>
      <c r="G431" s="6" t="s">
        <v>235</v>
      </c>
      <c r="H431" s="10">
        <v>45816</v>
      </c>
      <c r="I431" s="10">
        <v>45816</v>
      </c>
      <c r="J431" s="4">
        <v>45816.628472222219</v>
      </c>
      <c r="K431" s="4">
        <v>45816.846979166665</v>
      </c>
      <c r="L431" s="11">
        <v>45816.837951388887</v>
      </c>
      <c r="M431" s="10">
        <v>45816</v>
      </c>
      <c r="N431" s="6" t="s">
        <v>170</v>
      </c>
      <c r="O431" t="s">
        <v>189</v>
      </c>
      <c r="P431" s="6" t="s">
        <v>176</v>
      </c>
      <c r="Q431" t="s">
        <v>316</v>
      </c>
      <c r="R431" t="s">
        <v>88</v>
      </c>
      <c r="S431" s="6">
        <v>707148</v>
      </c>
      <c r="T431" s="6" t="s">
        <v>1</v>
      </c>
      <c r="U431">
        <v>210</v>
      </c>
      <c r="V431" s="6">
        <v>24.7</v>
      </c>
      <c r="W431" s="6">
        <v>37.200000000000003</v>
      </c>
      <c r="X431" s="6">
        <v>205.9</v>
      </c>
      <c r="Y431" s="6">
        <v>267.8</v>
      </c>
      <c r="Z431" s="6" t="s">
        <v>63</v>
      </c>
      <c r="AA431" t="s">
        <v>496</v>
      </c>
      <c r="AB431" s="6" t="s">
        <v>90</v>
      </c>
      <c r="AC431" t="s">
        <v>91</v>
      </c>
      <c r="AD431" t="s">
        <v>67</v>
      </c>
      <c r="AE431">
        <v>-13</v>
      </c>
      <c r="AF431">
        <v>0</v>
      </c>
      <c r="AG431">
        <v>0</v>
      </c>
      <c r="AH431" s="6">
        <v>48.7</v>
      </c>
      <c r="AI431" s="6">
        <v>0</v>
      </c>
      <c r="AJ431" s="6">
        <v>0.78300000000000003</v>
      </c>
      <c r="AK431" s="6">
        <v>0.58699999999999997</v>
      </c>
      <c r="AL431" s="8">
        <v>4979.45</v>
      </c>
      <c r="AM431" s="6" t="s">
        <v>68</v>
      </c>
      <c r="AN431" s="6">
        <v>1</v>
      </c>
      <c r="AO431" s="6">
        <v>1</v>
      </c>
      <c r="AP431" s="6">
        <v>0</v>
      </c>
      <c r="AQ431" s="6">
        <v>1</v>
      </c>
      <c r="AR431" s="6">
        <v>0</v>
      </c>
      <c r="AS431" s="6">
        <v>1</v>
      </c>
      <c r="AT431" s="6">
        <v>0</v>
      </c>
      <c r="AU431" s="6">
        <v>2.21</v>
      </c>
      <c r="AV431" s="6">
        <v>1.36</v>
      </c>
      <c r="AW431" s="6">
        <v>240.88</v>
      </c>
      <c r="AX431" s="6">
        <v>43.08</v>
      </c>
      <c r="AY431" s="6">
        <v>153.22999999999999</v>
      </c>
      <c r="AZ431" s="6">
        <v>55.8</v>
      </c>
      <c r="BA431" s="6">
        <v>41.4</v>
      </c>
    </row>
    <row r="432" spans="1:53" x14ac:dyDescent="0.3">
      <c r="A432" s="6">
        <v>955052486</v>
      </c>
      <c r="B432" s="6">
        <v>207175</v>
      </c>
      <c r="C432" s="6">
        <v>8077999</v>
      </c>
      <c r="D432" s="6">
        <v>4152</v>
      </c>
      <c r="E432" s="6" t="s">
        <v>142</v>
      </c>
      <c r="F432" s="6">
        <v>53951</v>
      </c>
      <c r="G432" s="6" t="s">
        <v>115</v>
      </c>
      <c r="H432" s="10">
        <v>45865</v>
      </c>
      <c r="I432" s="10">
        <v>45865</v>
      </c>
      <c r="J432" s="4">
        <v>45865.909722222219</v>
      </c>
      <c r="K432" s="4">
        <v>45866.06386574074</v>
      </c>
      <c r="L432" s="11">
        <v>45866.041643518518</v>
      </c>
      <c r="M432" s="10">
        <v>45866</v>
      </c>
      <c r="N432" s="6" t="s">
        <v>132</v>
      </c>
      <c r="O432" t="s">
        <v>186</v>
      </c>
      <c r="P432" s="6" t="s">
        <v>78</v>
      </c>
      <c r="Q432" t="s">
        <v>166</v>
      </c>
      <c r="R432" t="s">
        <v>88</v>
      </c>
      <c r="S432" s="6">
        <v>751495</v>
      </c>
      <c r="T432" s="6" t="s">
        <v>1</v>
      </c>
      <c r="U432">
        <v>125</v>
      </c>
      <c r="V432" s="6">
        <v>36.299999999999997</v>
      </c>
      <c r="W432" s="6">
        <v>28</v>
      </c>
      <c r="X432" s="6">
        <v>127.7</v>
      </c>
      <c r="Y432" s="6">
        <v>192</v>
      </c>
      <c r="Z432" s="6" t="s">
        <v>112</v>
      </c>
      <c r="AA432" t="s">
        <v>565</v>
      </c>
      <c r="AB432" s="6" t="s">
        <v>65</v>
      </c>
      <c r="AC432" t="s">
        <v>91</v>
      </c>
      <c r="AD432" t="s">
        <v>67</v>
      </c>
      <c r="AE432">
        <v>-32</v>
      </c>
      <c r="AF432">
        <v>0</v>
      </c>
      <c r="AG432">
        <v>0</v>
      </c>
      <c r="AH432" s="6">
        <v>83.1</v>
      </c>
      <c r="AI432" s="6">
        <v>0</v>
      </c>
      <c r="AJ432" s="6">
        <v>0.749</v>
      </c>
      <c r="AK432" s="6">
        <v>0.82799999999999996</v>
      </c>
      <c r="AL432" s="8">
        <v>5294.25</v>
      </c>
      <c r="AM432" s="6" t="s">
        <v>68</v>
      </c>
      <c r="AN432" s="6">
        <v>1</v>
      </c>
      <c r="AO432" s="6">
        <v>1</v>
      </c>
      <c r="AP432" s="6">
        <v>0</v>
      </c>
      <c r="AQ432" s="6">
        <v>1</v>
      </c>
      <c r="AR432" s="6">
        <v>0</v>
      </c>
      <c r="AS432" s="6">
        <v>1</v>
      </c>
      <c r="AT432" s="6">
        <v>0</v>
      </c>
      <c r="AU432" s="6">
        <v>2.4</v>
      </c>
      <c r="AV432" s="6">
        <v>1.53</v>
      </c>
      <c r="AW432" s="6">
        <v>158.76</v>
      </c>
      <c r="AX432" s="6">
        <v>19.84</v>
      </c>
      <c r="AY432" s="6">
        <v>128.54</v>
      </c>
      <c r="AZ432" s="6">
        <v>16.8</v>
      </c>
      <c r="BA432" s="6">
        <v>0.1</v>
      </c>
    </row>
    <row r="433" spans="1:53" x14ac:dyDescent="0.3">
      <c r="A433" s="6">
        <v>394928601</v>
      </c>
      <c r="B433" s="6">
        <v>575435</v>
      </c>
      <c r="C433" s="6">
        <v>9436429</v>
      </c>
      <c r="D433" s="6">
        <v>7736</v>
      </c>
      <c r="E433" s="6" t="s">
        <v>225</v>
      </c>
      <c r="F433" s="6">
        <v>55084</v>
      </c>
      <c r="G433" s="6" t="s">
        <v>175</v>
      </c>
      <c r="H433" s="10">
        <v>45977</v>
      </c>
      <c r="I433" s="10">
        <v>45977</v>
      </c>
      <c r="J433" s="4">
        <v>45977.215277777781</v>
      </c>
      <c r="K433" s="4">
        <v>45977.334502314814</v>
      </c>
      <c r="L433" s="11">
        <v>45977.422002314815</v>
      </c>
      <c r="M433" s="10">
        <v>45977</v>
      </c>
      <c r="N433" s="6" t="s">
        <v>129</v>
      </c>
      <c r="O433" t="s">
        <v>162</v>
      </c>
      <c r="P433" s="6" t="s">
        <v>116</v>
      </c>
      <c r="Q433" t="s">
        <v>117</v>
      </c>
      <c r="R433" t="s">
        <v>123</v>
      </c>
      <c r="S433" s="6">
        <v>778005</v>
      </c>
      <c r="T433" s="6" t="s">
        <v>1</v>
      </c>
      <c r="U433">
        <v>141</v>
      </c>
      <c r="V433" s="6">
        <v>9.1</v>
      </c>
      <c r="W433" s="6">
        <v>18.2</v>
      </c>
      <c r="X433" s="6">
        <v>140</v>
      </c>
      <c r="Y433" s="6">
        <v>167.3</v>
      </c>
      <c r="Z433" s="6" t="s">
        <v>80</v>
      </c>
      <c r="AA433" t="s">
        <v>448</v>
      </c>
      <c r="AB433" s="6" t="s">
        <v>82</v>
      </c>
      <c r="AC433" t="s">
        <v>91</v>
      </c>
      <c r="AD433" t="s">
        <v>192</v>
      </c>
      <c r="AE433">
        <v>126</v>
      </c>
      <c r="AF433">
        <v>31</v>
      </c>
      <c r="AG433">
        <v>0</v>
      </c>
      <c r="AH433" s="6">
        <v>100</v>
      </c>
      <c r="AI433" s="6">
        <v>0</v>
      </c>
      <c r="AJ433" s="6">
        <v>0.64200000000000002</v>
      </c>
      <c r="AK433" s="6">
        <v>0.26300000000000001</v>
      </c>
      <c r="AL433" s="8">
        <v>4107.4399999999996</v>
      </c>
      <c r="AM433" s="6" t="s">
        <v>68</v>
      </c>
      <c r="AN433" s="6">
        <v>1</v>
      </c>
      <c r="AO433" s="6">
        <v>0</v>
      </c>
      <c r="AP433" s="6">
        <v>1</v>
      </c>
      <c r="AQ433" s="6">
        <v>0</v>
      </c>
      <c r="AR433" s="6">
        <v>1</v>
      </c>
      <c r="AS433" s="6">
        <v>0</v>
      </c>
      <c r="AT433" s="6">
        <v>1</v>
      </c>
      <c r="AU433" s="6">
        <v>2.38</v>
      </c>
      <c r="AV433" s="6">
        <v>1.72</v>
      </c>
      <c r="AW433" s="6">
        <v>121.01</v>
      </c>
      <c r="AX433" s="6">
        <v>19.170000000000002</v>
      </c>
      <c r="AY433" s="6">
        <v>107.73</v>
      </c>
      <c r="AZ433" s="6">
        <v>17.2</v>
      </c>
      <c r="BA433" s="6">
        <v>25.4</v>
      </c>
    </row>
    <row r="434" spans="1:53" x14ac:dyDescent="0.3">
      <c r="A434" s="6">
        <v>735032128</v>
      </c>
      <c r="B434" s="6">
        <v>245051</v>
      </c>
      <c r="C434" s="6">
        <v>1739653</v>
      </c>
      <c r="D434" s="6">
        <v>4763</v>
      </c>
      <c r="E434" s="6" t="s">
        <v>185</v>
      </c>
      <c r="F434" s="6">
        <v>51573</v>
      </c>
      <c r="G434" s="6" t="s">
        <v>115</v>
      </c>
      <c r="H434" s="10">
        <v>45996</v>
      </c>
      <c r="I434" s="10">
        <v>45996</v>
      </c>
      <c r="J434" s="4">
        <v>45996.53125</v>
      </c>
      <c r="K434" s="4">
        <v>45996.666354166664</v>
      </c>
      <c r="L434" s="11">
        <v>45996.639965277776</v>
      </c>
      <c r="M434" s="10">
        <v>45996</v>
      </c>
      <c r="N434" s="6" t="s">
        <v>129</v>
      </c>
      <c r="O434" t="s">
        <v>156</v>
      </c>
      <c r="P434" s="6" t="s">
        <v>78</v>
      </c>
      <c r="Q434" t="s">
        <v>147</v>
      </c>
      <c r="R434" t="s">
        <v>88</v>
      </c>
      <c r="S434" s="6">
        <v>768585</v>
      </c>
      <c r="T434" s="6" t="s">
        <v>1</v>
      </c>
      <c r="U434">
        <v>127</v>
      </c>
      <c r="V434" s="6">
        <v>33.799999999999997</v>
      </c>
      <c r="W434" s="6">
        <v>18</v>
      </c>
      <c r="X434" s="6">
        <v>137.30000000000001</v>
      </c>
      <c r="Y434" s="6">
        <v>189.1</v>
      </c>
      <c r="Z434" s="6" t="s">
        <v>63</v>
      </c>
      <c r="AA434" t="s">
        <v>566</v>
      </c>
      <c r="AB434" s="6" t="s">
        <v>75</v>
      </c>
      <c r="AC434" t="s">
        <v>154</v>
      </c>
      <c r="AD434" t="s">
        <v>67</v>
      </c>
      <c r="AE434">
        <v>-38</v>
      </c>
      <c r="AF434">
        <v>0</v>
      </c>
      <c r="AG434">
        <v>0</v>
      </c>
      <c r="AH434" s="6">
        <v>43.6</v>
      </c>
      <c r="AI434" s="6">
        <v>0</v>
      </c>
      <c r="AJ434" s="6">
        <v>0.67100000000000004</v>
      </c>
      <c r="AK434" s="6">
        <v>0.78500000000000003</v>
      </c>
      <c r="AL434" s="8">
        <v>20489.89</v>
      </c>
      <c r="AM434" s="6" t="s">
        <v>114</v>
      </c>
      <c r="AN434" s="6">
        <v>1</v>
      </c>
      <c r="AO434" s="6">
        <v>1</v>
      </c>
      <c r="AP434" s="6">
        <v>0</v>
      </c>
      <c r="AQ434" s="6">
        <v>1</v>
      </c>
      <c r="AR434" s="6">
        <v>0</v>
      </c>
      <c r="AS434" s="6">
        <v>1</v>
      </c>
      <c r="AT434" s="6">
        <v>0</v>
      </c>
      <c r="AU434" s="6">
        <v>2.29</v>
      </c>
      <c r="AV434" s="6">
        <v>1.8</v>
      </c>
      <c r="AW434" s="6">
        <v>117.63</v>
      </c>
      <c r="AX434" s="6">
        <v>39.770000000000003</v>
      </c>
      <c r="AY434" s="6">
        <v>106.14</v>
      </c>
      <c r="AZ434" s="6">
        <v>12.9</v>
      </c>
      <c r="BA434" s="6">
        <v>70.5</v>
      </c>
    </row>
    <row r="435" spans="1:53" x14ac:dyDescent="0.3">
      <c r="A435" s="6">
        <v>160314355</v>
      </c>
      <c r="B435" s="6">
        <v>542417</v>
      </c>
      <c r="C435" s="6">
        <v>1527021</v>
      </c>
      <c r="D435" s="6">
        <v>6051</v>
      </c>
      <c r="E435" s="6" t="s">
        <v>57</v>
      </c>
      <c r="F435" s="6">
        <v>52634</v>
      </c>
      <c r="G435" s="6" t="s">
        <v>115</v>
      </c>
      <c r="H435" s="10">
        <v>45851</v>
      </c>
      <c r="I435" s="10">
        <v>45851</v>
      </c>
      <c r="J435" s="4">
        <v>45851.659722222219</v>
      </c>
      <c r="K435" s="4">
        <v>45852.407835648148</v>
      </c>
      <c r="L435" s="11">
        <v>45852.389085648145</v>
      </c>
      <c r="M435" s="10">
        <v>45852</v>
      </c>
      <c r="N435" s="6" t="s">
        <v>121</v>
      </c>
      <c r="O435" t="s">
        <v>143</v>
      </c>
      <c r="P435" s="6" t="s">
        <v>170</v>
      </c>
      <c r="Q435" t="s">
        <v>171</v>
      </c>
      <c r="R435" t="s">
        <v>62</v>
      </c>
      <c r="S435" s="6">
        <v>737707</v>
      </c>
      <c r="T435" s="6" t="s">
        <v>140</v>
      </c>
      <c r="U435">
        <v>829</v>
      </c>
      <c r="V435" s="6">
        <v>29.7</v>
      </c>
      <c r="W435" s="6">
        <v>5.0999999999999996</v>
      </c>
      <c r="X435" s="6">
        <v>832.6</v>
      </c>
      <c r="Y435" s="6">
        <v>867.4</v>
      </c>
      <c r="Z435" s="6" t="s">
        <v>112</v>
      </c>
      <c r="AA435" t="s">
        <v>567</v>
      </c>
      <c r="AB435" s="6" t="s">
        <v>90</v>
      </c>
      <c r="AC435" t="s">
        <v>91</v>
      </c>
      <c r="AD435" t="s">
        <v>67</v>
      </c>
      <c r="AE435">
        <v>-27</v>
      </c>
      <c r="AF435">
        <v>0</v>
      </c>
      <c r="AG435">
        <v>0</v>
      </c>
      <c r="AH435" s="6">
        <v>24.5</v>
      </c>
      <c r="AI435" s="6">
        <v>0</v>
      </c>
      <c r="AJ435" s="6">
        <v>0.86</v>
      </c>
      <c r="AK435" s="6">
        <v>0.55300000000000005</v>
      </c>
      <c r="AL435" s="8">
        <v>4391.2700000000004</v>
      </c>
      <c r="AM435" s="6" t="s">
        <v>68</v>
      </c>
      <c r="AN435" s="6">
        <v>1</v>
      </c>
      <c r="AO435" s="6">
        <v>1</v>
      </c>
      <c r="AP435" s="6">
        <v>0</v>
      </c>
      <c r="AQ435" s="6">
        <v>1</v>
      </c>
      <c r="AR435" s="6">
        <v>0</v>
      </c>
      <c r="AS435" s="6">
        <v>1</v>
      </c>
      <c r="AT435" s="6">
        <v>0</v>
      </c>
      <c r="AU435" s="6">
        <v>2.09</v>
      </c>
      <c r="AV435" s="6">
        <v>1.5</v>
      </c>
      <c r="AW435" s="6">
        <v>746.6</v>
      </c>
      <c r="AX435" s="6">
        <v>173.8</v>
      </c>
      <c r="AY435" s="6">
        <v>623.19000000000005</v>
      </c>
      <c r="AZ435" s="6">
        <v>27.6</v>
      </c>
      <c r="BA435" s="6">
        <v>32.4</v>
      </c>
    </row>
    <row r="436" spans="1:53" x14ac:dyDescent="0.3">
      <c r="A436" s="6">
        <v>477895080</v>
      </c>
      <c r="B436" s="6">
        <v>575435</v>
      </c>
      <c r="C436" s="6">
        <v>9436429</v>
      </c>
      <c r="D436" s="6">
        <v>7736</v>
      </c>
      <c r="E436" s="6" t="s">
        <v>225</v>
      </c>
      <c r="F436" s="6">
        <v>52768</v>
      </c>
      <c r="G436" s="6" t="s">
        <v>102</v>
      </c>
      <c r="H436" s="10">
        <v>45933</v>
      </c>
      <c r="I436" s="10">
        <v>45933</v>
      </c>
      <c r="J436" s="4">
        <v>45933.729166666664</v>
      </c>
      <c r="K436" s="4">
        <v>45934.146354166667</v>
      </c>
      <c r="L436" s="11">
        <v>45934.105381944442</v>
      </c>
      <c r="M436" s="10">
        <v>45934</v>
      </c>
      <c r="N436" s="6" t="s">
        <v>116</v>
      </c>
      <c r="O436" t="s">
        <v>139</v>
      </c>
      <c r="P436" s="6" t="s">
        <v>150</v>
      </c>
      <c r="Q436" t="s">
        <v>311</v>
      </c>
      <c r="R436" t="s">
        <v>73</v>
      </c>
      <c r="S436" s="6">
        <v>734413</v>
      </c>
      <c r="T436" s="6" t="s">
        <v>140</v>
      </c>
      <c r="U436">
        <v>533</v>
      </c>
      <c r="V436" s="6">
        <v>18.899999999999999</v>
      </c>
      <c r="W436" s="6">
        <v>0.1</v>
      </c>
      <c r="X436" s="6">
        <v>537.5</v>
      </c>
      <c r="Y436" s="6">
        <v>556.5</v>
      </c>
      <c r="Z436" s="6" t="s">
        <v>80</v>
      </c>
      <c r="AA436" t="s">
        <v>568</v>
      </c>
      <c r="AB436" s="6" t="s">
        <v>90</v>
      </c>
      <c r="AC436" t="s">
        <v>154</v>
      </c>
      <c r="AD436" t="s">
        <v>67</v>
      </c>
      <c r="AE436">
        <v>-59</v>
      </c>
      <c r="AF436">
        <v>0</v>
      </c>
      <c r="AG436">
        <v>0</v>
      </c>
      <c r="AH436" s="6">
        <v>73.400000000000006</v>
      </c>
      <c r="AI436" s="6">
        <v>0</v>
      </c>
      <c r="AJ436" s="6">
        <v>0.71699999999999997</v>
      </c>
      <c r="AK436" s="6">
        <v>0.89600000000000002</v>
      </c>
      <c r="AL436" s="8">
        <v>18542.63</v>
      </c>
      <c r="AM436" s="6" t="s">
        <v>114</v>
      </c>
      <c r="AN436" s="6">
        <v>1</v>
      </c>
      <c r="AO436" s="6">
        <v>1</v>
      </c>
      <c r="AP436" s="6">
        <v>0</v>
      </c>
      <c r="AQ436" s="6">
        <v>1</v>
      </c>
      <c r="AR436" s="6">
        <v>0</v>
      </c>
      <c r="AS436" s="6">
        <v>1</v>
      </c>
      <c r="AT436" s="6">
        <v>0</v>
      </c>
      <c r="AU436" s="6">
        <v>2.13</v>
      </c>
      <c r="AV436" s="6">
        <v>1.25</v>
      </c>
      <c r="AW436" s="6">
        <v>506.86</v>
      </c>
      <c r="AX436" s="6">
        <v>80.790000000000006</v>
      </c>
      <c r="AY436" s="6">
        <v>328.93</v>
      </c>
      <c r="AZ436" s="6">
        <v>17.2</v>
      </c>
      <c r="BA436" s="6">
        <v>25.3</v>
      </c>
    </row>
    <row r="437" spans="1:53" x14ac:dyDescent="0.3">
      <c r="A437" s="6">
        <v>644748834</v>
      </c>
      <c r="B437" s="6">
        <v>852787</v>
      </c>
      <c r="C437" s="6">
        <v>6075395</v>
      </c>
      <c r="D437" s="6">
        <v>7668</v>
      </c>
      <c r="E437" s="6" t="s">
        <v>211</v>
      </c>
      <c r="F437" s="6">
        <v>55302</v>
      </c>
      <c r="G437" s="6" t="s">
        <v>164</v>
      </c>
      <c r="H437" s="10">
        <v>45818</v>
      </c>
      <c r="I437" s="10">
        <v>45818</v>
      </c>
      <c r="J437" s="4">
        <v>45818.673611111109</v>
      </c>
      <c r="K437" s="4">
        <v>45819.064722222225</v>
      </c>
      <c r="L437" s="11">
        <v>45819.071666666663</v>
      </c>
      <c r="M437" s="10">
        <v>45819</v>
      </c>
      <c r="N437" s="6" t="s">
        <v>93</v>
      </c>
      <c r="O437" t="s">
        <v>217</v>
      </c>
      <c r="P437" s="6" t="s">
        <v>129</v>
      </c>
      <c r="Q437" t="s">
        <v>156</v>
      </c>
      <c r="R437" t="s">
        <v>123</v>
      </c>
      <c r="S437" s="6">
        <v>798350</v>
      </c>
      <c r="T437" s="6" t="s">
        <v>111</v>
      </c>
      <c r="U437">
        <v>463</v>
      </c>
      <c r="V437" s="6">
        <v>3.2</v>
      </c>
      <c r="W437" s="6">
        <v>34.1</v>
      </c>
      <c r="X437" s="6">
        <v>468.1</v>
      </c>
      <c r="Y437" s="6">
        <v>505.4</v>
      </c>
      <c r="Z437" s="6" t="s">
        <v>112</v>
      </c>
      <c r="AA437" t="s">
        <v>569</v>
      </c>
      <c r="AB437" s="6" t="s">
        <v>90</v>
      </c>
      <c r="AC437" t="s">
        <v>66</v>
      </c>
      <c r="AD437" t="s">
        <v>67</v>
      </c>
      <c r="AE437">
        <v>10</v>
      </c>
      <c r="AF437">
        <v>0</v>
      </c>
      <c r="AG437">
        <v>0</v>
      </c>
      <c r="AH437" s="6">
        <v>35.799999999999997</v>
      </c>
      <c r="AI437" s="6">
        <v>0</v>
      </c>
      <c r="AJ437" s="6">
        <v>0.74299999999999999</v>
      </c>
      <c r="AK437" s="6">
        <v>0.75800000000000001</v>
      </c>
      <c r="AL437" s="8">
        <v>4364.51</v>
      </c>
      <c r="AM437" s="6" t="s">
        <v>68</v>
      </c>
      <c r="AN437" s="6">
        <v>1</v>
      </c>
      <c r="AO437" s="6">
        <v>1</v>
      </c>
      <c r="AP437" s="6">
        <v>0</v>
      </c>
      <c r="AQ437" s="6">
        <v>1</v>
      </c>
      <c r="AR437" s="6">
        <v>0</v>
      </c>
      <c r="AS437" s="6">
        <v>1</v>
      </c>
      <c r="AT437" s="6">
        <v>0</v>
      </c>
      <c r="AU437" s="6">
        <v>2.4900000000000002</v>
      </c>
      <c r="AV437" s="6">
        <v>1.8</v>
      </c>
      <c r="AW437" s="6">
        <v>462.31</v>
      </c>
      <c r="AX437" s="6">
        <v>94.75</v>
      </c>
      <c r="AY437" s="6">
        <v>280.99</v>
      </c>
      <c r="AZ437" s="6">
        <v>15.7</v>
      </c>
      <c r="BA437" s="6">
        <v>79.5</v>
      </c>
    </row>
    <row r="438" spans="1:53" x14ac:dyDescent="0.3">
      <c r="A438" s="6">
        <v>179661615</v>
      </c>
      <c r="B438" s="6">
        <v>559381</v>
      </c>
      <c r="C438" s="6">
        <v>4526280</v>
      </c>
      <c r="D438" s="6">
        <v>9754</v>
      </c>
      <c r="E438" s="6" t="s">
        <v>126</v>
      </c>
      <c r="F438" s="6">
        <v>56250</v>
      </c>
      <c r="G438" s="6" t="s">
        <v>149</v>
      </c>
      <c r="H438" s="10">
        <v>45930</v>
      </c>
      <c r="I438" s="10">
        <v>45930</v>
      </c>
      <c r="J438" s="4">
        <v>45930.538194444445</v>
      </c>
      <c r="K438" s="4">
        <v>45930.904409722221</v>
      </c>
      <c r="L438" s="11">
        <v>45930.889131944445</v>
      </c>
      <c r="M438" s="10">
        <v>45930</v>
      </c>
      <c r="N438" s="6" t="s">
        <v>86</v>
      </c>
      <c r="O438" t="s">
        <v>87</v>
      </c>
      <c r="P438" s="6" t="s">
        <v>78</v>
      </c>
      <c r="Q438" t="s">
        <v>166</v>
      </c>
      <c r="R438" t="s">
        <v>88</v>
      </c>
      <c r="S438" s="6">
        <v>733902</v>
      </c>
      <c r="T438" s="6" t="s">
        <v>140</v>
      </c>
      <c r="U438">
        <v>491</v>
      </c>
      <c r="V438" s="6">
        <v>39.6</v>
      </c>
      <c r="W438" s="6">
        <v>31.6</v>
      </c>
      <c r="X438" s="6">
        <v>489.6</v>
      </c>
      <c r="Y438" s="6">
        <v>560.79999999999995</v>
      </c>
      <c r="Z438" s="6" t="s">
        <v>2</v>
      </c>
      <c r="AA438" t="s">
        <v>570</v>
      </c>
      <c r="AB438" s="6" t="s">
        <v>75</v>
      </c>
      <c r="AC438" t="s">
        <v>66</v>
      </c>
      <c r="AD438" t="s">
        <v>67</v>
      </c>
      <c r="AE438">
        <v>-22</v>
      </c>
      <c r="AF438">
        <v>0</v>
      </c>
      <c r="AG438">
        <v>0</v>
      </c>
      <c r="AH438" s="6">
        <v>56.6</v>
      </c>
      <c r="AI438" s="6">
        <v>0</v>
      </c>
      <c r="AJ438" s="6">
        <v>0.47399999999999998</v>
      </c>
      <c r="AK438" s="6">
        <v>0.73699999999999999</v>
      </c>
      <c r="AL438" s="8">
        <v>7215.27</v>
      </c>
      <c r="AM438" s="6" t="s">
        <v>68</v>
      </c>
      <c r="AN438" s="6">
        <v>1</v>
      </c>
      <c r="AO438" s="6">
        <v>1</v>
      </c>
      <c r="AP438" s="6">
        <v>0</v>
      </c>
      <c r="AQ438" s="6">
        <v>1</v>
      </c>
      <c r="AR438" s="6">
        <v>0</v>
      </c>
      <c r="AS438" s="6">
        <v>1</v>
      </c>
      <c r="AT438" s="6">
        <v>0</v>
      </c>
      <c r="AU438" s="6">
        <v>2.5499999999999998</v>
      </c>
      <c r="AV438" s="6">
        <v>2.0099999999999998</v>
      </c>
      <c r="AW438" s="6">
        <v>418.93</v>
      </c>
      <c r="AX438" s="6">
        <v>113.59</v>
      </c>
      <c r="AY438" s="6">
        <v>361.76</v>
      </c>
      <c r="AZ438" s="6">
        <v>25</v>
      </c>
      <c r="BA438" s="6">
        <v>0.9</v>
      </c>
    </row>
    <row r="439" spans="1:53" x14ac:dyDescent="0.3">
      <c r="A439" s="6">
        <v>433297890</v>
      </c>
      <c r="B439" s="6">
        <v>440035</v>
      </c>
      <c r="C439" s="6">
        <v>1156287</v>
      </c>
      <c r="D439" s="6">
        <v>8858</v>
      </c>
      <c r="E439" s="6" t="s">
        <v>57</v>
      </c>
      <c r="F439" s="6">
        <v>51211</v>
      </c>
      <c r="G439" s="6" t="s">
        <v>127</v>
      </c>
      <c r="H439" s="10">
        <v>45732</v>
      </c>
      <c r="I439" s="10">
        <v>45732</v>
      </c>
      <c r="J439" s="4">
        <v>45732.545138888891</v>
      </c>
      <c r="K439" s="4">
        <v>45732.691678240742</v>
      </c>
      <c r="L439" s="11">
        <v>45732.666678240741</v>
      </c>
      <c r="M439" s="10">
        <v>45732</v>
      </c>
      <c r="N439" s="6" t="s">
        <v>86</v>
      </c>
      <c r="O439" t="s">
        <v>268</v>
      </c>
      <c r="P439" s="6" t="s">
        <v>86</v>
      </c>
      <c r="Q439" t="s">
        <v>268</v>
      </c>
      <c r="R439" t="s">
        <v>88</v>
      </c>
      <c r="S439" s="6">
        <v>742558</v>
      </c>
      <c r="T439" s="6" t="s">
        <v>1</v>
      </c>
      <c r="U439">
        <v>158</v>
      </c>
      <c r="V439" s="6">
        <v>27.2</v>
      </c>
      <c r="W439" s="6">
        <v>25.9</v>
      </c>
      <c r="X439" s="6">
        <v>154.80000000000001</v>
      </c>
      <c r="Y439" s="6">
        <v>207.9</v>
      </c>
      <c r="Z439" s="6" t="s">
        <v>63</v>
      </c>
      <c r="AA439" t="s">
        <v>571</v>
      </c>
      <c r="AB439" s="6" t="s">
        <v>75</v>
      </c>
      <c r="AC439" t="s">
        <v>91</v>
      </c>
      <c r="AD439" t="s">
        <v>67</v>
      </c>
      <c r="AE439">
        <v>-36</v>
      </c>
      <c r="AF439">
        <v>32</v>
      </c>
      <c r="AG439">
        <v>0</v>
      </c>
      <c r="AH439" s="6">
        <v>43.2</v>
      </c>
      <c r="AI439" s="6">
        <v>0</v>
      </c>
      <c r="AJ439" s="6">
        <v>0.77700000000000002</v>
      </c>
      <c r="AK439" s="6">
        <v>0.31</v>
      </c>
      <c r="AL439" s="8">
        <v>1959.03</v>
      </c>
      <c r="AM439" s="6" t="s">
        <v>68</v>
      </c>
      <c r="AN439" s="6">
        <v>1</v>
      </c>
      <c r="AO439" s="6">
        <v>1</v>
      </c>
      <c r="AP439" s="6">
        <v>0</v>
      </c>
      <c r="AQ439" s="6">
        <v>1</v>
      </c>
      <c r="AR439" s="6">
        <v>0</v>
      </c>
      <c r="AS439" s="6">
        <v>1</v>
      </c>
      <c r="AT439" s="6">
        <v>0</v>
      </c>
      <c r="AU439" s="6">
        <v>1.95</v>
      </c>
      <c r="AV439" s="6">
        <v>1.28</v>
      </c>
      <c r="AW439" s="6">
        <v>133.30000000000001</v>
      </c>
      <c r="AX439" s="6">
        <v>36.270000000000003</v>
      </c>
      <c r="AY439" s="6">
        <v>110.91</v>
      </c>
      <c r="AZ439" s="6">
        <v>8.3000000000000007</v>
      </c>
      <c r="BA439" s="6">
        <v>34.200000000000003</v>
      </c>
    </row>
    <row r="440" spans="1:53" x14ac:dyDescent="0.3">
      <c r="A440" s="6">
        <v>595792218</v>
      </c>
      <c r="B440" s="6">
        <v>899550</v>
      </c>
      <c r="C440" s="6">
        <v>5682940</v>
      </c>
      <c r="D440" s="6">
        <v>9155</v>
      </c>
      <c r="E440" s="6" t="s">
        <v>225</v>
      </c>
      <c r="F440" s="6">
        <v>58967</v>
      </c>
      <c r="G440" s="6" t="s">
        <v>146</v>
      </c>
      <c r="H440" s="10">
        <v>45793</v>
      </c>
      <c r="I440" s="10">
        <v>45793</v>
      </c>
      <c r="J440" s="4">
        <v>45793.576388888891</v>
      </c>
      <c r="K440" s="4">
        <v>45793.999328703707</v>
      </c>
      <c r="L440" s="11">
        <v>45793.996550925927</v>
      </c>
      <c r="M440" s="10">
        <v>45793</v>
      </c>
      <c r="N440" s="6" t="s">
        <v>116</v>
      </c>
      <c r="O440" t="s">
        <v>251</v>
      </c>
      <c r="P440" s="6" t="s">
        <v>134</v>
      </c>
      <c r="Q440" t="s">
        <v>172</v>
      </c>
      <c r="R440" t="s">
        <v>73</v>
      </c>
      <c r="S440" s="6">
        <v>724967</v>
      </c>
      <c r="T440" s="6" t="s">
        <v>111</v>
      </c>
      <c r="U440">
        <v>494</v>
      </c>
      <c r="V440" s="6">
        <v>11.5</v>
      </c>
      <c r="W440" s="6">
        <v>9</v>
      </c>
      <c r="X440" s="6">
        <v>486.7</v>
      </c>
      <c r="Y440" s="6">
        <v>507.2</v>
      </c>
      <c r="Z440" s="6" t="s">
        <v>2</v>
      </c>
      <c r="AA440" t="s">
        <v>572</v>
      </c>
      <c r="AB440" s="6" t="s">
        <v>75</v>
      </c>
      <c r="AC440" t="s">
        <v>154</v>
      </c>
      <c r="AD440" t="s">
        <v>67</v>
      </c>
      <c r="AE440">
        <v>-4</v>
      </c>
      <c r="AF440">
        <v>0</v>
      </c>
      <c r="AG440">
        <v>0</v>
      </c>
      <c r="AH440" s="6">
        <v>49.4</v>
      </c>
      <c r="AI440" s="6">
        <v>0</v>
      </c>
      <c r="AJ440" s="6">
        <v>0.69699999999999995</v>
      </c>
      <c r="AK440" s="6">
        <v>0.77700000000000002</v>
      </c>
      <c r="AL440" s="8">
        <v>20323.009999999998</v>
      </c>
      <c r="AM440" s="6" t="s">
        <v>114</v>
      </c>
      <c r="AN440" s="6">
        <v>1</v>
      </c>
      <c r="AO440" s="6">
        <v>1</v>
      </c>
      <c r="AP440" s="6">
        <v>0</v>
      </c>
      <c r="AQ440" s="6">
        <v>1</v>
      </c>
      <c r="AR440" s="6">
        <v>0</v>
      </c>
      <c r="AS440" s="6">
        <v>1</v>
      </c>
      <c r="AT440" s="6">
        <v>0</v>
      </c>
      <c r="AU440" s="6">
        <v>2.1800000000000002</v>
      </c>
      <c r="AV440" s="6">
        <v>1.71</v>
      </c>
      <c r="AW440" s="6">
        <v>362.2</v>
      </c>
      <c r="AX440" s="6">
        <v>102.67</v>
      </c>
      <c r="AY440" s="6">
        <v>344.57</v>
      </c>
      <c r="AZ440" s="6">
        <v>16.100000000000001</v>
      </c>
      <c r="BA440" s="6">
        <v>63.9</v>
      </c>
    </row>
    <row r="441" spans="1:53" x14ac:dyDescent="0.3">
      <c r="A441" s="6">
        <v>585238820</v>
      </c>
      <c r="B441" s="6">
        <v>779514</v>
      </c>
      <c r="C441" s="6">
        <v>5130808</v>
      </c>
      <c r="D441" s="6">
        <v>3731</v>
      </c>
      <c r="E441" s="6" t="s">
        <v>106</v>
      </c>
      <c r="F441" s="6">
        <v>55955</v>
      </c>
      <c r="G441" s="6" t="s">
        <v>149</v>
      </c>
      <c r="H441" s="10">
        <v>45889</v>
      </c>
      <c r="I441" s="10">
        <v>45889</v>
      </c>
      <c r="J441" s="4">
        <v>45889.798611111109</v>
      </c>
      <c r="K441" s="4">
        <v>45890.527245370373</v>
      </c>
      <c r="L441" s="11">
        <v>45890.498773148145</v>
      </c>
      <c r="M441" s="10">
        <v>45890</v>
      </c>
      <c r="N441" s="6" t="s">
        <v>109</v>
      </c>
      <c r="O441" t="s">
        <v>193</v>
      </c>
      <c r="P441" s="6" t="s">
        <v>170</v>
      </c>
      <c r="Q441" t="s">
        <v>269</v>
      </c>
      <c r="R441" t="s">
        <v>62</v>
      </c>
      <c r="S441" s="6">
        <v>706463</v>
      </c>
      <c r="T441" s="6" t="s">
        <v>140</v>
      </c>
      <c r="U441">
        <v>889</v>
      </c>
      <c r="V441" s="6">
        <v>48.6</v>
      </c>
      <c r="W441" s="6">
        <v>43.5</v>
      </c>
      <c r="X441" s="6">
        <v>880.3</v>
      </c>
      <c r="Y441" s="6">
        <v>972.4</v>
      </c>
      <c r="Z441" s="6" t="s">
        <v>63</v>
      </c>
      <c r="AA441" t="s">
        <v>573</v>
      </c>
      <c r="AB441" s="6" t="s">
        <v>65</v>
      </c>
      <c r="AC441" t="s">
        <v>125</v>
      </c>
      <c r="AD441" t="s">
        <v>67</v>
      </c>
      <c r="AE441">
        <v>-41</v>
      </c>
      <c r="AF441">
        <v>0</v>
      </c>
      <c r="AG441">
        <v>0</v>
      </c>
      <c r="AH441" s="6">
        <v>70.099999999999994</v>
      </c>
      <c r="AI441" s="6">
        <v>0</v>
      </c>
      <c r="AJ441" s="6">
        <v>0.39500000000000002</v>
      </c>
      <c r="AK441" s="6">
        <v>0.48699999999999999</v>
      </c>
      <c r="AL441" s="8">
        <v>1409.21</v>
      </c>
      <c r="AM441" s="6" t="s">
        <v>68</v>
      </c>
      <c r="AN441" s="6">
        <v>1</v>
      </c>
      <c r="AO441" s="6">
        <v>1</v>
      </c>
      <c r="AP441" s="6">
        <v>0</v>
      </c>
      <c r="AQ441" s="6">
        <v>1</v>
      </c>
      <c r="AR441" s="6">
        <v>0</v>
      </c>
      <c r="AS441" s="6">
        <v>1</v>
      </c>
      <c r="AT441" s="6">
        <v>0</v>
      </c>
      <c r="AU441" s="6">
        <v>1.97</v>
      </c>
      <c r="AV441" s="6">
        <v>1.43</v>
      </c>
      <c r="AW441" s="6">
        <v>693.25</v>
      </c>
      <c r="AX441" s="6">
        <v>125.79</v>
      </c>
      <c r="AY441" s="6">
        <v>625.53</v>
      </c>
      <c r="AZ441" s="6">
        <v>38.9</v>
      </c>
      <c r="BA441" s="6">
        <v>59.1</v>
      </c>
    </row>
    <row r="442" spans="1:53" x14ac:dyDescent="0.3">
      <c r="A442" s="6">
        <v>140380477</v>
      </c>
      <c r="B442" s="6">
        <v>738551</v>
      </c>
      <c r="C442" s="6">
        <v>7685149</v>
      </c>
      <c r="D442" s="6">
        <v>7694</v>
      </c>
      <c r="E442" s="6" t="s">
        <v>84</v>
      </c>
      <c r="F442" s="6">
        <v>51160</v>
      </c>
      <c r="G442" s="6" t="s">
        <v>107</v>
      </c>
      <c r="H442" s="10">
        <v>45664</v>
      </c>
      <c r="I442" s="10">
        <v>45664</v>
      </c>
      <c r="J442" s="4">
        <v>45664.371527777781</v>
      </c>
      <c r="K442" s="4">
        <v>45664.531990740739</v>
      </c>
      <c r="L442" s="11">
        <v>45664.504212962966</v>
      </c>
      <c r="M442" s="10">
        <v>45664</v>
      </c>
      <c r="N442" s="6" t="s">
        <v>93</v>
      </c>
      <c r="O442" t="s">
        <v>94</v>
      </c>
      <c r="P442" s="6" t="s">
        <v>170</v>
      </c>
      <c r="Q442" t="s">
        <v>183</v>
      </c>
      <c r="R442" t="s">
        <v>62</v>
      </c>
      <c r="S442" s="6">
        <v>771932</v>
      </c>
      <c r="T442" s="6" t="s">
        <v>1</v>
      </c>
      <c r="U442">
        <v>120</v>
      </c>
      <c r="V442" s="6">
        <v>31.5</v>
      </c>
      <c r="W442" s="6">
        <v>5.3</v>
      </c>
      <c r="X442" s="6">
        <v>126.9</v>
      </c>
      <c r="Y442" s="6">
        <v>163.69999999999999</v>
      </c>
      <c r="Z442" s="6" t="s">
        <v>63</v>
      </c>
      <c r="AA442" t="s">
        <v>357</v>
      </c>
      <c r="AB442" s="6" t="s">
        <v>97</v>
      </c>
      <c r="AC442" t="s">
        <v>66</v>
      </c>
      <c r="AD442" t="s">
        <v>67</v>
      </c>
      <c r="AE442">
        <v>-40</v>
      </c>
      <c r="AF442">
        <v>0</v>
      </c>
      <c r="AG442">
        <v>0</v>
      </c>
      <c r="AH442" s="6">
        <v>33.799999999999997</v>
      </c>
      <c r="AI442" s="6">
        <v>0</v>
      </c>
      <c r="AJ442" s="6">
        <v>0.74199999999999999</v>
      </c>
      <c r="AK442" s="6">
        <v>0.31900000000000001</v>
      </c>
      <c r="AL442" s="8">
        <v>1278.3699999999999</v>
      </c>
      <c r="AM442" s="6" t="s">
        <v>68</v>
      </c>
      <c r="AN442" s="6">
        <v>1</v>
      </c>
      <c r="AO442" s="6">
        <v>1</v>
      </c>
      <c r="AP442" s="6">
        <v>0</v>
      </c>
      <c r="AQ442" s="6">
        <v>1</v>
      </c>
      <c r="AR442" s="6">
        <v>0</v>
      </c>
      <c r="AS442" s="6">
        <v>1</v>
      </c>
      <c r="AT442" s="6">
        <v>0</v>
      </c>
      <c r="AU442" s="6">
        <v>2.15</v>
      </c>
      <c r="AV442" s="6">
        <v>1.34</v>
      </c>
      <c r="AW442" s="6">
        <v>106.52</v>
      </c>
      <c r="AX442" s="6">
        <v>25.45</v>
      </c>
      <c r="AY442" s="6">
        <v>112.76</v>
      </c>
      <c r="AZ442" s="6">
        <v>4.0999999999999996</v>
      </c>
      <c r="BA442" s="6">
        <v>4.8</v>
      </c>
    </row>
    <row r="443" spans="1:53" x14ac:dyDescent="0.3">
      <c r="A443" s="6">
        <v>161085229</v>
      </c>
      <c r="B443" s="6">
        <v>358607</v>
      </c>
      <c r="C443" s="6">
        <v>5727085</v>
      </c>
      <c r="D443" s="6">
        <v>6864</v>
      </c>
      <c r="E443" s="6" t="s">
        <v>84</v>
      </c>
      <c r="F443" s="6">
        <v>55977</v>
      </c>
      <c r="G443" s="6" t="s">
        <v>115</v>
      </c>
      <c r="H443" s="10">
        <v>45921</v>
      </c>
      <c r="I443" s="10">
        <v>45921</v>
      </c>
      <c r="J443" s="4">
        <v>45921.802083333336</v>
      </c>
      <c r="K443" s="4">
        <v>45922.627430555556</v>
      </c>
      <c r="L443" s="11">
        <v>45922.609375</v>
      </c>
      <c r="M443" s="10">
        <v>45922</v>
      </c>
      <c r="N443" s="6" t="s">
        <v>86</v>
      </c>
      <c r="O443" t="s">
        <v>87</v>
      </c>
      <c r="P443" s="6" t="s">
        <v>103</v>
      </c>
      <c r="Q443" t="s">
        <v>232</v>
      </c>
      <c r="R443" t="s">
        <v>73</v>
      </c>
      <c r="S443" s="6">
        <v>700025</v>
      </c>
      <c r="T443" s="6" t="s">
        <v>140</v>
      </c>
      <c r="U443">
        <v>948</v>
      </c>
      <c r="V443" s="6">
        <v>46.3</v>
      </c>
      <c r="W443" s="6">
        <v>9.6999999999999993</v>
      </c>
      <c r="X443" s="6">
        <v>944.3</v>
      </c>
      <c r="Y443" s="6">
        <v>1000.3</v>
      </c>
      <c r="Z443" s="6" t="s">
        <v>63</v>
      </c>
      <c r="AA443" t="s">
        <v>574</v>
      </c>
      <c r="AB443" s="6" t="s">
        <v>65</v>
      </c>
      <c r="AC443" t="s">
        <v>91</v>
      </c>
      <c r="AD443" t="s">
        <v>67</v>
      </c>
      <c r="AE443">
        <v>-26</v>
      </c>
      <c r="AF443">
        <v>0</v>
      </c>
      <c r="AG443">
        <v>0</v>
      </c>
      <c r="AH443" s="6">
        <v>37.1</v>
      </c>
      <c r="AI443" s="6">
        <v>0</v>
      </c>
      <c r="AJ443" s="6">
        <v>0.81100000000000005</v>
      </c>
      <c r="AK443" s="6">
        <v>0.83</v>
      </c>
      <c r="AL443" s="8">
        <v>3356.44</v>
      </c>
      <c r="AM443" s="6" t="s">
        <v>68</v>
      </c>
      <c r="AN443" s="6">
        <v>1</v>
      </c>
      <c r="AO443" s="6">
        <v>1</v>
      </c>
      <c r="AP443" s="6">
        <v>0</v>
      </c>
      <c r="AQ443" s="6">
        <v>1</v>
      </c>
      <c r="AR443" s="6">
        <v>0</v>
      </c>
      <c r="AS443" s="6">
        <v>1</v>
      </c>
      <c r="AT443" s="6">
        <v>0</v>
      </c>
      <c r="AU443" s="6">
        <v>2.2799999999999998</v>
      </c>
      <c r="AV443" s="6">
        <v>1.4</v>
      </c>
      <c r="AW443" s="6">
        <v>777.65</v>
      </c>
      <c r="AX443" s="6">
        <v>169.54</v>
      </c>
      <c r="AY443" s="6">
        <v>559.14</v>
      </c>
      <c r="AZ443" s="6">
        <v>7.3</v>
      </c>
      <c r="BA443" s="6">
        <v>40.799999999999997</v>
      </c>
    </row>
    <row r="444" spans="1:53" x14ac:dyDescent="0.3">
      <c r="A444" s="6">
        <v>495928981</v>
      </c>
      <c r="B444" s="6">
        <v>955662</v>
      </c>
      <c r="C444" s="6">
        <v>8315831</v>
      </c>
      <c r="D444" s="6">
        <v>9445</v>
      </c>
      <c r="E444" s="6" t="s">
        <v>84</v>
      </c>
      <c r="F444" s="6">
        <v>57041</v>
      </c>
      <c r="G444" s="6" t="s">
        <v>164</v>
      </c>
      <c r="H444" s="10">
        <v>45962</v>
      </c>
      <c r="I444" s="10">
        <v>45962</v>
      </c>
      <c r="J444" s="4">
        <v>45962.395833333336</v>
      </c>
      <c r="K444" s="4">
        <v>45962.602037037039</v>
      </c>
      <c r="L444" s="11">
        <v>45962.571481481478</v>
      </c>
      <c r="M444" s="10">
        <v>45962</v>
      </c>
      <c r="N444" s="6" t="s">
        <v>103</v>
      </c>
      <c r="O444" t="s">
        <v>204</v>
      </c>
      <c r="P444" s="6" t="s">
        <v>103</v>
      </c>
      <c r="Q444" t="s">
        <v>204</v>
      </c>
      <c r="R444" t="s">
        <v>73</v>
      </c>
      <c r="S444" s="6">
        <v>783084</v>
      </c>
      <c r="T444" s="6" t="s">
        <v>1</v>
      </c>
      <c r="U444">
        <v>211</v>
      </c>
      <c r="V444" s="6">
        <v>51.5</v>
      </c>
      <c r="W444" s="6">
        <v>40.4</v>
      </c>
      <c r="X444" s="6">
        <v>216.4</v>
      </c>
      <c r="Y444" s="6">
        <v>308.3</v>
      </c>
      <c r="Z444" s="6" t="s">
        <v>80</v>
      </c>
      <c r="AA444" t="s">
        <v>525</v>
      </c>
      <c r="AB444" s="6" t="s">
        <v>97</v>
      </c>
      <c r="AC444" t="s">
        <v>76</v>
      </c>
      <c r="AD444" t="s">
        <v>67</v>
      </c>
      <c r="AE444">
        <v>-44</v>
      </c>
      <c r="AF444">
        <v>0</v>
      </c>
      <c r="AG444">
        <v>0</v>
      </c>
      <c r="AH444" s="6">
        <v>61.6</v>
      </c>
      <c r="AI444" s="6">
        <v>0</v>
      </c>
      <c r="AJ444" s="6">
        <v>0.80300000000000005</v>
      </c>
      <c r="AK444" s="6">
        <v>0.67700000000000005</v>
      </c>
      <c r="AL444" s="8">
        <v>2361.23</v>
      </c>
      <c r="AM444" s="6" t="s">
        <v>68</v>
      </c>
      <c r="AN444" s="6">
        <v>1</v>
      </c>
      <c r="AO444" s="6">
        <v>1</v>
      </c>
      <c r="AP444" s="6">
        <v>0</v>
      </c>
      <c r="AQ444" s="6">
        <v>1</v>
      </c>
      <c r="AR444" s="6">
        <v>0</v>
      </c>
      <c r="AS444" s="6">
        <v>1</v>
      </c>
      <c r="AT444" s="6">
        <v>0</v>
      </c>
      <c r="AU444" s="6">
        <v>2.11</v>
      </c>
      <c r="AV444" s="6">
        <v>1.31</v>
      </c>
      <c r="AW444" s="6">
        <v>247.06</v>
      </c>
      <c r="AX444" s="6">
        <v>54.18</v>
      </c>
      <c r="AY444" s="6">
        <v>211.2</v>
      </c>
      <c r="AZ444" s="6">
        <v>18.100000000000001</v>
      </c>
      <c r="BA444" s="6">
        <v>36.799999999999997</v>
      </c>
    </row>
    <row r="445" spans="1:53" x14ac:dyDescent="0.3">
      <c r="A445" s="6">
        <v>993027458</v>
      </c>
      <c r="B445" s="6">
        <v>816751</v>
      </c>
      <c r="C445" s="6">
        <v>3011363</v>
      </c>
      <c r="D445" s="6">
        <v>9996</v>
      </c>
      <c r="E445" s="6" t="s">
        <v>185</v>
      </c>
      <c r="F445" s="6">
        <v>52383</v>
      </c>
      <c r="G445" s="6" t="s">
        <v>203</v>
      </c>
      <c r="H445" s="10">
        <v>45803</v>
      </c>
      <c r="I445" s="10">
        <v>45803</v>
      </c>
      <c r="J445" s="4">
        <v>45803.847222222219</v>
      </c>
      <c r="K445" s="4">
        <v>45804.112858796296</v>
      </c>
      <c r="L445" s="11">
        <v>45804.204525462963</v>
      </c>
      <c r="M445" s="10">
        <v>45804</v>
      </c>
      <c r="N445" s="6" t="s">
        <v>121</v>
      </c>
      <c r="O445" t="s">
        <v>179</v>
      </c>
      <c r="P445" s="6" t="s">
        <v>103</v>
      </c>
      <c r="Q445" t="s">
        <v>232</v>
      </c>
      <c r="R445" t="s">
        <v>73</v>
      </c>
      <c r="S445" s="6">
        <v>785561</v>
      </c>
      <c r="T445" s="6" t="s">
        <v>1</v>
      </c>
      <c r="U445">
        <v>287</v>
      </c>
      <c r="V445" s="6">
        <v>25.9</v>
      </c>
      <c r="W445" s="6">
        <v>14.3</v>
      </c>
      <c r="X445" s="6">
        <v>278.2</v>
      </c>
      <c r="Y445" s="6">
        <v>318.39999999999998</v>
      </c>
      <c r="Z445" s="6" t="s">
        <v>63</v>
      </c>
      <c r="AA445" t="s">
        <v>575</v>
      </c>
      <c r="AB445" s="6" t="s">
        <v>65</v>
      </c>
      <c r="AC445" t="s">
        <v>83</v>
      </c>
      <c r="AD445" t="s">
        <v>188</v>
      </c>
      <c r="AE445">
        <v>132</v>
      </c>
      <c r="AF445">
        <v>0</v>
      </c>
      <c r="AG445">
        <v>2.2999999999999998</v>
      </c>
      <c r="AH445" s="6">
        <v>80.2</v>
      </c>
      <c r="AI445" s="6">
        <v>0</v>
      </c>
      <c r="AJ445" s="6">
        <v>0.57999999999999996</v>
      </c>
      <c r="AK445" s="6">
        <v>0.64200000000000002</v>
      </c>
      <c r="AL445" s="8">
        <v>77209.100000000006</v>
      </c>
      <c r="AM445" s="6" t="s">
        <v>155</v>
      </c>
      <c r="AN445" s="6">
        <v>1</v>
      </c>
      <c r="AO445" s="6">
        <v>0</v>
      </c>
      <c r="AP445" s="6">
        <v>1</v>
      </c>
      <c r="AQ445" s="6">
        <v>0</v>
      </c>
      <c r="AR445" s="6">
        <v>1</v>
      </c>
      <c r="AS445" s="6">
        <v>0</v>
      </c>
      <c r="AT445" s="6">
        <v>1</v>
      </c>
      <c r="AU445" s="6">
        <v>2.1</v>
      </c>
      <c r="AV445" s="6">
        <v>1.54</v>
      </c>
      <c r="AW445" s="6">
        <v>267.02</v>
      </c>
      <c r="AX445" s="6">
        <v>69.55</v>
      </c>
      <c r="AY445" s="6">
        <v>191.11</v>
      </c>
      <c r="AZ445" s="6">
        <v>13.3</v>
      </c>
      <c r="BA445" s="6">
        <v>37.799999999999997</v>
      </c>
    </row>
    <row r="446" spans="1:53" x14ac:dyDescent="0.3">
      <c r="A446" s="6">
        <v>408246619</v>
      </c>
      <c r="B446" s="6">
        <v>375504</v>
      </c>
      <c r="C446" s="6">
        <v>5428914</v>
      </c>
      <c r="D446" s="6">
        <v>6530</v>
      </c>
      <c r="E446" s="6" t="s">
        <v>185</v>
      </c>
      <c r="F446" s="6">
        <v>55876</v>
      </c>
      <c r="G446" s="6" t="s">
        <v>115</v>
      </c>
      <c r="H446" s="10">
        <v>45821</v>
      </c>
      <c r="I446" s="10">
        <v>45821</v>
      </c>
      <c r="J446" s="4">
        <v>45821.618055555555</v>
      </c>
      <c r="K446" s="4">
        <v>45822.021296296298</v>
      </c>
      <c r="L446" s="11">
        <v>45822.150462962964</v>
      </c>
      <c r="M446" s="10">
        <v>45822</v>
      </c>
      <c r="N446" s="6" t="s">
        <v>93</v>
      </c>
      <c r="O446" t="s">
        <v>290</v>
      </c>
      <c r="P446" s="6" t="s">
        <v>78</v>
      </c>
      <c r="Q446" t="s">
        <v>79</v>
      </c>
      <c r="R446" t="s">
        <v>88</v>
      </c>
      <c r="S446" s="6">
        <v>761759</v>
      </c>
      <c r="T446" s="6" t="s">
        <v>111</v>
      </c>
      <c r="U446">
        <v>428</v>
      </c>
      <c r="V446" s="6">
        <v>56.8</v>
      </c>
      <c r="W446" s="6">
        <v>38.1</v>
      </c>
      <c r="X446" s="6">
        <v>426.9</v>
      </c>
      <c r="Y446" s="6">
        <v>521.79999999999995</v>
      </c>
      <c r="Z446" s="6" t="s">
        <v>2</v>
      </c>
      <c r="AA446" t="s">
        <v>576</v>
      </c>
      <c r="AB446" s="6" t="s">
        <v>90</v>
      </c>
      <c r="AC446" t="s">
        <v>154</v>
      </c>
      <c r="AD446" t="s">
        <v>188</v>
      </c>
      <c r="AE446">
        <v>186</v>
      </c>
      <c r="AF446">
        <v>0</v>
      </c>
      <c r="AG446">
        <v>4.2</v>
      </c>
      <c r="AH446" s="6">
        <v>92.5</v>
      </c>
      <c r="AI446" s="6">
        <v>0</v>
      </c>
      <c r="AJ446" s="6">
        <v>0.71</v>
      </c>
      <c r="AK446" s="6">
        <v>0.63600000000000001</v>
      </c>
      <c r="AL446" s="8">
        <v>88999.73</v>
      </c>
      <c r="AM446" s="6" t="s">
        <v>155</v>
      </c>
      <c r="AN446" s="6">
        <v>1</v>
      </c>
      <c r="AO446" s="6">
        <v>0</v>
      </c>
      <c r="AP446" s="6">
        <v>1</v>
      </c>
      <c r="AQ446" s="6">
        <v>0</v>
      </c>
      <c r="AR446" s="6">
        <v>1</v>
      </c>
      <c r="AS446" s="6">
        <v>0</v>
      </c>
      <c r="AT446" s="6">
        <v>1</v>
      </c>
      <c r="AU446" s="6">
        <v>2.33</v>
      </c>
      <c r="AV446" s="6">
        <v>1.65</v>
      </c>
      <c r="AW446" s="6">
        <v>331.5</v>
      </c>
      <c r="AX446" s="6">
        <v>105.15</v>
      </c>
      <c r="AY446" s="6">
        <v>257.87</v>
      </c>
      <c r="AZ446" s="6">
        <v>29</v>
      </c>
      <c r="BA446" s="6">
        <v>37.4</v>
      </c>
    </row>
    <row r="447" spans="1:53" x14ac:dyDescent="0.3">
      <c r="A447" s="6">
        <v>182389284</v>
      </c>
      <c r="B447" s="6">
        <v>245051</v>
      </c>
      <c r="C447" s="6">
        <v>1739653</v>
      </c>
      <c r="D447" s="6">
        <v>4763</v>
      </c>
      <c r="E447" s="6" t="s">
        <v>185</v>
      </c>
      <c r="F447" s="6">
        <v>53540</v>
      </c>
      <c r="G447" s="6" t="s">
        <v>235</v>
      </c>
      <c r="H447" s="10">
        <v>45968</v>
      </c>
      <c r="I447" s="10">
        <v>45968</v>
      </c>
      <c r="J447" s="4">
        <v>45968.46875</v>
      </c>
      <c r="K447" s="4">
        <v>45969.390347222223</v>
      </c>
      <c r="L447" s="11">
        <v>45969.376458333332</v>
      </c>
      <c r="M447" s="10">
        <v>45969</v>
      </c>
      <c r="N447" s="6" t="s">
        <v>129</v>
      </c>
      <c r="O447" t="s">
        <v>162</v>
      </c>
      <c r="P447" s="6" t="s">
        <v>150</v>
      </c>
      <c r="Q447" t="s">
        <v>151</v>
      </c>
      <c r="R447" t="s">
        <v>73</v>
      </c>
      <c r="S447" s="6">
        <v>734732</v>
      </c>
      <c r="T447" s="6" t="s">
        <v>140</v>
      </c>
      <c r="U447">
        <v>868</v>
      </c>
      <c r="V447" s="6">
        <v>47</v>
      </c>
      <c r="W447" s="6">
        <v>20.3</v>
      </c>
      <c r="X447" s="6">
        <v>875.6</v>
      </c>
      <c r="Y447" s="6">
        <v>942.9</v>
      </c>
      <c r="Z447" s="6" t="s">
        <v>63</v>
      </c>
      <c r="AA447" t="s">
        <v>577</v>
      </c>
      <c r="AB447" s="6" t="s">
        <v>75</v>
      </c>
      <c r="AC447" t="s">
        <v>154</v>
      </c>
      <c r="AD447" t="s">
        <v>67</v>
      </c>
      <c r="AE447">
        <v>-20</v>
      </c>
      <c r="AF447">
        <v>0</v>
      </c>
      <c r="AG447">
        <v>0</v>
      </c>
      <c r="AH447" s="6">
        <v>21.9</v>
      </c>
      <c r="AI447" s="6">
        <v>0</v>
      </c>
      <c r="AJ447" s="6">
        <v>0.78600000000000003</v>
      </c>
      <c r="AK447" s="6">
        <v>0.754</v>
      </c>
      <c r="AL447" s="8">
        <v>1978.13</v>
      </c>
      <c r="AM447" s="6" t="s">
        <v>68</v>
      </c>
      <c r="AN447" s="6">
        <v>1</v>
      </c>
      <c r="AO447" s="6">
        <v>1</v>
      </c>
      <c r="AP447" s="6">
        <v>0</v>
      </c>
      <c r="AQ447" s="6">
        <v>1</v>
      </c>
      <c r="AR447" s="6">
        <v>0</v>
      </c>
      <c r="AS447" s="6">
        <v>1</v>
      </c>
      <c r="AT447" s="6">
        <v>0</v>
      </c>
      <c r="AU447" s="6">
        <v>2.21</v>
      </c>
      <c r="AV447" s="6">
        <v>1.5</v>
      </c>
      <c r="AW447" s="6">
        <v>662.5</v>
      </c>
      <c r="AX447" s="6">
        <v>100.54</v>
      </c>
      <c r="AY447" s="6">
        <v>496.53</v>
      </c>
      <c r="AZ447" s="6">
        <v>12.9</v>
      </c>
      <c r="BA447" s="6">
        <v>74.900000000000006</v>
      </c>
    </row>
    <row r="448" spans="1:53" x14ac:dyDescent="0.3">
      <c r="A448" s="6">
        <v>792205349</v>
      </c>
      <c r="B448" s="6">
        <v>779514</v>
      </c>
      <c r="C448" s="6">
        <v>5130808</v>
      </c>
      <c r="D448" s="6">
        <v>3731</v>
      </c>
      <c r="E448" s="6" t="s">
        <v>106</v>
      </c>
      <c r="F448" s="6">
        <v>54635</v>
      </c>
      <c r="G448" s="6" t="s">
        <v>149</v>
      </c>
      <c r="H448" s="10">
        <v>45941</v>
      </c>
      <c r="I448" s="10">
        <v>45941</v>
      </c>
      <c r="J448" s="4">
        <v>45941.427083333336</v>
      </c>
      <c r="K448" s="4">
        <v>45941.73646990741</v>
      </c>
      <c r="L448" s="11">
        <v>45941.703831018516</v>
      </c>
      <c r="M448" s="10">
        <v>45941</v>
      </c>
      <c r="N448" s="6" t="s">
        <v>129</v>
      </c>
      <c r="O448" t="s">
        <v>157</v>
      </c>
      <c r="P448" s="6" t="s">
        <v>109</v>
      </c>
      <c r="Q448" t="s">
        <v>110</v>
      </c>
      <c r="R448" t="s">
        <v>88</v>
      </c>
      <c r="S448" s="6">
        <v>776304</v>
      </c>
      <c r="T448" s="6" t="s">
        <v>1</v>
      </c>
      <c r="U448">
        <v>318</v>
      </c>
      <c r="V448" s="6">
        <v>36.1</v>
      </c>
      <c r="W448" s="6">
        <v>22.4</v>
      </c>
      <c r="X448" s="6">
        <v>319.60000000000002</v>
      </c>
      <c r="Y448" s="6">
        <v>378.1</v>
      </c>
      <c r="Z448" s="6" t="s">
        <v>63</v>
      </c>
      <c r="AA448" t="s">
        <v>578</v>
      </c>
      <c r="AB448" s="6" t="s">
        <v>75</v>
      </c>
      <c r="AC448" t="s">
        <v>76</v>
      </c>
      <c r="AD448" t="s">
        <v>67</v>
      </c>
      <c r="AE448">
        <v>-47</v>
      </c>
      <c r="AF448">
        <v>0</v>
      </c>
      <c r="AG448">
        <v>0</v>
      </c>
      <c r="AH448" s="6">
        <v>40.4</v>
      </c>
      <c r="AI448" s="6">
        <v>0</v>
      </c>
      <c r="AJ448" s="6">
        <v>0.66100000000000003</v>
      </c>
      <c r="AK448" s="6">
        <v>0.57399999999999995</v>
      </c>
      <c r="AL448" s="8">
        <v>4439.62</v>
      </c>
      <c r="AM448" s="6" t="s">
        <v>68</v>
      </c>
      <c r="AN448" s="6">
        <v>1</v>
      </c>
      <c r="AO448" s="6">
        <v>1</v>
      </c>
      <c r="AP448" s="6">
        <v>0</v>
      </c>
      <c r="AQ448" s="6">
        <v>1</v>
      </c>
      <c r="AR448" s="6">
        <v>0</v>
      </c>
      <c r="AS448" s="6">
        <v>1</v>
      </c>
      <c r="AT448" s="6">
        <v>0</v>
      </c>
      <c r="AU448" s="6">
        <v>2.11</v>
      </c>
      <c r="AV448" s="6">
        <v>1.35</v>
      </c>
      <c r="AW448" s="6">
        <v>274.70999999999998</v>
      </c>
      <c r="AX448" s="6">
        <v>45.48</v>
      </c>
      <c r="AY448" s="6">
        <v>201.24</v>
      </c>
      <c r="AZ448" s="6">
        <v>38.9</v>
      </c>
      <c r="BA448" s="6">
        <v>56.3</v>
      </c>
    </row>
    <row r="449" spans="1:53" x14ac:dyDescent="0.3">
      <c r="A449" s="6">
        <v>196955134</v>
      </c>
      <c r="B449" s="6">
        <v>391704</v>
      </c>
      <c r="C449" s="6">
        <v>7897151</v>
      </c>
      <c r="D449" s="6">
        <v>4556</v>
      </c>
      <c r="E449" s="6" t="s">
        <v>84</v>
      </c>
      <c r="F449" s="6">
        <v>51095</v>
      </c>
      <c r="G449" s="6" t="s">
        <v>115</v>
      </c>
      <c r="H449" s="10">
        <v>45763</v>
      </c>
      <c r="I449" s="10">
        <v>45763</v>
      </c>
      <c r="J449" s="4">
        <v>45763.322916666664</v>
      </c>
      <c r="K449" s="4">
        <v>45763.635347222225</v>
      </c>
      <c r="L449" s="11">
        <v>45763.734652777777</v>
      </c>
      <c r="M449" s="10">
        <v>45763</v>
      </c>
      <c r="N449" s="6" t="s">
        <v>150</v>
      </c>
      <c r="O449" t="s">
        <v>311</v>
      </c>
      <c r="P449" s="6" t="s">
        <v>70</v>
      </c>
      <c r="Q449" t="s">
        <v>152</v>
      </c>
      <c r="R449" t="s">
        <v>73</v>
      </c>
      <c r="S449" s="6">
        <v>700860</v>
      </c>
      <c r="T449" s="6" t="s">
        <v>111</v>
      </c>
      <c r="U449">
        <v>343</v>
      </c>
      <c r="V449" s="6">
        <v>8.4</v>
      </c>
      <c r="W449" s="6">
        <v>12.3</v>
      </c>
      <c r="X449" s="6">
        <v>344.8</v>
      </c>
      <c r="Y449" s="6">
        <v>365.5</v>
      </c>
      <c r="Z449" s="6" t="s">
        <v>215</v>
      </c>
      <c r="AA449" t="s">
        <v>579</v>
      </c>
      <c r="AB449" s="6" t="s">
        <v>97</v>
      </c>
      <c r="AC449" t="s">
        <v>125</v>
      </c>
      <c r="AD449" t="s">
        <v>206</v>
      </c>
      <c r="AE449">
        <v>143</v>
      </c>
      <c r="AF449">
        <v>229</v>
      </c>
      <c r="AG449">
        <v>0</v>
      </c>
      <c r="AH449" s="6">
        <v>29.4</v>
      </c>
      <c r="AI449" s="6">
        <v>0</v>
      </c>
      <c r="AJ449" s="6">
        <v>0.56499999999999995</v>
      </c>
      <c r="AK449" s="6">
        <v>0.219</v>
      </c>
      <c r="AL449" s="8">
        <v>21927.35</v>
      </c>
      <c r="AM449" s="6" t="s">
        <v>114</v>
      </c>
      <c r="AN449" s="6">
        <v>1</v>
      </c>
      <c r="AO449" s="6">
        <v>0</v>
      </c>
      <c r="AP449" s="6">
        <v>1</v>
      </c>
      <c r="AQ449" s="6">
        <v>0</v>
      </c>
      <c r="AR449" s="6">
        <v>1</v>
      </c>
      <c r="AS449" s="6">
        <v>0</v>
      </c>
      <c r="AT449" s="6">
        <v>1</v>
      </c>
      <c r="AU449" s="6">
        <v>2.2200000000000002</v>
      </c>
      <c r="AV449" s="6">
        <v>1.73</v>
      </c>
      <c r="AW449" s="6">
        <v>324.44</v>
      </c>
      <c r="AX449" s="6">
        <v>65.37</v>
      </c>
      <c r="AY449" s="6">
        <v>242.81</v>
      </c>
      <c r="AZ449" s="6">
        <v>11.3</v>
      </c>
      <c r="BA449" s="6">
        <v>44.3</v>
      </c>
    </row>
    <row r="450" spans="1:53" x14ac:dyDescent="0.3">
      <c r="A450" s="6">
        <v>760360225</v>
      </c>
      <c r="B450" s="6">
        <v>198246</v>
      </c>
      <c r="C450" s="6">
        <v>9626108</v>
      </c>
      <c r="D450" s="6">
        <v>5555</v>
      </c>
      <c r="E450" s="6" t="s">
        <v>57</v>
      </c>
      <c r="F450" s="6">
        <v>55901</v>
      </c>
      <c r="G450" s="6" t="s">
        <v>127</v>
      </c>
      <c r="H450" s="10">
        <v>45776</v>
      </c>
      <c r="I450" s="10">
        <v>45776</v>
      </c>
      <c r="J450" s="4">
        <v>45776.40625</v>
      </c>
      <c r="K450" s="4">
        <v>45776.626018518517</v>
      </c>
      <c r="L450" s="11">
        <v>45776.622546296298</v>
      </c>
      <c r="M450" s="10">
        <v>45776</v>
      </c>
      <c r="N450" s="6" t="s">
        <v>93</v>
      </c>
      <c r="O450" t="s">
        <v>144</v>
      </c>
      <c r="P450" s="6" t="s">
        <v>134</v>
      </c>
      <c r="Q450" t="s">
        <v>278</v>
      </c>
      <c r="R450" t="s">
        <v>73</v>
      </c>
      <c r="S450" s="6">
        <v>789749</v>
      </c>
      <c r="T450" s="6" t="s">
        <v>1</v>
      </c>
      <c r="U450">
        <v>239</v>
      </c>
      <c r="V450" s="6">
        <v>24</v>
      </c>
      <c r="W450" s="6">
        <v>5</v>
      </c>
      <c r="X450" s="6">
        <v>235.5</v>
      </c>
      <c r="Y450" s="6">
        <v>264.5</v>
      </c>
      <c r="Z450" s="6" t="s">
        <v>80</v>
      </c>
      <c r="AA450" t="s">
        <v>424</v>
      </c>
      <c r="AB450" s="6" t="s">
        <v>97</v>
      </c>
      <c r="AC450" t="s">
        <v>66</v>
      </c>
      <c r="AD450" t="s">
        <v>67</v>
      </c>
      <c r="AE450">
        <v>-5</v>
      </c>
      <c r="AF450">
        <v>0</v>
      </c>
      <c r="AG450">
        <v>0</v>
      </c>
      <c r="AH450" s="6">
        <v>63.2</v>
      </c>
      <c r="AI450" s="6">
        <v>0</v>
      </c>
      <c r="AJ450" s="6">
        <v>0.60499999999999998</v>
      </c>
      <c r="AK450" s="6">
        <v>0.71199999999999997</v>
      </c>
      <c r="AL450" s="8">
        <v>4751.76</v>
      </c>
      <c r="AM450" s="6" t="s">
        <v>68</v>
      </c>
      <c r="AN450" s="6">
        <v>1</v>
      </c>
      <c r="AO450" s="6">
        <v>1</v>
      </c>
      <c r="AP450" s="6">
        <v>0</v>
      </c>
      <c r="AQ450" s="6">
        <v>1</v>
      </c>
      <c r="AR450" s="6">
        <v>0</v>
      </c>
      <c r="AS450" s="6">
        <v>1</v>
      </c>
      <c r="AT450" s="6">
        <v>0</v>
      </c>
      <c r="AU450" s="6">
        <v>1.88</v>
      </c>
      <c r="AV450" s="6">
        <v>1.18</v>
      </c>
      <c r="AW450" s="6">
        <v>235.52</v>
      </c>
      <c r="AX450" s="6">
        <v>34.08</v>
      </c>
      <c r="AY450" s="6">
        <v>139.85</v>
      </c>
      <c r="AZ450" s="6">
        <v>11.5</v>
      </c>
      <c r="BA450" s="6">
        <v>21.1</v>
      </c>
    </row>
    <row r="451" spans="1:53" x14ac:dyDescent="0.3">
      <c r="A451" s="6">
        <v>737888347</v>
      </c>
      <c r="B451" s="6">
        <v>216739</v>
      </c>
      <c r="C451" s="6">
        <v>8574680</v>
      </c>
      <c r="D451" s="6">
        <v>1860</v>
      </c>
      <c r="E451" s="6" t="s">
        <v>106</v>
      </c>
      <c r="F451" s="6">
        <v>58215</v>
      </c>
      <c r="G451" s="6" t="s">
        <v>127</v>
      </c>
      <c r="H451" s="10">
        <v>45905</v>
      </c>
      <c r="I451" s="10">
        <v>45905</v>
      </c>
      <c r="J451" s="4">
        <v>45905.340277777781</v>
      </c>
      <c r="K451" s="4">
        <v>45905.514733796299</v>
      </c>
      <c r="L451" s="11">
        <v>45905.513344907406</v>
      </c>
      <c r="M451" s="10">
        <v>45905</v>
      </c>
      <c r="N451" s="6" t="s">
        <v>70</v>
      </c>
      <c r="O451" t="s">
        <v>138</v>
      </c>
      <c r="P451" s="6" t="s">
        <v>78</v>
      </c>
      <c r="Q451" t="s">
        <v>219</v>
      </c>
      <c r="R451" t="s">
        <v>88</v>
      </c>
      <c r="S451" s="6">
        <v>796425</v>
      </c>
      <c r="T451" s="6" t="s">
        <v>1</v>
      </c>
      <c r="U451">
        <v>203</v>
      </c>
      <c r="V451" s="6">
        <v>26.4</v>
      </c>
      <c r="W451" s="6">
        <v>29.9</v>
      </c>
      <c r="X451" s="6">
        <v>197.6</v>
      </c>
      <c r="Y451" s="6">
        <v>253.9</v>
      </c>
      <c r="Z451" s="6" t="s">
        <v>80</v>
      </c>
      <c r="AA451" t="s">
        <v>580</v>
      </c>
      <c r="AB451" s="6" t="s">
        <v>97</v>
      </c>
      <c r="AC451" t="s">
        <v>154</v>
      </c>
      <c r="AD451" t="s">
        <v>67</v>
      </c>
      <c r="AE451">
        <v>-2</v>
      </c>
      <c r="AF451">
        <v>0</v>
      </c>
      <c r="AG451">
        <v>0</v>
      </c>
      <c r="AH451" s="6">
        <v>49.1</v>
      </c>
      <c r="AI451" s="6">
        <v>0</v>
      </c>
      <c r="AJ451" s="6">
        <v>0.53400000000000003</v>
      </c>
      <c r="AK451" s="6">
        <v>0.42799999999999999</v>
      </c>
      <c r="AL451" s="8">
        <v>8780.58</v>
      </c>
      <c r="AM451" s="6" t="s">
        <v>114</v>
      </c>
      <c r="AN451" s="6">
        <v>1</v>
      </c>
      <c r="AO451" s="6">
        <v>1</v>
      </c>
      <c r="AP451" s="6">
        <v>0</v>
      </c>
      <c r="AQ451" s="6">
        <v>1</v>
      </c>
      <c r="AR451" s="6">
        <v>0</v>
      </c>
      <c r="AS451" s="6">
        <v>1</v>
      </c>
      <c r="AT451" s="6">
        <v>0</v>
      </c>
      <c r="AU451" s="6">
        <v>2.15</v>
      </c>
      <c r="AV451" s="6">
        <v>1.38</v>
      </c>
      <c r="AW451" s="6">
        <v>177.22</v>
      </c>
      <c r="AX451" s="6">
        <v>30.23</v>
      </c>
      <c r="AY451" s="6">
        <v>156.11000000000001</v>
      </c>
      <c r="AZ451" s="6">
        <v>14.3</v>
      </c>
      <c r="BA451" s="6">
        <v>10.199999999999999</v>
      </c>
    </row>
    <row r="452" spans="1:53" x14ac:dyDescent="0.3">
      <c r="A452" s="6">
        <v>644459924</v>
      </c>
      <c r="B452" s="6">
        <v>352572</v>
      </c>
      <c r="C452" s="6">
        <v>9580255</v>
      </c>
      <c r="D452" s="6">
        <v>5499</v>
      </c>
      <c r="E452" s="6" t="s">
        <v>84</v>
      </c>
      <c r="F452" s="6">
        <v>51079</v>
      </c>
      <c r="G452" s="6" t="s">
        <v>107</v>
      </c>
      <c r="H452" s="10">
        <v>45863</v>
      </c>
      <c r="I452" s="10">
        <v>45863</v>
      </c>
      <c r="J452" s="4">
        <v>45863.270833333336</v>
      </c>
      <c r="K452" s="4">
        <v>45863.501643518517</v>
      </c>
      <c r="L452" s="11">
        <v>45863.481504629628</v>
      </c>
      <c r="M452" s="10">
        <v>45863</v>
      </c>
      <c r="N452" s="6" t="s">
        <v>121</v>
      </c>
      <c r="O452" t="s">
        <v>179</v>
      </c>
      <c r="P452" s="6" t="s">
        <v>78</v>
      </c>
      <c r="Q452" t="s">
        <v>219</v>
      </c>
      <c r="R452" t="s">
        <v>88</v>
      </c>
      <c r="S452" s="6">
        <v>763311</v>
      </c>
      <c r="T452" s="6" t="s">
        <v>111</v>
      </c>
      <c r="U452">
        <v>299</v>
      </c>
      <c r="V452" s="6">
        <v>25.9</v>
      </c>
      <c r="W452" s="6">
        <v>33</v>
      </c>
      <c r="X452" s="6">
        <v>298.7</v>
      </c>
      <c r="Y452" s="6">
        <v>357.6</v>
      </c>
      <c r="Z452" s="6" t="s">
        <v>63</v>
      </c>
      <c r="AA452" t="s">
        <v>581</v>
      </c>
      <c r="AB452" s="6" t="s">
        <v>97</v>
      </c>
      <c r="AC452" t="s">
        <v>154</v>
      </c>
      <c r="AD452" t="s">
        <v>67</v>
      </c>
      <c r="AE452">
        <v>-29</v>
      </c>
      <c r="AF452">
        <v>0</v>
      </c>
      <c r="AG452">
        <v>0</v>
      </c>
      <c r="AH452" s="6">
        <v>63.8</v>
      </c>
      <c r="AI452" s="6">
        <v>0</v>
      </c>
      <c r="AJ452" s="6">
        <v>0.73799999999999999</v>
      </c>
      <c r="AK452" s="6">
        <v>0.72899999999999998</v>
      </c>
      <c r="AL452" s="8">
        <v>4095.22</v>
      </c>
      <c r="AM452" s="6" t="s">
        <v>68</v>
      </c>
      <c r="AN452" s="6">
        <v>1</v>
      </c>
      <c r="AO452" s="6">
        <v>1</v>
      </c>
      <c r="AP452" s="6">
        <v>0</v>
      </c>
      <c r="AQ452" s="6">
        <v>1</v>
      </c>
      <c r="AR452" s="6">
        <v>0</v>
      </c>
      <c r="AS452" s="6">
        <v>1</v>
      </c>
      <c r="AT452" s="6">
        <v>0</v>
      </c>
      <c r="AU452" s="6">
        <v>2.0699999999999998</v>
      </c>
      <c r="AV452" s="6">
        <v>1.23</v>
      </c>
      <c r="AW452" s="6">
        <v>273.99</v>
      </c>
      <c r="AX452" s="6">
        <v>64.37</v>
      </c>
      <c r="AY452" s="6">
        <v>227.65</v>
      </c>
      <c r="AZ452" s="6">
        <v>12.6</v>
      </c>
      <c r="BA452" s="6">
        <v>63.3</v>
      </c>
    </row>
    <row r="453" spans="1:53" x14ac:dyDescent="0.3">
      <c r="A453" s="6">
        <v>512834919</v>
      </c>
      <c r="B453" s="6">
        <v>946335</v>
      </c>
      <c r="C453" s="6">
        <v>1247595</v>
      </c>
      <c r="D453" s="6">
        <v>6675</v>
      </c>
      <c r="E453" s="6" t="s">
        <v>84</v>
      </c>
      <c r="F453" s="6">
        <v>58370</v>
      </c>
      <c r="G453" s="6" t="s">
        <v>115</v>
      </c>
      <c r="H453" s="10">
        <v>45717</v>
      </c>
      <c r="I453" s="10">
        <v>45717</v>
      </c>
      <c r="J453" s="4">
        <v>45717.461805555555</v>
      </c>
      <c r="K453" s="4">
        <v>45717.572916666664</v>
      </c>
      <c r="L453" s="11">
        <v>45717.557638888888</v>
      </c>
      <c r="M453" s="10">
        <v>45717</v>
      </c>
      <c r="N453" s="6" t="s">
        <v>134</v>
      </c>
      <c r="O453" t="s">
        <v>135</v>
      </c>
      <c r="P453" s="6" t="s">
        <v>93</v>
      </c>
      <c r="Q453" t="s">
        <v>95</v>
      </c>
      <c r="R453" t="s">
        <v>73</v>
      </c>
      <c r="S453" s="6">
        <v>720278</v>
      </c>
      <c r="T453" s="6" t="s">
        <v>1</v>
      </c>
      <c r="U453">
        <v>108</v>
      </c>
      <c r="V453" s="6">
        <v>20</v>
      </c>
      <c r="W453" s="6">
        <v>21.5</v>
      </c>
      <c r="X453" s="6">
        <v>101.2</v>
      </c>
      <c r="Y453" s="6">
        <v>142.69999999999999</v>
      </c>
      <c r="Z453" s="6" t="s">
        <v>63</v>
      </c>
      <c r="AA453" t="s">
        <v>516</v>
      </c>
      <c r="AB453" s="6" t="s">
        <v>75</v>
      </c>
      <c r="AC453" t="s">
        <v>76</v>
      </c>
      <c r="AD453" t="s">
        <v>67</v>
      </c>
      <c r="AE453">
        <v>-22</v>
      </c>
      <c r="AF453">
        <v>59</v>
      </c>
      <c r="AG453">
        <v>0</v>
      </c>
      <c r="AH453" s="6">
        <v>40.9</v>
      </c>
      <c r="AI453" s="6">
        <v>0</v>
      </c>
      <c r="AJ453" s="6">
        <v>0.84699999999999998</v>
      </c>
      <c r="AK453" s="6">
        <v>0.55900000000000005</v>
      </c>
      <c r="AL453" s="8">
        <v>849.32</v>
      </c>
      <c r="AM453" s="6" t="s">
        <v>68</v>
      </c>
      <c r="AN453" s="6">
        <v>1</v>
      </c>
      <c r="AO453" s="6">
        <v>1</v>
      </c>
      <c r="AP453" s="6">
        <v>0</v>
      </c>
      <c r="AQ453" s="6">
        <v>1</v>
      </c>
      <c r="AR453" s="6">
        <v>0</v>
      </c>
      <c r="AS453" s="6">
        <v>1</v>
      </c>
      <c r="AT453" s="6">
        <v>0</v>
      </c>
      <c r="AU453" s="6">
        <v>2.06</v>
      </c>
      <c r="AV453" s="6">
        <v>1.32</v>
      </c>
      <c r="AW453" s="6">
        <v>106.66</v>
      </c>
      <c r="AX453" s="6">
        <v>23.46</v>
      </c>
      <c r="AY453" s="6">
        <v>95</v>
      </c>
      <c r="AZ453" s="6">
        <v>32.6</v>
      </c>
      <c r="BA453" s="6">
        <v>4.7</v>
      </c>
    </row>
    <row r="454" spans="1:53" x14ac:dyDescent="0.3">
      <c r="A454" s="6">
        <v>596832859</v>
      </c>
      <c r="B454" s="6">
        <v>733052</v>
      </c>
      <c r="C454" s="6">
        <v>2642635</v>
      </c>
      <c r="D454" s="6">
        <v>8989</v>
      </c>
      <c r="E454" s="6" t="s">
        <v>84</v>
      </c>
      <c r="F454" s="6">
        <v>52847</v>
      </c>
      <c r="G454" s="6" t="s">
        <v>164</v>
      </c>
      <c r="H454" s="10">
        <v>45771</v>
      </c>
      <c r="I454" s="10">
        <v>45771</v>
      </c>
      <c r="J454" s="4">
        <v>45771.697916666664</v>
      </c>
      <c r="K454" s="4">
        <v>45771.961701388886</v>
      </c>
      <c r="L454" s="11">
        <v>45771.945729166669</v>
      </c>
      <c r="M454" s="10">
        <v>45771</v>
      </c>
      <c r="N454" s="6" t="s">
        <v>78</v>
      </c>
      <c r="O454" t="s">
        <v>219</v>
      </c>
      <c r="P454" s="6" t="s">
        <v>116</v>
      </c>
      <c r="Q454" t="s">
        <v>212</v>
      </c>
      <c r="R454" t="s">
        <v>123</v>
      </c>
      <c r="S454" s="6">
        <v>781663</v>
      </c>
      <c r="T454" s="6" t="s">
        <v>111</v>
      </c>
      <c r="U454">
        <v>317</v>
      </c>
      <c r="V454" s="6">
        <v>33.6</v>
      </c>
      <c r="W454" s="6">
        <v>19</v>
      </c>
      <c r="X454" s="6">
        <v>316.39999999999998</v>
      </c>
      <c r="Y454" s="6">
        <v>369</v>
      </c>
      <c r="Z454" s="6" t="s">
        <v>2</v>
      </c>
      <c r="AA454" t="s">
        <v>582</v>
      </c>
      <c r="AB454" s="6" t="s">
        <v>90</v>
      </c>
      <c r="AC454" t="s">
        <v>137</v>
      </c>
      <c r="AD454" t="s">
        <v>67</v>
      </c>
      <c r="AE454">
        <v>-23</v>
      </c>
      <c r="AF454">
        <v>0</v>
      </c>
      <c r="AG454">
        <v>0</v>
      </c>
      <c r="AH454" s="6">
        <v>72.599999999999994</v>
      </c>
      <c r="AI454" s="6">
        <v>0</v>
      </c>
      <c r="AJ454" s="6">
        <v>0.57599999999999996</v>
      </c>
      <c r="AK454" s="6">
        <v>0.55400000000000005</v>
      </c>
      <c r="AL454" s="8">
        <v>4503.6499999999996</v>
      </c>
      <c r="AM454" s="6" t="s">
        <v>68</v>
      </c>
      <c r="AN454" s="6">
        <v>1</v>
      </c>
      <c r="AO454" s="6">
        <v>1</v>
      </c>
      <c r="AP454" s="6">
        <v>0</v>
      </c>
      <c r="AQ454" s="6">
        <v>1</v>
      </c>
      <c r="AR454" s="6">
        <v>0</v>
      </c>
      <c r="AS454" s="6">
        <v>1</v>
      </c>
      <c r="AT454" s="6">
        <v>0</v>
      </c>
      <c r="AU454" s="6">
        <v>2.7</v>
      </c>
      <c r="AV454" s="6">
        <v>2.11</v>
      </c>
      <c r="AW454" s="6">
        <v>287.08999999999997</v>
      </c>
      <c r="AX454" s="6">
        <v>72.55</v>
      </c>
      <c r="AY454" s="6">
        <v>246.54</v>
      </c>
      <c r="AZ454" s="6">
        <v>11.9</v>
      </c>
      <c r="BA454" s="6">
        <v>20.7</v>
      </c>
    </row>
    <row r="455" spans="1:53" x14ac:dyDescent="0.3">
      <c r="A455" s="6">
        <v>723123952</v>
      </c>
      <c r="B455" s="6">
        <v>456699</v>
      </c>
      <c r="C455" s="6">
        <v>1415846</v>
      </c>
      <c r="D455" s="6">
        <v>1197</v>
      </c>
      <c r="E455" s="6" t="s">
        <v>106</v>
      </c>
      <c r="F455" s="6">
        <v>51960</v>
      </c>
      <c r="G455" s="6" t="s">
        <v>77</v>
      </c>
      <c r="H455" s="10">
        <v>45986</v>
      </c>
      <c r="I455" s="10">
        <v>45986</v>
      </c>
      <c r="J455" s="4">
        <v>45986.527777777781</v>
      </c>
      <c r="K455" s="4">
        <v>45986.757581018515</v>
      </c>
      <c r="L455" s="11">
        <v>45986.723553240743</v>
      </c>
      <c r="M455" s="10">
        <v>45986</v>
      </c>
      <c r="N455" s="6" t="s">
        <v>103</v>
      </c>
      <c r="O455" t="s">
        <v>232</v>
      </c>
      <c r="P455" s="6" t="s">
        <v>200</v>
      </c>
      <c r="Q455" t="s">
        <v>201</v>
      </c>
      <c r="R455" t="s">
        <v>62</v>
      </c>
      <c r="S455" s="6">
        <v>717326</v>
      </c>
      <c r="T455" s="6" t="s">
        <v>1</v>
      </c>
      <c r="U455">
        <v>244</v>
      </c>
      <c r="V455" s="6">
        <v>36</v>
      </c>
      <c r="W455" s="6">
        <v>0.5</v>
      </c>
      <c r="X455" s="6">
        <v>249.9</v>
      </c>
      <c r="Y455" s="6">
        <v>286.39999999999998</v>
      </c>
      <c r="Z455" s="6" t="s">
        <v>2</v>
      </c>
      <c r="AA455" t="s">
        <v>382</v>
      </c>
      <c r="AB455" s="6" t="s">
        <v>75</v>
      </c>
      <c r="AC455" t="s">
        <v>66</v>
      </c>
      <c r="AD455" t="s">
        <v>67</v>
      </c>
      <c r="AE455">
        <v>-49</v>
      </c>
      <c r="AF455">
        <v>0</v>
      </c>
      <c r="AG455">
        <v>0</v>
      </c>
      <c r="AH455" s="6">
        <v>44.8</v>
      </c>
      <c r="AI455" s="6">
        <v>0</v>
      </c>
      <c r="AJ455" s="6">
        <v>0.67800000000000005</v>
      </c>
      <c r="AK455" s="6">
        <v>0.73299999999999998</v>
      </c>
      <c r="AL455" s="8">
        <v>75408.97</v>
      </c>
      <c r="AM455" s="6" t="s">
        <v>155</v>
      </c>
      <c r="AN455" s="6">
        <v>1</v>
      </c>
      <c r="AO455" s="6">
        <v>1</v>
      </c>
      <c r="AP455" s="6">
        <v>0</v>
      </c>
      <c r="AQ455" s="6">
        <v>1</v>
      </c>
      <c r="AR455" s="6">
        <v>0</v>
      </c>
      <c r="AS455" s="6">
        <v>1</v>
      </c>
      <c r="AT455" s="6">
        <v>0</v>
      </c>
      <c r="AU455" s="6">
        <v>2.54</v>
      </c>
      <c r="AV455" s="6">
        <v>1.58</v>
      </c>
      <c r="AW455" s="6">
        <v>202.15</v>
      </c>
      <c r="AX455" s="6">
        <v>39.619999999999997</v>
      </c>
      <c r="AY455" s="6">
        <v>186.8</v>
      </c>
      <c r="AZ455" s="6">
        <v>15.2</v>
      </c>
      <c r="BA455" s="6">
        <v>30.3</v>
      </c>
    </row>
    <row r="456" spans="1:53" x14ac:dyDescent="0.3">
      <c r="A456" s="6">
        <v>695192667</v>
      </c>
      <c r="B456" s="6">
        <v>301629</v>
      </c>
      <c r="C456" s="6">
        <v>8633773</v>
      </c>
      <c r="D456" s="6">
        <v>7331</v>
      </c>
      <c r="E456" s="6" t="s">
        <v>84</v>
      </c>
      <c r="F456" s="6">
        <v>51473</v>
      </c>
      <c r="G456" s="6" t="s">
        <v>203</v>
      </c>
      <c r="H456" s="10">
        <v>45909</v>
      </c>
      <c r="I456" s="10">
        <v>45909</v>
      </c>
      <c r="J456" s="4">
        <v>45909.329861111109</v>
      </c>
      <c r="K456" s="4">
        <v>45909.514224537037</v>
      </c>
      <c r="L456" s="11">
        <v>45909.493391203701</v>
      </c>
      <c r="M456" s="10">
        <v>45909</v>
      </c>
      <c r="N456" s="6" t="s">
        <v>200</v>
      </c>
      <c r="O456" t="s">
        <v>161</v>
      </c>
      <c r="P456" s="6" t="s">
        <v>70</v>
      </c>
      <c r="Q456" t="s">
        <v>138</v>
      </c>
      <c r="R456" t="s">
        <v>73</v>
      </c>
      <c r="S456" s="6">
        <v>758407</v>
      </c>
      <c r="T456" s="6" t="s">
        <v>1</v>
      </c>
      <c r="U456">
        <v>226</v>
      </c>
      <c r="V456" s="6">
        <v>8.1</v>
      </c>
      <c r="W456" s="6">
        <v>30.3</v>
      </c>
      <c r="X456" s="6">
        <v>218.4</v>
      </c>
      <c r="Y456" s="6">
        <v>256.8</v>
      </c>
      <c r="Z456" s="6" t="s">
        <v>112</v>
      </c>
      <c r="AA456" t="s">
        <v>441</v>
      </c>
      <c r="AB456" s="6" t="s">
        <v>97</v>
      </c>
      <c r="AC456" t="s">
        <v>66</v>
      </c>
      <c r="AD456" t="s">
        <v>67</v>
      </c>
      <c r="AE456">
        <v>-30</v>
      </c>
      <c r="AF456">
        <v>0</v>
      </c>
      <c r="AG456">
        <v>0</v>
      </c>
      <c r="AH456" s="6">
        <v>50.6</v>
      </c>
      <c r="AI456" s="6">
        <v>0</v>
      </c>
      <c r="AJ456" s="6">
        <v>0.61</v>
      </c>
      <c r="AK456" s="6">
        <v>0.60799999999999998</v>
      </c>
      <c r="AL456" s="8">
        <v>5856.36</v>
      </c>
      <c r="AM456" s="6" t="s">
        <v>68</v>
      </c>
      <c r="AN456" s="6">
        <v>1</v>
      </c>
      <c r="AO456" s="6">
        <v>1</v>
      </c>
      <c r="AP456" s="6">
        <v>0</v>
      </c>
      <c r="AQ456" s="6">
        <v>1</v>
      </c>
      <c r="AR456" s="6">
        <v>0</v>
      </c>
      <c r="AS456" s="6">
        <v>1</v>
      </c>
      <c r="AT456" s="6">
        <v>0</v>
      </c>
      <c r="AU456" s="6">
        <v>2.15</v>
      </c>
      <c r="AV456" s="6">
        <v>1.34</v>
      </c>
      <c r="AW456" s="6">
        <v>194.88</v>
      </c>
      <c r="AX456" s="6">
        <v>35.840000000000003</v>
      </c>
      <c r="AY456" s="6">
        <v>136.4</v>
      </c>
      <c r="AZ456" s="6">
        <v>63.5</v>
      </c>
      <c r="BA456" s="6">
        <v>18.3</v>
      </c>
    </row>
    <row r="457" spans="1:53" x14ac:dyDescent="0.3">
      <c r="A457" s="6">
        <v>950207886</v>
      </c>
      <c r="B457" s="6">
        <v>944151</v>
      </c>
      <c r="C457" s="6">
        <v>6855396</v>
      </c>
      <c r="D457" s="6">
        <v>8574</v>
      </c>
      <c r="E457" s="6" t="s">
        <v>225</v>
      </c>
      <c r="F457" s="6">
        <v>54888</v>
      </c>
      <c r="G457" s="6" t="s">
        <v>127</v>
      </c>
      <c r="H457" s="10">
        <v>46017</v>
      </c>
      <c r="I457" s="10">
        <v>46017</v>
      </c>
      <c r="J457" s="4">
        <v>46017.614583333336</v>
      </c>
      <c r="K457" s="4">
        <v>46017.877905092595</v>
      </c>
      <c r="L457" s="11">
        <v>46017.877905092595</v>
      </c>
      <c r="M457" s="10">
        <v>46017</v>
      </c>
      <c r="N457" s="6" t="s">
        <v>70</v>
      </c>
      <c r="O457" t="s">
        <v>138</v>
      </c>
      <c r="P457" s="6" t="s">
        <v>134</v>
      </c>
      <c r="Q457" t="s">
        <v>278</v>
      </c>
      <c r="R457" t="s">
        <v>73</v>
      </c>
      <c r="S457" s="6">
        <v>751684</v>
      </c>
      <c r="T457" s="6" t="s">
        <v>1</v>
      </c>
      <c r="U457">
        <v>223</v>
      </c>
      <c r="V457" s="6">
        <v>46.4</v>
      </c>
      <c r="W457" s="6">
        <v>26.8</v>
      </c>
      <c r="X457" s="6">
        <v>226.9</v>
      </c>
      <c r="Y457" s="6">
        <v>300.10000000000002</v>
      </c>
      <c r="Z457" s="6" t="s">
        <v>112</v>
      </c>
      <c r="AA457" t="s">
        <v>493</v>
      </c>
      <c r="AB457" s="6" t="s">
        <v>90</v>
      </c>
      <c r="AC457" t="s">
        <v>154</v>
      </c>
      <c r="AD457" t="s">
        <v>67</v>
      </c>
      <c r="AE457">
        <v>0</v>
      </c>
      <c r="AF457">
        <v>0</v>
      </c>
      <c r="AG457">
        <v>0</v>
      </c>
      <c r="AH457" s="6">
        <v>37.6</v>
      </c>
      <c r="AI457" s="6">
        <v>0</v>
      </c>
      <c r="AJ457" s="6">
        <v>0.66600000000000004</v>
      </c>
      <c r="AK457" s="6">
        <v>0.75800000000000001</v>
      </c>
      <c r="AL457" s="8">
        <v>4633.47</v>
      </c>
      <c r="AM457" s="6" t="s">
        <v>68</v>
      </c>
      <c r="AN457" s="6">
        <v>1</v>
      </c>
      <c r="AO457" s="6">
        <v>1</v>
      </c>
      <c r="AP457" s="6">
        <v>0</v>
      </c>
      <c r="AQ457" s="6">
        <v>1</v>
      </c>
      <c r="AR457" s="6">
        <v>0</v>
      </c>
      <c r="AS457" s="6">
        <v>1</v>
      </c>
      <c r="AT457" s="6">
        <v>0</v>
      </c>
      <c r="AU457" s="6">
        <v>2.5499999999999998</v>
      </c>
      <c r="AV457" s="6">
        <v>1.82</v>
      </c>
      <c r="AW457" s="6">
        <v>199.15</v>
      </c>
      <c r="AX457" s="6">
        <v>35.43</v>
      </c>
      <c r="AY457" s="6">
        <v>183.19</v>
      </c>
      <c r="AZ457" s="6">
        <v>12.8</v>
      </c>
      <c r="BA457" s="6">
        <v>34</v>
      </c>
    </row>
    <row r="458" spans="1:53" x14ac:dyDescent="0.3">
      <c r="A458" s="6">
        <v>893410426</v>
      </c>
      <c r="B458" s="6">
        <v>263032</v>
      </c>
      <c r="C458" s="6">
        <v>4191175</v>
      </c>
      <c r="D458" s="6">
        <v>6486</v>
      </c>
      <c r="E458" s="6" t="s">
        <v>225</v>
      </c>
      <c r="F458" s="6">
        <v>54979</v>
      </c>
      <c r="G458" s="6" t="s">
        <v>115</v>
      </c>
      <c r="H458" s="10">
        <v>45937</v>
      </c>
      <c r="I458" s="10">
        <v>45937</v>
      </c>
      <c r="J458" s="4">
        <v>45937.444444444445</v>
      </c>
      <c r="K458" s="4">
        <v>45937.592083333337</v>
      </c>
      <c r="L458" s="11">
        <v>45937.592083333337</v>
      </c>
      <c r="M458" s="10">
        <v>45937</v>
      </c>
      <c r="N458" s="6" t="s">
        <v>132</v>
      </c>
      <c r="O458" t="s">
        <v>133</v>
      </c>
      <c r="P458" s="6" t="s">
        <v>129</v>
      </c>
      <c r="Q458" t="s">
        <v>157</v>
      </c>
      <c r="R458" t="s">
        <v>123</v>
      </c>
      <c r="S458" s="6">
        <v>763944</v>
      </c>
      <c r="T458" s="6" t="s">
        <v>1</v>
      </c>
      <c r="U458">
        <v>111</v>
      </c>
      <c r="V458" s="6">
        <v>4.5999999999999996</v>
      </c>
      <c r="W458" s="6">
        <v>18.899999999999999</v>
      </c>
      <c r="X458" s="6">
        <v>117</v>
      </c>
      <c r="Y458" s="6">
        <v>140.5</v>
      </c>
      <c r="Z458" s="6" t="s">
        <v>215</v>
      </c>
      <c r="AA458" t="s">
        <v>583</v>
      </c>
      <c r="AB458" s="6" t="s">
        <v>75</v>
      </c>
      <c r="AC458" t="s">
        <v>66</v>
      </c>
      <c r="AD458" t="s">
        <v>67</v>
      </c>
      <c r="AE458">
        <v>0</v>
      </c>
      <c r="AF458">
        <v>0</v>
      </c>
      <c r="AG458">
        <v>0</v>
      </c>
      <c r="AH458" s="6">
        <v>84.5</v>
      </c>
      <c r="AI458" s="6">
        <v>0</v>
      </c>
      <c r="AJ458" s="6">
        <v>0.47099999999999997</v>
      </c>
      <c r="AK458" s="6">
        <v>0.92200000000000004</v>
      </c>
      <c r="AL458" s="8">
        <v>4470.99</v>
      </c>
      <c r="AM458" s="6" t="s">
        <v>68</v>
      </c>
      <c r="AN458" s="6">
        <v>1</v>
      </c>
      <c r="AO458" s="6">
        <v>1</v>
      </c>
      <c r="AP458" s="6">
        <v>0</v>
      </c>
      <c r="AQ458" s="6">
        <v>1</v>
      </c>
      <c r="AR458" s="6">
        <v>0</v>
      </c>
      <c r="AS458" s="6">
        <v>1</v>
      </c>
      <c r="AT458" s="6">
        <v>0</v>
      </c>
      <c r="AU458" s="6">
        <v>2.63</v>
      </c>
      <c r="AV458" s="6">
        <v>1.85</v>
      </c>
      <c r="AW458" s="6">
        <v>117.02</v>
      </c>
      <c r="AX458" s="6">
        <v>25.05</v>
      </c>
      <c r="AY458" s="6">
        <v>77.22</v>
      </c>
      <c r="AZ458" s="6">
        <v>13.2</v>
      </c>
      <c r="BA458" s="6">
        <v>19</v>
      </c>
    </row>
    <row r="459" spans="1:53" x14ac:dyDescent="0.3">
      <c r="A459" s="6">
        <v>144047803</v>
      </c>
      <c r="B459" s="6">
        <v>665492</v>
      </c>
      <c r="C459" s="6">
        <v>5960271</v>
      </c>
      <c r="D459" s="6">
        <v>7015</v>
      </c>
      <c r="E459" s="6" t="s">
        <v>84</v>
      </c>
      <c r="F459" s="6">
        <v>51212</v>
      </c>
      <c r="G459" s="6" t="s">
        <v>149</v>
      </c>
      <c r="H459" s="10">
        <v>46001</v>
      </c>
      <c r="I459" s="10">
        <v>46001</v>
      </c>
      <c r="J459" s="4">
        <v>46001.805555555555</v>
      </c>
      <c r="K459" s="4">
        <v>46002.032256944447</v>
      </c>
      <c r="L459" s="11">
        <v>46002.026006944441</v>
      </c>
      <c r="M459" s="10">
        <v>46002</v>
      </c>
      <c r="N459" s="6" t="s">
        <v>200</v>
      </c>
      <c r="O459" t="s">
        <v>171</v>
      </c>
      <c r="P459" s="6" t="s">
        <v>103</v>
      </c>
      <c r="Q459" t="s">
        <v>204</v>
      </c>
      <c r="R459" t="s">
        <v>73</v>
      </c>
      <c r="S459" s="6">
        <v>714749</v>
      </c>
      <c r="T459" s="6" t="s">
        <v>1</v>
      </c>
      <c r="U459">
        <v>205</v>
      </c>
      <c r="V459" s="6">
        <v>14.7</v>
      </c>
      <c r="W459" s="6">
        <v>10.8</v>
      </c>
      <c r="X459" s="6">
        <v>203.4</v>
      </c>
      <c r="Y459" s="6">
        <v>228.9</v>
      </c>
      <c r="Z459" s="6" t="s">
        <v>63</v>
      </c>
      <c r="AA459" t="s">
        <v>501</v>
      </c>
      <c r="AB459" s="6" t="s">
        <v>65</v>
      </c>
      <c r="AC459" t="s">
        <v>125</v>
      </c>
      <c r="AD459" t="s">
        <v>67</v>
      </c>
      <c r="AE459">
        <v>-9</v>
      </c>
      <c r="AF459">
        <v>0</v>
      </c>
      <c r="AG459">
        <v>0</v>
      </c>
      <c r="AH459" s="6">
        <v>25.3</v>
      </c>
      <c r="AI459" s="6">
        <v>0</v>
      </c>
      <c r="AJ459" s="6">
        <v>0.65400000000000003</v>
      </c>
      <c r="AK459" s="6">
        <v>0.48899999999999999</v>
      </c>
      <c r="AL459" s="8">
        <v>3568.5</v>
      </c>
      <c r="AM459" s="6" t="s">
        <v>68</v>
      </c>
      <c r="AN459" s="6">
        <v>1</v>
      </c>
      <c r="AO459" s="6">
        <v>1</v>
      </c>
      <c r="AP459" s="6">
        <v>0</v>
      </c>
      <c r="AQ459" s="6">
        <v>1</v>
      </c>
      <c r="AR459" s="6">
        <v>0</v>
      </c>
      <c r="AS459" s="6">
        <v>1</v>
      </c>
      <c r="AT459" s="6">
        <v>0</v>
      </c>
      <c r="AU459" s="6">
        <v>2.29</v>
      </c>
      <c r="AV459" s="6">
        <v>1.42</v>
      </c>
      <c r="AW459" s="6">
        <v>167.31</v>
      </c>
      <c r="AX459" s="6">
        <v>42.36</v>
      </c>
      <c r="AY459" s="6">
        <v>152.44999999999999</v>
      </c>
      <c r="AZ459" s="6">
        <v>5.6</v>
      </c>
      <c r="BA459" s="6">
        <v>9.5</v>
      </c>
    </row>
    <row r="460" spans="1:53" x14ac:dyDescent="0.3">
      <c r="A460" s="6">
        <v>582897882</v>
      </c>
      <c r="B460" s="6">
        <v>217301</v>
      </c>
      <c r="C460" s="6">
        <v>5453786</v>
      </c>
      <c r="D460" s="6">
        <v>5548</v>
      </c>
      <c r="E460" s="6" t="s">
        <v>142</v>
      </c>
      <c r="F460" s="6">
        <v>55697</v>
      </c>
      <c r="G460" s="6" t="s">
        <v>107</v>
      </c>
      <c r="H460" s="10">
        <v>45736</v>
      </c>
      <c r="I460" s="10">
        <v>45736</v>
      </c>
      <c r="J460" s="4">
        <v>45736.659722222219</v>
      </c>
      <c r="K460" s="4">
        <v>45737.635798611111</v>
      </c>
      <c r="L460" s="11">
        <v>45737.582326388889</v>
      </c>
      <c r="M460" s="10">
        <v>45737</v>
      </c>
      <c r="N460" s="6" t="s">
        <v>93</v>
      </c>
      <c r="O460" t="s">
        <v>144</v>
      </c>
      <c r="P460" s="6" t="s">
        <v>93</v>
      </c>
      <c r="Q460" t="s">
        <v>217</v>
      </c>
      <c r="R460" t="s">
        <v>73</v>
      </c>
      <c r="S460" s="6">
        <v>758654</v>
      </c>
      <c r="T460" s="6" t="s">
        <v>140</v>
      </c>
      <c r="U460">
        <v>1007</v>
      </c>
      <c r="V460" s="6">
        <v>10.199999999999999</v>
      </c>
      <c r="W460" s="6">
        <v>15.6</v>
      </c>
      <c r="X460" s="6">
        <v>1007.2</v>
      </c>
      <c r="Y460" s="6">
        <v>1033</v>
      </c>
      <c r="Z460" s="6" t="s">
        <v>112</v>
      </c>
      <c r="AA460" t="s">
        <v>584</v>
      </c>
      <c r="AB460" s="6" t="s">
        <v>90</v>
      </c>
      <c r="AC460" t="s">
        <v>137</v>
      </c>
      <c r="AD460" t="s">
        <v>67</v>
      </c>
      <c r="AE460">
        <v>-77</v>
      </c>
      <c r="AF460">
        <v>0</v>
      </c>
      <c r="AG460">
        <v>0</v>
      </c>
      <c r="AH460" s="6">
        <v>46</v>
      </c>
      <c r="AI460" s="6">
        <v>0</v>
      </c>
      <c r="AJ460" s="6">
        <v>0.502</v>
      </c>
      <c r="AK460" s="6">
        <v>0.86199999999999999</v>
      </c>
      <c r="AL460" s="8">
        <v>3468.52</v>
      </c>
      <c r="AM460" s="6" t="s">
        <v>68</v>
      </c>
      <c r="AN460" s="6">
        <v>1</v>
      </c>
      <c r="AO460" s="6">
        <v>1</v>
      </c>
      <c r="AP460" s="6">
        <v>0</v>
      </c>
      <c r="AQ460" s="6">
        <v>1</v>
      </c>
      <c r="AR460" s="6">
        <v>0</v>
      </c>
      <c r="AS460" s="6">
        <v>1</v>
      </c>
      <c r="AT460" s="6">
        <v>0</v>
      </c>
      <c r="AU460" s="6">
        <v>2.35</v>
      </c>
      <c r="AV460" s="6">
        <v>1.44</v>
      </c>
      <c r="AW460" s="6">
        <v>808.55</v>
      </c>
      <c r="AX460" s="6">
        <v>120.46</v>
      </c>
      <c r="AY460" s="6">
        <v>681.31</v>
      </c>
      <c r="AZ460" s="6">
        <v>13</v>
      </c>
      <c r="BA460" s="6">
        <v>21.8</v>
      </c>
    </row>
    <row r="461" spans="1:53" x14ac:dyDescent="0.3">
      <c r="A461" s="6">
        <v>969533218</v>
      </c>
      <c r="B461" s="6">
        <v>972064</v>
      </c>
      <c r="C461" s="6">
        <v>2818692</v>
      </c>
      <c r="D461" s="6">
        <v>8158</v>
      </c>
      <c r="E461" s="6" t="s">
        <v>84</v>
      </c>
      <c r="F461" s="6">
        <v>59001</v>
      </c>
      <c r="G461" s="6" t="s">
        <v>175</v>
      </c>
      <c r="H461" s="10">
        <v>45939</v>
      </c>
      <c r="I461" s="10">
        <v>45939</v>
      </c>
      <c r="J461" s="4">
        <v>45939.28125</v>
      </c>
      <c r="K461" s="4">
        <v>45939.43072916667</v>
      </c>
      <c r="L461" s="11">
        <v>45939.406423611108</v>
      </c>
      <c r="M461" s="10">
        <v>45939</v>
      </c>
      <c r="N461" s="6" t="s">
        <v>134</v>
      </c>
      <c r="O461" t="s">
        <v>278</v>
      </c>
      <c r="P461" s="6" t="s">
        <v>116</v>
      </c>
      <c r="Q461" t="s">
        <v>251</v>
      </c>
      <c r="R461" t="s">
        <v>123</v>
      </c>
      <c r="S461" s="6">
        <v>799317</v>
      </c>
      <c r="T461" s="6" t="s">
        <v>1</v>
      </c>
      <c r="U461">
        <v>190</v>
      </c>
      <c r="V461" s="6">
        <v>9</v>
      </c>
      <c r="W461" s="6">
        <v>2.2999999999999998</v>
      </c>
      <c r="X461" s="6">
        <v>187.1</v>
      </c>
      <c r="Y461" s="6">
        <v>198.4</v>
      </c>
      <c r="Z461" s="6" t="s">
        <v>2</v>
      </c>
      <c r="AA461" t="s">
        <v>585</v>
      </c>
      <c r="AB461" s="6" t="s">
        <v>97</v>
      </c>
      <c r="AC461" t="s">
        <v>137</v>
      </c>
      <c r="AD461" t="s">
        <v>67</v>
      </c>
      <c r="AE461">
        <v>-35</v>
      </c>
      <c r="AF461">
        <v>0</v>
      </c>
      <c r="AG461">
        <v>0</v>
      </c>
      <c r="AH461" s="6">
        <v>92.1</v>
      </c>
      <c r="AI461" s="6">
        <v>0</v>
      </c>
      <c r="AJ461" s="6">
        <v>0.91100000000000003</v>
      </c>
      <c r="AK461" s="6">
        <v>0.68300000000000005</v>
      </c>
      <c r="AL461" s="8">
        <v>6416.82</v>
      </c>
      <c r="AM461" s="6" t="s">
        <v>68</v>
      </c>
      <c r="AN461" s="6">
        <v>1</v>
      </c>
      <c r="AO461" s="6">
        <v>1</v>
      </c>
      <c r="AP461" s="6">
        <v>0</v>
      </c>
      <c r="AQ461" s="6">
        <v>1</v>
      </c>
      <c r="AR461" s="6">
        <v>0</v>
      </c>
      <c r="AS461" s="6">
        <v>1</v>
      </c>
      <c r="AT461" s="6">
        <v>0</v>
      </c>
      <c r="AU461" s="6">
        <v>2.35</v>
      </c>
      <c r="AV461" s="6">
        <v>1.42</v>
      </c>
      <c r="AW461" s="6">
        <v>158.99</v>
      </c>
      <c r="AX461" s="6">
        <v>25.89</v>
      </c>
      <c r="AY461" s="6">
        <v>106.17</v>
      </c>
      <c r="AZ461" s="6">
        <v>10</v>
      </c>
      <c r="BA461" s="6">
        <v>24.2</v>
      </c>
    </row>
    <row r="462" spans="1:53" x14ac:dyDescent="0.3">
      <c r="A462" s="6">
        <v>713811693</v>
      </c>
      <c r="B462" s="6">
        <v>816751</v>
      </c>
      <c r="C462" s="6">
        <v>3011363</v>
      </c>
      <c r="D462" s="6">
        <v>9996</v>
      </c>
      <c r="E462" s="6" t="s">
        <v>185</v>
      </c>
      <c r="F462" s="6">
        <v>50419</v>
      </c>
      <c r="G462" s="6" t="s">
        <v>127</v>
      </c>
      <c r="H462" s="10">
        <v>45665</v>
      </c>
      <c r="I462" s="10">
        <v>45665</v>
      </c>
      <c r="J462" s="4">
        <v>45665.479166666664</v>
      </c>
      <c r="K462" s="4">
        <v>45665.917164351849</v>
      </c>
      <c r="L462" s="11">
        <v>45665.911608796298</v>
      </c>
      <c r="M462" s="10">
        <v>45665</v>
      </c>
      <c r="N462" s="6" t="s">
        <v>70</v>
      </c>
      <c r="O462" t="s">
        <v>322</v>
      </c>
      <c r="P462" s="6" t="s">
        <v>109</v>
      </c>
      <c r="Q462" t="s">
        <v>110</v>
      </c>
      <c r="R462" t="s">
        <v>88</v>
      </c>
      <c r="S462" s="6">
        <v>795672</v>
      </c>
      <c r="T462" s="6" t="s">
        <v>111</v>
      </c>
      <c r="U462">
        <v>433</v>
      </c>
      <c r="V462" s="6">
        <v>41.6</v>
      </c>
      <c r="W462" s="6">
        <v>5.2</v>
      </c>
      <c r="X462" s="6">
        <v>431.1</v>
      </c>
      <c r="Y462" s="6">
        <v>477.9</v>
      </c>
      <c r="Z462" s="6" t="s">
        <v>63</v>
      </c>
      <c r="AA462" t="s">
        <v>586</v>
      </c>
      <c r="AB462" s="6" t="s">
        <v>75</v>
      </c>
      <c r="AC462" t="s">
        <v>125</v>
      </c>
      <c r="AD462" t="s">
        <v>67</v>
      </c>
      <c r="AE462">
        <v>-8</v>
      </c>
      <c r="AF462">
        <v>0</v>
      </c>
      <c r="AG462">
        <v>0</v>
      </c>
      <c r="AH462" s="6">
        <v>71</v>
      </c>
      <c r="AI462" s="6">
        <v>0</v>
      </c>
      <c r="AJ462" s="6">
        <v>0.58299999999999996</v>
      </c>
      <c r="AK462" s="6">
        <v>0.80600000000000005</v>
      </c>
      <c r="AL462" s="8">
        <v>24084.26</v>
      </c>
      <c r="AM462" s="6" t="s">
        <v>155</v>
      </c>
      <c r="AN462" s="6">
        <v>1</v>
      </c>
      <c r="AO462" s="6">
        <v>1</v>
      </c>
      <c r="AP462" s="6">
        <v>0</v>
      </c>
      <c r="AQ462" s="6">
        <v>1</v>
      </c>
      <c r="AR462" s="6">
        <v>0</v>
      </c>
      <c r="AS462" s="6">
        <v>1</v>
      </c>
      <c r="AT462" s="6">
        <v>0</v>
      </c>
      <c r="AU462" s="6">
        <v>2.29</v>
      </c>
      <c r="AV462" s="6">
        <v>1.76</v>
      </c>
      <c r="AW462" s="6">
        <v>416.23</v>
      </c>
      <c r="AX462" s="6">
        <v>56.64</v>
      </c>
      <c r="AY462" s="6">
        <v>302.95</v>
      </c>
      <c r="AZ462" s="6">
        <v>13.3</v>
      </c>
      <c r="BA462" s="6">
        <v>37.799999999999997</v>
      </c>
    </row>
    <row r="463" spans="1:53" x14ac:dyDescent="0.3">
      <c r="A463" s="6">
        <v>799905142</v>
      </c>
      <c r="B463" s="6">
        <v>854639</v>
      </c>
      <c r="C463" s="6">
        <v>7417985</v>
      </c>
      <c r="D463" s="6">
        <v>3811</v>
      </c>
      <c r="E463" s="6" t="s">
        <v>142</v>
      </c>
      <c r="F463" s="6">
        <v>53659</v>
      </c>
      <c r="G463" s="6" t="s">
        <v>69</v>
      </c>
      <c r="H463" s="10">
        <v>45902</v>
      </c>
      <c r="I463" s="10">
        <v>45902</v>
      </c>
      <c r="J463" s="4">
        <v>45902.604166666664</v>
      </c>
      <c r="K463" s="4">
        <v>45902.838368055556</v>
      </c>
      <c r="L463" s="11">
        <v>45902.852256944447</v>
      </c>
      <c r="M463" s="10">
        <v>45902</v>
      </c>
      <c r="N463" s="6" t="s">
        <v>116</v>
      </c>
      <c r="O463" t="s">
        <v>251</v>
      </c>
      <c r="P463" s="6" t="s">
        <v>134</v>
      </c>
      <c r="Q463" t="s">
        <v>282</v>
      </c>
      <c r="R463" t="s">
        <v>73</v>
      </c>
      <c r="S463" s="6">
        <v>724967</v>
      </c>
      <c r="T463" s="6" t="s">
        <v>1</v>
      </c>
      <c r="U463">
        <v>272</v>
      </c>
      <c r="V463" s="6">
        <v>24.2</v>
      </c>
      <c r="W463" s="6">
        <v>10.8</v>
      </c>
      <c r="X463" s="6">
        <v>276.89999999999998</v>
      </c>
      <c r="Y463" s="6">
        <v>311.89999999999998</v>
      </c>
      <c r="Z463" s="6" t="s">
        <v>63</v>
      </c>
      <c r="AA463" t="s">
        <v>582</v>
      </c>
      <c r="AB463" s="6" t="s">
        <v>90</v>
      </c>
      <c r="AC463" t="s">
        <v>66</v>
      </c>
      <c r="AD463" t="s">
        <v>67</v>
      </c>
      <c r="AE463">
        <v>20</v>
      </c>
      <c r="AF463">
        <v>0</v>
      </c>
      <c r="AG463">
        <v>0</v>
      </c>
      <c r="AH463" s="6">
        <v>32.799999999999997</v>
      </c>
      <c r="AI463" s="6">
        <v>0</v>
      </c>
      <c r="AJ463" s="6">
        <v>0.83399999999999996</v>
      </c>
      <c r="AK463" s="6">
        <v>0.746</v>
      </c>
      <c r="AL463" s="8">
        <v>2376.67</v>
      </c>
      <c r="AM463" s="6" t="s">
        <v>68</v>
      </c>
      <c r="AN463" s="6">
        <v>1</v>
      </c>
      <c r="AO463" s="6">
        <v>0</v>
      </c>
      <c r="AP463" s="6">
        <v>1</v>
      </c>
      <c r="AQ463" s="6">
        <v>0</v>
      </c>
      <c r="AR463" s="6">
        <v>1</v>
      </c>
      <c r="AS463" s="6">
        <v>0</v>
      </c>
      <c r="AT463" s="6">
        <v>1</v>
      </c>
      <c r="AU463" s="6">
        <v>1.99</v>
      </c>
      <c r="AV463" s="6">
        <v>1.44</v>
      </c>
      <c r="AW463" s="6">
        <v>201.03</v>
      </c>
      <c r="AX463" s="6">
        <v>59.17</v>
      </c>
      <c r="AY463" s="6">
        <v>154.09</v>
      </c>
      <c r="AZ463" s="6">
        <v>11.8</v>
      </c>
      <c r="BA463" s="6">
        <v>9.8000000000000007</v>
      </c>
    </row>
    <row r="464" spans="1:53" x14ac:dyDescent="0.3">
      <c r="A464" s="6">
        <v>302120588</v>
      </c>
      <c r="B464" s="6">
        <v>391704</v>
      </c>
      <c r="C464" s="6">
        <v>7897151</v>
      </c>
      <c r="D464" s="6">
        <v>4556</v>
      </c>
      <c r="E464" s="6" t="s">
        <v>84</v>
      </c>
      <c r="F464" s="6">
        <v>55283</v>
      </c>
      <c r="G464" s="6" t="s">
        <v>203</v>
      </c>
      <c r="H464" s="10">
        <v>45829</v>
      </c>
      <c r="I464" s="10">
        <v>45829</v>
      </c>
      <c r="J464" s="4">
        <v>45829.21875</v>
      </c>
      <c r="K464" s="4">
        <v>45829.465405092589</v>
      </c>
      <c r="L464" s="11">
        <v>45829.452905092592</v>
      </c>
      <c r="M464" s="10">
        <v>45829</v>
      </c>
      <c r="N464" s="6" t="s">
        <v>103</v>
      </c>
      <c r="O464" t="s">
        <v>285</v>
      </c>
      <c r="P464" s="6" t="s">
        <v>132</v>
      </c>
      <c r="Q464" t="s">
        <v>229</v>
      </c>
      <c r="R464" t="s">
        <v>62</v>
      </c>
      <c r="S464" s="6">
        <v>729109</v>
      </c>
      <c r="T464" s="6" t="s">
        <v>1</v>
      </c>
      <c r="U464">
        <v>273</v>
      </c>
      <c r="V464" s="6">
        <v>34.299999999999997</v>
      </c>
      <c r="W464" s="6">
        <v>3</v>
      </c>
      <c r="X464" s="6">
        <v>277.3</v>
      </c>
      <c r="Y464" s="6">
        <v>314.60000000000002</v>
      </c>
      <c r="Z464" s="6" t="s">
        <v>215</v>
      </c>
      <c r="AA464" t="s">
        <v>587</v>
      </c>
      <c r="AB464" s="6" t="s">
        <v>82</v>
      </c>
      <c r="AC464" t="s">
        <v>76</v>
      </c>
      <c r="AD464" t="s">
        <v>67</v>
      </c>
      <c r="AE464">
        <v>-18</v>
      </c>
      <c r="AF464">
        <v>0</v>
      </c>
      <c r="AG464">
        <v>0</v>
      </c>
      <c r="AH464" s="6">
        <v>33.700000000000003</v>
      </c>
      <c r="AI464" s="6">
        <v>0</v>
      </c>
      <c r="AJ464" s="6">
        <v>0.78600000000000003</v>
      </c>
      <c r="AK464" s="6">
        <v>0.90100000000000002</v>
      </c>
      <c r="AL464" s="8">
        <v>1495.68</v>
      </c>
      <c r="AM464" s="6" t="s">
        <v>68</v>
      </c>
      <c r="AN464" s="6">
        <v>1</v>
      </c>
      <c r="AO464" s="6">
        <v>1</v>
      </c>
      <c r="AP464" s="6">
        <v>0</v>
      </c>
      <c r="AQ464" s="6">
        <v>1</v>
      </c>
      <c r="AR464" s="6">
        <v>0</v>
      </c>
      <c r="AS464" s="6">
        <v>1</v>
      </c>
      <c r="AT464" s="6">
        <v>0</v>
      </c>
      <c r="AU464" s="6">
        <v>2.52</v>
      </c>
      <c r="AV464" s="6">
        <v>1.99</v>
      </c>
      <c r="AW464" s="6">
        <v>240.61</v>
      </c>
      <c r="AX464" s="6">
        <v>39.35</v>
      </c>
      <c r="AY464" s="6">
        <v>209.04</v>
      </c>
      <c r="AZ464" s="6">
        <v>11.3</v>
      </c>
      <c r="BA464" s="6">
        <v>37.700000000000003</v>
      </c>
    </row>
    <row r="465" spans="1:53" x14ac:dyDescent="0.3">
      <c r="A465" s="6">
        <v>445236735</v>
      </c>
      <c r="B465" s="6">
        <v>770487</v>
      </c>
      <c r="C465" s="6">
        <v>9683481</v>
      </c>
      <c r="D465" s="6">
        <v>8270</v>
      </c>
      <c r="E465" s="6" t="s">
        <v>211</v>
      </c>
      <c r="F465" s="6">
        <v>59470</v>
      </c>
      <c r="G465" s="6" t="s">
        <v>69</v>
      </c>
      <c r="H465" s="10">
        <v>45784</v>
      </c>
      <c r="I465" s="10">
        <v>45784</v>
      </c>
      <c r="J465" s="4">
        <v>45784.128472222219</v>
      </c>
      <c r="K465" s="4">
        <v>45784.290092592593</v>
      </c>
      <c r="L465" s="11">
        <v>45784.278981481482</v>
      </c>
      <c r="M465" s="10">
        <v>45784</v>
      </c>
      <c r="N465" s="6" t="s">
        <v>132</v>
      </c>
      <c r="O465" t="s">
        <v>186</v>
      </c>
      <c r="P465" s="6" t="s">
        <v>132</v>
      </c>
      <c r="Q465" t="s">
        <v>181</v>
      </c>
      <c r="R465" t="s">
        <v>62</v>
      </c>
      <c r="S465" s="6">
        <v>711807</v>
      </c>
      <c r="T465" s="6" t="s">
        <v>1</v>
      </c>
      <c r="U465">
        <v>216</v>
      </c>
      <c r="V465" s="6">
        <v>33.4</v>
      </c>
      <c r="W465" s="6">
        <v>7.9</v>
      </c>
      <c r="X465" s="6">
        <v>218.4</v>
      </c>
      <c r="Y465" s="6">
        <v>259.7</v>
      </c>
      <c r="Z465" s="6" t="s">
        <v>215</v>
      </c>
      <c r="AA465" t="s">
        <v>588</v>
      </c>
      <c r="AB465" s="6" t="s">
        <v>82</v>
      </c>
      <c r="AC465" t="s">
        <v>125</v>
      </c>
      <c r="AD465" t="s">
        <v>67</v>
      </c>
      <c r="AE465">
        <v>-16</v>
      </c>
      <c r="AF465">
        <v>0</v>
      </c>
      <c r="AG465">
        <v>0</v>
      </c>
      <c r="AH465" s="6">
        <v>57.3</v>
      </c>
      <c r="AI465" s="6">
        <v>0</v>
      </c>
      <c r="AJ465" s="6">
        <v>0.435</v>
      </c>
      <c r="AK465" s="6">
        <v>0.30199999999999999</v>
      </c>
      <c r="AL465" s="8">
        <v>52867.25</v>
      </c>
      <c r="AM465" s="6" t="s">
        <v>155</v>
      </c>
      <c r="AN465" s="6">
        <v>1</v>
      </c>
      <c r="AO465" s="6">
        <v>1</v>
      </c>
      <c r="AP465" s="6">
        <v>0</v>
      </c>
      <c r="AQ465" s="6">
        <v>1</v>
      </c>
      <c r="AR465" s="6">
        <v>0</v>
      </c>
      <c r="AS465" s="6">
        <v>1</v>
      </c>
      <c r="AT465" s="6">
        <v>0</v>
      </c>
      <c r="AU465" s="6">
        <v>2.5499999999999998</v>
      </c>
      <c r="AV465" s="6">
        <v>1.57</v>
      </c>
      <c r="AW465" s="6">
        <v>230.67</v>
      </c>
      <c r="AX465" s="6">
        <v>30.71</v>
      </c>
      <c r="AY465" s="6">
        <v>173.28</v>
      </c>
      <c r="AZ465" s="6">
        <v>20</v>
      </c>
      <c r="BA465" s="6">
        <v>11.6</v>
      </c>
    </row>
    <row r="466" spans="1:53" x14ac:dyDescent="0.3">
      <c r="A466" s="6">
        <v>749620068</v>
      </c>
      <c r="B466" s="6">
        <v>216739</v>
      </c>
      <c r="C466" s="6">
        <v>8574680</v>
      </c>
      <c r="D466" s="6">
        <v>1860</v>
      </c>
      <c r="E466" s="6" t="s">
        <v>106</v>
      </c>
      <c r="F466" s="6">
        <v>59632</v>
      </c>
      <c r="G466" s="6" t="s">
        <v>107</v>
      </c>
      <c r="H466" s="10">
        <v>45972</v>
      </c>
      <c r="I466" s="10">
        <v>45972</v>
      </c>
      <c r="J466" s="4">
        <v>45972.260416666664</v>
      </c>
      <c r="K466" s="4">
        <v>45972.538819444446</v>
      </c>
      <c r="L466" s="11">
        <v>45972.601319444446</v>
      </c>
      <c r="M466" s="10">
        <v>45972</v>
      </c>
      <c r="N466" s="6" t="s">
        <v>70</v>
      </c>
      <c r="O466" t="s">
        <v>138</v>
      </c>
      <c r="P466" s="6" t="s">
        <v>129</v>
      </c>
      <c r="Q466" t="s">
        <v>156</v>
      </c>
      <c r="R466" t="s">
        <v>123</v>
      </c>
      <c r="S466" s="6">
        <v>731760</v>
      </c>
      <c r="T466" s="6" t="s">
        <v>1</v>
      </c>
      <c r="U466">
        <v>289</v>
      </c>
      <c r="V466" s="6">
        <v>12.5</v>
      </c>
      <c r="W466" s="6">
        <v>8.1999999999999993</v>
      </c>
      <c r="X466" s="6">
        <v>292.60000000000002</v>
      </c>
      <c r="Y466" s="6">
        <v>313.3</v>
      </c>
      <c r="Z466" s="6" t="s">
        <v>80</v>
      </c>
      <c r="AA466" t="s">
        <v>589</v>
      </c>
      <c r="AB466" s="6" t="s">
        <v>97</v>
      </c>
      <c r="AC466" t="s">
        <v>66</v>
      </c>
      <c r="AD466" t="s">
        <v>192</v>
      </c>
      <c r="AE466">
        <v>90</v>
      </c>
      <c r="AF466">
        <v>0</v>
      </c>
      <c r="AG466">
        <v>0</v>
      </c>
      <c r="AH466" s="6">
        <v>92.3</v>
      </c>
      <c r="AI466" s="6">
        <v>0</v>
      </c>
      <c r="AJ466" s="6">
        <v>0.56699999999999995</v>
      </c>
      <c r="AK466" s="6">
        <v>0.81100000000000005</v>
      </c>
      <c r="AL466" s="8">
        <v>13417.92</v>
      </c>
      <c r="AM466" s="6" t="s">
        <v>114</v>
      </c>
      <c r="AN466" s="6">
        <v>1</v>
      </c>
      <c r="AO466" s="6">
        <v>0</v>
      </c>
      <c r="AP466" s="6">
        <v>1</v>
      </c>
      <c r="AQ466" s="6">
        <v>0</v>
      </c>
      <c r="AR466" s="6">
        <v>1</v>
      </c>
      <c r="AS466" s="6">
        <v>0</v>
      </c>
      <c r="AT466" s="6">
        <v>1</v>
      </c>
      <c r="AU466" s="6">
        <v>2.1</v>
      </c>
      <c r="AV466" s="6">
        <v>1.43</v>
      </c>
      <c r="AW466" s="6">
        <v>225.24</v>
      </c>
      <c r="AX466" s="6">
        <v>33.96</v>
      </c>
      <c r="AY466" s="6">
        <v>176.48</v>
      </c>
      <c r="AZ466" s="6">
        <v>14.3</v>
      </c>
      <c r="BA466" s="6">
        <v>4.0999999999999996</v>
      </c>
    </row>
    <row r="467" spans="1:53" x14ac:dyDescent="0.3">
      <c r="A467" s="6">
        <v>610702777</v>
      </c>
      <c r="B467" s="6">
        <v>358607</v>
      </c>
      <c r="C467" s="6">
        <v>5727085</v>
      </c>
      <c r="D467" s="6">
        <v>6864</v>
      </c>
      <c r="E467" s="6" t="s">
        <v>84</v>
      </c>
      <c r="F467" s="6">
        <v>51340</v>
      </c>
      <c r="G467" s="6" t="s">
        <v>203</v>
      </c>
      <c r="H467" s="10">
        <v>45969</v>
      </c>
      <c r="I467" s="10">
        <v>45969</v>
      </c>
      <c r="J467" s="4">
        <v>45969.263888888891</v>
      </c>
      <c r="K467" s="4">
        <v>45969.524826388886</v>
      </c>
      <c r="L467" s="11">
        <v>45969.572743055556</v>
      </c>
      <c r="M467" s="10">
        <v>45969</v>
      </c>
      <c r="N467" s="6" t="s">
        <v>59</v>
      </c>
      <c r="O467" t="s">
        <v>85</v>
      </c>
      <c r="P467" s="6" t="s">
        <v>176</v>
      </c>
      <c r="Q467" t="s">
        <v>316</v>
      </c>
      <c r="R467" t="s">
        <v>88</v>
      </c>
      <c r="S467" s="6">
        <v>772569</v>
      </c>
      <c r="T467" s="6" t="s">
        <v>1</v>
      </c>
      <c r="U467">
        <v>189</v>
      </c>
      <c r="V467" s="6">
        <v>12</v>
      </c>
      <c r="W467" s="6">
        <v>23.5</v>
      </c>
      <c r="X467" s="6">
        <v>190.2</v>
      </c>
      <c r="Y467" s="6">
        <v>225.7</v>
      </c>
      <c r="Z467" s="6" t="s">
        <v>63</v>
      </c>
      <c r="AA467" t="s">
        <v>288</v>
      </c>
      <c r="AB467" s="6" t="s">
        <v>97</v>
      </c>
      <c r="AC467" t="s">
        <v>76</v>
      </c>
      <c r="AD467" t="s">
        <v>206</v>
      </c>
      <c r="AE467">
        <v>69</v>
      </c>
      <c r="AF467">
        <v>161</v>
      </c>
      <c r="AG467">
        <v>0</v>
      </c>
      <c r="AH467" s="6">
        <v>69.400000000000006</v>
      </c>
      <c r="AI467" s="6">
        <v>0</v>
      </c>
      <c r="AJ467" s="6">
        <v>0.76400000000000001</v>
      </c>
      <c r="AK467" s="6">
        <v>0.64600000000000002</v>
      </c>
      <c r="AL467" s="8">
        <v>11470.92</v>
      </c>
      <c r="AM467" s="6" t="s">
        <v>114</v>
      </c>
      <c r="AN467" s="6">
        <v>1</v>
      </c>
      <c r="AO467" s="6">
        <v>0</v>
      </c>
      <c r="AP467" s="6">
        <v>1</v>
      </c>
      <c r="AQ467" s="6">
        <v>0</v>
      </c>
      <c r="AR467" s="6">
        <v>1</v>
      </c>
      <c r="AS467" s="6">
        <v>0</v>
      </c>
      <c r="AT467" s="6">
        <v>1</v>
      </c>
      <c r="AU467" s="6">
        <v>1.91</v>
      </c>
      <c r="AV467" s="6">
        <v>1.42</v>
      </c>
      <c r="AW467" s="6">
        <v>170.03</v>
      </c>
      <c r="AX467" s="6">
        <v>45.08</v>
      </c>
      <c r="AY467" s="6">
        <v>152.01</v>
      </c>
      <c r="AZ467" s="6">
        <v>7.3</v>
      </c>
      <c r="BA467" s="6">
        <v>31.8</v>
      </c>
    </row>
    <row r="468" spans="1:53" x14ac:dyDescent="0.3">
      <c r="A468" s="6">
        <v>638339044</v>
      </c>
      <c r="B468" s="6">
        <v>356702</v>
      </c>
      <c r="C468" s="6">
        <v>4426900</v>
      </c>
      <c r="D468" s="6">
        <v>1502</v>
      </c>
      <c r="E468" s="6" t="s">
        <v>84</v>
      </c>
      <c r="F468" s="6">
        <v>55137</v>
      </c>
      <c r="G468" s="6" t="s">
        <v>127</v>
      </c>
      <c r="H468" s="10">
        <v>45666</v>
      </c>
      <c r="I468" s="10">
        <v>45666</v>
      </c>
      <c r="J468" s="4">
        <v>45666.555555555555</v>
      </c>
      <c r="K468" s="4">
        <v>45666.759699074071</v>
      </c>
      <c r="L468" s="11">
        <v>45666.888171296298</v>
      </c>
      <c r="M468" s="10">
        <v>45666</v>
      </c>
      <c r="N468" s="6" t="s">
        <v>170</v>
      </c>
      <c r="O468" t="s">
        <v>183</v>
      </c>
      <c r="P468" s="6" t="s">
        <v>59</v>
      </c>
      <c r="Q468" t="s">
        <v>85</v>
      </c>
      <c r="R468" t="s">
        <v>62</v>
      </c>
      <c r="S468" s="6">
        <v>762371</v>
      </c>
      <c r="T468" s="6" t="s">
        <v>1</v>
      </c>
      <c r="U468">
        <v>296</v>
      </c>
      <c r="V468" s="6">
        <v>35.5</v>
      </c>
      <c r="W468" s="6">
        <v>13</v>
      </c>
      <c r="X468" s="6">
        <v>288.60000000000002</v>
      </c>
      <c r="Y468" s="6">
        <v>337.1</v>
      </c>
      <c r="Z468" s="6" t="s">
        <v>63</v>
      </c>
      <c r="AA468" t="s">
        <v>451</v>
      </c>
      <c r="AB468" s="6" t="s">
        <v>75</v>
      </c>
      <c r="AC468" t="s">
        <v>137</v>
      </c>
      <c r="AD468" t="s">
        <v>206</v>
      </c>
      <c r="AE468">
        <v>185</v>
      </c>
      <c r="AF468">
        <v>137</v>
      </c>
      <c r="AG468">
        <v>0</v>
      </c>
      <c r="AH468" s="6">
        <v>22.6</v>
      </c>
      <c r="AI468" s="6">
        <v>0</v>
      </c>
      <c r="AJ468" s="6">
        <v>0.63900000000000001</v>
      </c>
      <c r="AK468" s="6">
        <v>0.63100000000000001</v>
      </c>
      <c r="AL468" s="8">
        <v>21403.279999999999</v>
      </c>
      <c r="AM468" s="6" t="s">
        <v>114</v>
      </c>
      <c r="AN468" s="6">
        <v>1</v>
      </c>
      <c r="AO468" s="6">
        <v>0</v>
      </c>
      <c r="AP468" s="6">
        <v>1</v>
      </c>
      <c r="AQ468" s="6">
        <v>0</v>
      </c>
      <c r="AR468" s="6">
        <v>1</v>
      </c>
      <c r="AS468" s="6">
        <v>0</v>
      </c>
      <c r="AT468" s="6">
        <v>1</v>
      </c>
      <c r="AU468" s="6">
        <v>2.2400000000000002</v>
      </c>
      <c r="AV468" s="6">
        <v>1.4</v>
      </c>
      <c r="AW468" s="6">
        <v>217.61</v>
      </c>
      <c r="AX468" s="6">
        <v>38.729999999999997</v>
      </c>
      <c r="AY468" s="6">
        <v>231.25</v>
      </c>
      <c r="AZ468" s="6">
        <v>47.2</v>
      </c>
      <c r="BA468" s="6">
        <v>9</v>
      </c>
    </row>
    <row r="469" spans="1:53" x14ac:dyDescent="0.3">
      <c r="A469" s="6">
        <v>261985842</v>
      </c>
      <c r="B469" s="6">
        <v>380746</v>
      </c>
      <c r="C469" s="6">
        <v>7199635</v>
      </c>
      <c r="D469" s="6">
        <v>2678</v>
      </c>
      <c r="E469" s="6" t="s">
        <v>84</v>
      </c>
      <c r="F469" s="6">
        <v>55189</v>
      </c>
      <c r="G469" s="6" t="s">
        <v>107</v>
      </c>
      <c r="H469" s="10">
        <v>45880</v>
      </c>
      <c r="I469" s="10">
        <v>45880</v>
      </c>
      <c r="J469" s="4">
        <v>45880.541666666664</v>
      </c>
      <c r="K469" s="4">
        <v>45880.656180555554</v>
      </c>
      <c r="L469" s="11">
        <v>45880.620763888888</v>
      </c>
      <c r="M469" s="10">
        <v>45880</v>
      </c>
      <c r="N469" s="6" t="s">
        <v>134</v>
      </c>
      <c r="O469" t="s">
        <v>282</v>
      </c>
      <c r="P469" s="6" t="s">
        <v>78</v>
      </c>
      <c r="Q469" t="s">
        <v>219</v>
      </c>
      <c r="R469" t="s">
        <v>88</v>
      </c>
      <c r="S469" s="6">
        <v>778944</v>
      </c>
      <c r="T469" s="6" t="s">
        <v>1</v>
      </c>
      <c r="U469">
        <v>156</v>
      </c>
      <c r="V469" s="6">
        <v>33.799999999999997</v>
      </c>
      <c r="W469" s="6">
        <v>27.8</v>
      </c>
      <c r="X469" s="6">
        <v>162.4</v>
      </c>
      <c r="Y469" s="6">
        <v>224</v>
      </c>
      <c r="Z469" s="6" t="s">
        <v>80</v>
      </c>
      <c r="AA469" t="s">
        <v>396</v>
      </c>
      <c r="AB469" s="6" t="s">
        <v>75</v>
      </c>
      <c r="AC469" t="s">
        <v>83</v>
      </c>
      <c r="AD469" t="s">
        <v>67</v>
      </c>
      <c r="AE469">
        <v>-51</v>
      </c>
      <c r="AF469">
        <v>0</v>
      </c>
      <c r="AG469">
        <v>0</v>
      </c>
      <c r="AH469" s="6">
        <v>71.7</v>
      </c>
      <c r="AI469" s="6">
        <v>0</v>
      </c>
      <c r="AJ469" s="6">
        <v>0.69299999999999995</v>
      </c>
      <c r="AK469" s="6">
        <v>0.28299999999999997</v>
      </c>
      <c r="AL469" s="8">
        <v>16889.41</v>
      </c>
      <c r="AM469" s="6" t="s">
        <v>114</v>
      </c>
      <c r="AN469" s="6">
        <v>1</v>
      </c>
      <c r="AO469" s="6">
        <v>1</v>
      </c>
      <c r="AP469" s="6">
        <v>0</v>
      </c>
      <c r="AQ469" s="6">
        <v>1</v>
      </c>
      <c r="AR469" s="6">
        <v>0</v>
      </c>
      <c r="AS469" s="6">
        <v>1</v>
      </c>
      <c r="AT469" s="6">
        <v>0</v>
      </c>
      <c r="AU469" s="6">
        <v>2.2200000000000002</v>
      </c>
      <c r="AV469" s="6">
        <v>1.62</v>
      </c>
      <c r="AW469" s="6">
        <v>189.33</v>
      </c>
      <c r="AX469" s="6">
        <v>23.2</v>
      </c>
      <c r="AY469" s="6">
        <v>117.74</v>
      </c>
      <c r="AZ469" s="6">
        <v>22.1</v>
      </c>
      <c r="BA469" s="6">
        <v>77.7</v>
      </c>
    </row>
    <row r="470" spans="1:53" x14ac:dyDescent="0.3">
      <c r="A470" s="6">
        <v>166436383</v>
      </c>
      <c r="B470" s="6">
        <v>770487</v>
      </c>
      <c r="C470" s="6">
        <v>9683481</v>
      </c>
      <c r="D470" s="6">
        <v>8270</v>
      </c>
      <c r="E470" s="6" t="s">
        <v>211</v>
      </c>
      <c r="F470" s="6">
        <v>51361</v>
      </c>
      <c r="G470" s="6" t="s">
        <v>235</v>
      </c>
      <c r="H470" s="10">
        <v>45792</v>
      </c>
      <c r="I470" s="10">
        <v>45792</v>
      </c>
      <c r="J470" s="4">
        <v>45792.329861111109</v>
      </c>
      <c r="K470" s="4">
        <v>45792.392361111109</v>
      </c>
      <c r="L470" s="11">
        <v>45792.378472222219</v>
      </c>
      <c r="M470" s="10">
        <v>45792</v>
      </c>
      <c r="N470" s="6" t="s">
        <v>170</v>
      </c>
      <c r="O470" t="s">
        <v>269</v>
      </c>
      <c r="P470" s="6" t="s">
        <v>170</v>
      </c>
      <c r="Q470" t="s">
        <v>189</v>
      </c>
      <c r="R470" t="s">
        <v>62</v>
      </c>
      <c r="S470" s="6">
        <v>774798</v>
      </c>
      <c r="T470" s="6" t="s">
        <v>3</v>
      </c>
      <c r="U470">
        <v>45</v>
      </c>
      <c r="V470" s="6">
        <v>9.6</v>
      </c>
      <c r="W470" s="6">
        <v>19.899999999999999</v>
      </c>
      <c r="X470" s="6">
        <v>39.6</v>
      </c>
      <c r="Y470" s="6">
        <v>69.099999999999994</v>
      </c>
      <c r="Z470" s="6" t="s">
        <v>215</v>
      </c>
      <c r="AA470" t="s">
        <v>466</v>
      </c>
      <c r="AB470" s="6" t="s">
        <v>97</v>
      </c>
      <c r="AC470" t="s">
        <v>137</v>
      </c>
      <c r="AD470" t="s">
        <v>67</v>
      </c>
      <c r="AE470">
        <v>-20</v>
      </c>
      <c r="AF470">
        <v>0</v>
      </c>
      <c r="AG470">
        <v>0</v>
      </c>
      <c r="AH470" s="6">
        <v>31.8</v>
      </c>
      <c r="AI470" s="6">
        <v>0</v>
      </c>
      <c r="AJ470" s="6">
        <v>0.80200000000000005</v>
      </c>
      <c r="AK470" s="6">
        <v>0.56799999999999995</v>
      </c>
      <c r="AL470" s="8">
        <v>4585.83</v>
      </c>
      <c r="AM470" s="6" t="s">
        <v>68</v>
      </c>
      <c r="AN470" s="6">
        <v>1</v>
      </c>
      <c r="AO470" s="6">
        <v>1</v>
      </c>
      <c r="AP470" s="6">
        <v>0</v>
      </c>
      <c r="AQ470" s="6">
        <v>1</v>
      </c>
      <c r="AR470" s="6">
        <v>0</v>
      </c>
      <c r="AS470" s="6">
        <v>1</v>
      </c>
      <c r="AT470" s="6">
        <v>0</v>
      </c>
      <c r="AU470" s="6">
        <v>2.58</v>
      </c>
      <c r="AV470" s="6">
        <v>1.77</v>
      </c>
      <c r="AW470" s="6">
        <v>44.6</v>
      </c>
      <c r="AX470" s="6">
        <v>7.44</v>
      </c>
      <c r="AY470" s="6">
        <v>38.99</v>
      </c>
      <c r="AZ470" s="6">
        <v>20</v>
      </c>
      <c r="BA470" s="6">
        <v>12.6</v>
      </c>
    </row>
    <row r="471" spans="1:53" x14ac:dyDescent="0.3">
      <c r="A471" s="6">
        <v>583745511</v>
      </c>
      <c r="B471" s="6">
        <v>779514</v>
      </c>
      <c r="C471" s="6">
        <v>5130808</v>
      </c>
      <c r="D471" s="6">
        <v>3731</v>
      </c>
      <c r="E471" s="6" t="s">
        <v>106</v>
      </c>
      <c r="F471" s="6">
        <v>50591</v>
      </c>
      <c r="G471" s="6" t="s">
        <v>127</v>
      </c>
      <c r="H471" s="10">
        <v>45809</v>
      </c>
      <c r="I471" s="10">
        <v>45809</v>
      </c>
      <c r="J471" s="4">
        <v>45809.715277777781</v>
      </c>
      <c r="K471" s="4">
        <v>45809.853773148148</v>
      </c>
      <c r="L471" s="11">
        <v>45809.842662037037</v>
      </c>
      <c r="M471" s="10">
        <v>45809</v>
      </c>
      <c r="N471" s="6" t="s">
        <v>176</v>
      </c>
      <c r="O471" t="s">
        <v>292</v>
      </c>
      <c r="P471" s="6" t="s">
        <v>200</v>
      </c>
      <c r="Q471" t="s">
        <v>275</v>
      </c>
      <c r="R471" t="s">
        <v>62</v>
      </c>
      <c r="S471" s="6">
        <v>744993</v>
      </c>
      <c r="T471" s="6" t="s">
        <v>1</v>
      </c>
      <c r="U471">
        <v>116</v>
      </c>
      <c r="V471" s="6">
        <v>40.5</v>
      </c>
      <c r="W471" s="6">
        <v>16.8</v>
      </c>
      <c r="X471" s="6">
        <v>115.4</v>
      </c>
      <c r="Y471" s="6">
        <v>172.7</v>
      </c>
      <c r="Z471" s="6" t="s">
        <v>63</v>
      </c>
      <c r="AA471" t="s">
        <v>590</v>
      </c>
      <c r="AB471" s="6" t="s">
        <v>90</v>
      </c>
      <c r="AC471" t="s">
        <v>91</v>
      </c>
      <c r="AD471" t="s">
        <v>67</v>
      </c>
      <c r="AE471">
        <v>-16</v>
      </c>
      <c r="AF471">
        <v>0</v>
      </c>
      <c r="AG471">
        <v>0</v>
      </c>
      <c r="AH471" s="6">
        <v>72</v>
      </c>
      <c r="AI471" s="6">
        <v>0</v>
      </c>
      <c r="AJ471" s="6">
        <v>0.57399999999999995</v>
      </c>
      <c r="AK471" s="6">
        <v>0.89300000000000002</v>
      </c>
      <c r="AL471" s="8">
        <v>17876.68</v>
      </c>
      <c r="AM471" s="6" t="s">
        <v>114</v>
      </c>
      <c r="AN471" s="6">
        <v>1</v>
      </c>
      <c r="AO471" s="6">
        <v>1</v>
      </c>
      <c r="AP471" s="6">
        <v>0</v>
      </c>
      <c r="AQ471" s="6">
        <v>1</v>
      </c>
      <c r="AR471" s="6">
        <v>0</v>
      </c>
      <c r="AS471" s="6">
        <v>1</v>
      </c>
      <c r="AT471" s="6">
        <v>0</v>
      </c>
      <c r="AU471" s="6">
        <v>2.0099999999999998</v>
      </c>
      <c r="AV471" s="6">
        <v>1.36</v>
      </c>
      <c r="AW471" s="6">
        <v>139.76</v>
      </c>
      <c r="AX471" s="6">
        <v>24.87</v>
      </c>
      <c r="AY471" s="6">
        <v>93.72</v>
      </c>
      <c r="AZ471" s="6">
        <v>38.9</v>
      </c>
      <c r="BA471" s="6">
        <v>44.5</v>
      </c>
    </row>
    <row r="472" spans="1:53" x14ac:dyDescent="0.3">
      <c r="A472" s="6">
        <v>211134294</v>
      </c>
      <c r="B472" s="6">
        <v>220116</v>
      </c>
      <c r="C472" s="6">
        <v>6933742</v>
      </c>
      <c r="D472" s="6">
        <v>5218</v>
      </c>
      <c r="E472" s="6" t="s">
        <v>57</v>
      </c>
      <c r="F472" s="6">
        <v>50526</v>
      </c>
      <c r="G472" s="6" t="s">
        <v>146</v>
      </c>
      <c r="H472" s="10">
        <v>45961</v>
      </c>
      <c r="I472" s="10">
        <v>45961</v>
      </c>
      <c r="J472" s="4">
        <v>45961.493055555555</v>
      </c>
      <c r="K472" s="4">
        <v>45961.577777777777</v>
      </c>
      <c r="L472" s="11">
        <v>45961.565972222219</v>
      </c>
      <c r="M472" s="10">
        <v>45961</v>
      </c>
      <c r="N472" s="6" t="s">
        <v>200</v>
      </c>
      <c r="O472" t="s">
        <v>338</v>
      </c>
      <c r="P472" s="6" t="s">
        <v>150</v>
      </c>
      <c r="Q472" t="s">
        <v>265</v>
      </c>
      <c r="R472" t="s">
        <v>73</v>
      </c>
      <c r="S472" s="6">
        <v>718526</v>
      </c>
      <c r="T472" s="6" t="s">
        <v>3</v>
      </c>
      <c r="U472">
        <v>91</v>
      </c>
      <c r="V472" s="6">
        <v>33.1</v>
      </c>
      <c r="W472" s="6">
        <v>28.5</v>
      </c>
      <c r="X472" s="6">
        <v>96.1</v>
      </c>
      <c r="Y472" s="6">
        <v>157.69999999999999</v>
      </c>
      <c r="Z472" s="6" t="s">
        <v>63</v>
      </c>
      <c r="AA472" t="s">
        <v>518</v>
      </c>
      <c r="AB472" s="6" t="s">
        <v>75</v>
      </c>
      <c r="AC472" t="s">
        <v>154</v>
      </c>
      <c r="AD472" t="s">
        <v>67</v>
      </c>
      <c r="AE472">
        <v>-17</v>
      </c>
      <c r="AF472">
        <v>0</v>
      </c>
      <c r="AG472">
        <v>0</v>
      </c>
      <c r="AH472" s="6">
        <v>18.899999999999999</v>
      </c>
      <c r="AI472" s="6">
        <v>0</v>
      </c>
      <c r="AJ472" s="6">
        <v>0.751</v>
      </c>
      <c r="AK472" s="6">
        <v>0.57799999999999996</v>
      </c>
      <c r="AL472" s="8">
        <v>5475.98</v>
      </c>
      <c r="AM472" s="6" t="s">
        <v>68</v>
      </c>
      <c r="AN472" s="6">
        <v>1</v>
      </c>
      <c r="AO472" s="6">
        <v>1</v>
      </c>
      <c r="AP472" s="6">
        <v>0</v>
      </c>
      <c r="AQ472" s="6">
        <v>1</v>
      </c>
      <c r="AR472" s="6">
        <v>0</v>
      </c>
      <c r="AS472" s="6">
        <v>1</v>
      </c>
      <c r="AT472" s="6">
        <v>0</v>
      </c>
      <c r="AU472" s="6">
        <v>2.54</v>
      </c>
      <c r="AV472" s="6">
        <v>1.83</v>
      </c>
      <c r="AW472" s="6">
        <v>115.48</v>
      </c>
      <c r="AX472" s="6">
        <v>27.06</v>
      </c>
      <c r="AY472" s="6">
        <v>89.86</v>
      </c>
      <c r="AZ472" s="6">
        <v>31.9</v>
      </c>
      <c r="BA472" s="6">
        <v>48.8</v>
      </c>
    </row>
    <row r="473" spans="1:53" x14ac:dyDescent="0.3">
      <c r="A473" s="6">
        <v>970768982</v>
      </c>
      <c r="B473" s="6">
        <v>660086</v>
      </c>
      <c r="C473" s="6">
        <v>6307805</v>
      </c>
      <c r="D473" s="6">
        <v>2028</v>
      </c>
      <c r="E473" s="6" t="s">
        <v>142</v>
      </c>
      <c r="F473" s="6">
        <v>57855</v>
      </c>
      <c r="G473" s="6" t="s">
        <v>69</v>
      </c>
      <c r="H473" s="10">
        <v>45771</v>
      </c>
      <c r="I473" s="10">
        <v>45771</v>
      </c>
      <c r="J473" s="4">
        <v>45771.368055555555</v>
      </c>
      <c r="K473" s="4">
        <v>45771.430555555555</v>
      </c>
      <c r="L473" s="11">
        <v>45771.397916666669</v>
      </c>
      <c r="M473" s="10">
        <v>45771</v>
      </c>
      <c r="N473" s="6" t="s">
        <v>170</v>
      </c>
      <c r="O473" t="s">
        <v>183</v>
      </c>
      <c r="P473" s="6" t="s">
        <v>170</v>
      </c>
      <c r="Q473" t="s">
        <v>269</v>
      </c>
      <c r="R473" t="s">
        <v>62</v>
      </c>
      <c r="S473" s="6">
        <v>774798</v>
      </c>
      <c r="T473" s="6" t="s">
        <v>3</v>
      </c>
      <c r="U473">
        <v>57</v>
      </c>
      <c r="V473" s="6">
        <v>4.7</v>
      </c>
      <c r="W473" s="6">
        <v>12</v>
      </c>
      <c r="X473" s="6">
        <v>48.6</v>
      </c>
      <c r="Y473" s="6">
        <v>65.3</v>
      </c>
      <c r="Z473" s="6" t="s">
        <v>2</v>
      </c>
      <c r="AA473" t="s">
        <v>390</v>
      </c>
      <c r="AB473" s="6" t="s">
        <v>97</v>
      </c>
      <c r="AC473" t="s">
        <v>137</v>
      </c>
      <c r="AD473" t="s">
        <v>67</v>
      </c>
      <c r="AE473">
        <v>-47</v>
      </c>
      <c r="AF473">
        <v>0</v>
      </c>
      <c r="AG473">
        <v>0</v>
      </c>
      <c r="AH473" s="6">
        <v>27.9</v>
      </c>
      <c r="AI473" s="6">
        <v>0</v>
      </c>
      <c r="AJ473" s="6">
        <v>0.85</v>
      </c>
      <c r="AK473" s="6">
        <v>0.63600000000000001</v>
      </c>
      <c r="AL473" s="8">
        <v>6801.45</v>
      </c>
      <c r="AM473" s="6" t="s">
        <v>68</v>
      </c>
      <c r="AN473" s="6">
        <v>1</v>
      </c>
      <c r="AO473" s="6">
        <v>1</v>
      </c>
      <c r="AP473" s="6">
        <v>0</v>
      </c>
      <c r="AQ473" s="6">
        <v>1</v>
      </c>
      <c r="AR473" s="6">
        <v>0</v>
      </c>
      <c r="AS473" s="6">
        <v>1</v>
      </c>
      <c r="AT473" s="6">
        <v>0</v>
      </c>
      <c r="AU473" s="6">
        <v>2.31</v>
      </c>
      <c r="AV473" s="6">
        <v>1.58</v>
      </c>
      <c r="AW473" s="6">
        <v>47.11</v>
      </c>
      <c r="AX473" s="6">
        <v>9.65</v>
      </c>
      <c r="AY473" s="6">
        <v>38.35</v>
      </c>
      <c r="AZ473" s="6">
        <v>15.8</v>
      </c>
      <c r="BA473" s="6">
        <v>12.5</v>
      </c>
    </row>
    <row r="474" spans="1:53" x14ac:dyDescent="0.3">
      <c r="A474" s="6">
        <v>999126903</v>
      </c>
      <c r="B474" s="6">
        <v>379786</v>
      </c>
      <c r="C474" s="6">
        <v>3726327</v>
      </c>
      <c r="D474" s="6">
        <v>9004</v>
      </c>
      <c r="E474" s="6" t="s">
        <v>126</v>
      </c>
      <c r="F474" s="6">
        <v>51292</v>
      </c>
      <c r="G474" s="6" t="s">
        <v>164</v>
      </c>
      <c r="H474" s="10">
        <v>46002</v>
      </c>
      <c r="I474" s="10">
        <v>46002</v>
      </c>
      <c r="J474" s="4">
        <v>46002.170138888891</v>
      </c>
      <c r="K474" s="4">
        <v>46002.75072916667</v>
      </c>
      <c r="L474" s="11">
        <v>46002.727118055554</v>
      </c>
      <c r="M474" s="10">
        <v>46002</v>
      </c>
      <c r="N474" s="6" t="s">
        <v>129</v>
      </c>
      <c r="O474" t="s">
        <v>130</v>
      </c>
      <c r="P474" s="6" t="s">
        <v>121</v>
      </c>
      <c r="Q474" t="s">
        <v>237</v>
      </c>
      <c r="R474" t="s">
        <v>123</v>
      </c>
      <c r="S474" s="6">
        <v>775399</v>
      </c>
      <c r="T474" s="6" t="s">
        <v>140</v>
      </c>
      <c r="U474">
        <v>610</v>
      </c>
      <c r="V474" s="6">
        <v>25.3</v>
      </c>
      <c r="W474" s="6">
        <v>30.2</v>
      </c>
      <c r="X474" s="6">
        <v>613.70000000000005</v>
      </c>
      <c r="Y474" s="6">
        <v>669.2</v>
      </c>
      <c r="Z474" s="6" t="s">
        <v>63</v>
      </c>
      <c r="AA474" t="s">
        <v>591</v>
      </c>
      <c r="AB474" s="6" t="s">
        <v>82</v>
      </c>
      <c r="AC474" t="s">
        <v>137</v>
      </c>
      <c r="AD474" t="s">
        <v>67</v>
      </c>
      <c r="AE474">
        <v>-34</v>
      </c>
      <c r="AF474">
        <v>0</v>
      </c>
      <c r="AG474">
        <v>0</v>
      </c>
      <c r="AH474" s="6">
        <v>91</v>
      </c>
      <c r="AI474" s="6">
        <v>0</v>
      </c>
      <c r="AJ474" s="6">
        <v>0.72499999999999998</v>
      </c>
      <c r="AK474" s="6">
        <v>0.27</v>
      </c>
      <c r="AL474" s="8">
        <v>884.27</v>
      </c>
      <c r="AM474" s="6" t="s">
        <v>68</v>
      </c>
      <c r="AN474" s="6">
        <v>1</v>
      </c>
      <c r="AO474" s="6">
        <v>1</v>
      </c>
      <c r="AP474" s="6">
        <v>0</v>
      </c>
      <c r="AQ474" s="6">
        <v>1</v>
      </c>
      <c r="AR474" s="6">
        <v>0</v>
      </c>
      <c r="AS474" s="6">
        <v>1</v>
      </c>
      <c r="AT474" s="6">
        <v>0</v>
      </c>
      <c r="AU474" s="6">
        <v>2.31</v>
      </c>
      <c r="AV474" s="6">
        <v>1.76</v>
      </c>
      <c r="AW474" s="6">
        <v>532.45000000000005</v>
      </c>
      <c r="AX474" s="6">
        <v>103.49</v>
      </c>
      <c r="AY474" s="6">
        <v>403.12</v>
      </c>
      <c r="AZ474" s="6">
        <v>55.8</v>
      </c>
      <c r="BA474" s="6">
        <v>47.2</v>
      </c>
    </row>
    <row r="475" spans="1:53" x14ac:dyDescent="0.3">
      <c r="A475" s="6">
        <v>468763500</v>
      </c>
      <c r="B475" s="6">
        <v>946335</v>
      </c>
      <c r="C475" s="6">
        <v>1247595</v>
      </c>
      <c r="D475" s="6">
        <v>6675</v>
      </c>
      <c r="E475" s="6" t="s">
        <v>84</v>
      </c>
      <c r="F475" s="6">
        <v>51654</v>
      </c>
      <c r="G475" s="6" t="s">
        <v>115</v>
      </c>
      <c r="H475" s="10">
        <v>45723</v>
      </c>
      <c r="I475" s="10">
        <v>45723</v>
      </c>
      <c r="J475" s="4">
        <v>45723.038194444445</v>
      </c>
      <c r="K475" s="4">
        <v>45723.214965277781</v>
      </c>
      <c r="L475" s="11">
        <v>45723.212881944448</v>
      </c>
      <c r="M475" s="10">
        <v>45723</v>
      </c>
      <c r="N475" s="6" t="s">
        <v>103</v>
      </c>
      <c r="O475" t="s">
        <v>204</v>
      </c>
      <c r="P475" s="6" t="s">
        <v>150</v>
      </c>
      <c r="Q475" t="s">
        <v>159</v>
      </c>
      <c r="R475" t="s">
        <v>73</v>
      </c>
      <c r="S475" s="6">
        <v>745157</v>
      </c>
      <c r="T475" s="6" t="s">
        <v>1</v>
      </c>
      <c r="U475">
        <v>154</v>
      </c>
      <c r="V475" s="6">
        <v>17.899999999999999</v>
      </c>
      <c r="W475" s="6">
        <v>12.9</v>
      </c>
      <c r="X475" s="6">
        <v>146.80000000000001</v>
      </c>
      <c r="Y475" s="6">
        <v>177.6</v>
      </c>
      <c r="Z475" s="6" t="s">
        <v>63</v>
      </c>
      <c r="AA475" t="s">
        <v>482</v>
      </c>
      <c r="AB475" s="6" t="s">
        <v>82</v>
      </c>
      <c r="AC475" t="s">
        <v>154</v>
      </c>
      <c r="AD475" t="s">
        <v>67</v>
      </c>
      <c r="AE475">
        <v>-3</v>
      </c>
      <c r="AF475">
        <v>0</v>
      </c>
      <c r="AG475">
        <v>0</v>
      </c>
      <c r="AH475" s="6">
        <v>80</v>
      </c>
      <c r="AI475" s="6">
        <v>0</v>
      </c>
      <c r="AJ475" s="6">
        <v>0.72199999999999998</v>
      </c>
      <c r="AK475" s="6">
        <v>0.72699999999999998</v>
      </c>
      <c r="AL475" s="8">
        <v>10182.33</v>
      </c>
      <c r="AM475" s="6" t="s">
        <v>114</v>
      </c>
      <c r="AN475" s="6">
        <v>1</v>
      </c>
      <c r="AO475" s="6">
        <v>1</v>
      </c>
      <c r="AP475" s="6">
        <v>0</v>
      </c>
      <c r="AQ475" s="6">
        <v>1</v>
      </c>
      <c r="AR475" s="6">
        <v>0</v>
      </c>
      <c r="AS475" s="6">
        <v>1</v>
      </c>
      <c r="AT475" s="6">
        <v>0</v>
      </c>
      <c r="AU475" s="6">
        <v>1.62</v>
      </c>
      <c r="AV475" s="6">
        <v>1.27</v>
      </c>
      <c r="AW475" s="6">
        <v>140.36000000000001</v>
      </c>
      <c r="AX475" s="6">
        <v>37.35</v>
      </c>
      <c r="AY475" s="6">
        <v>86.74</v>
      </c>
      <c r="AZ475" s="6">
        <v>32.6</v>
      </c>
      <c r="BA475" s="6">
        <v>6.4</v>
      </c>
    </row>
    <row r="476" spans="1:53" x14ac:dyDescent="0.3">
      <c r="A476" s="6">
        <v>866990485</v>
      </c>
      <c r="B476" s="6">
        <v>260263</v>
      </c>
      <c r="C476" s="6">
        <v>5674183</v>
      </c>
      <c r="D476" s="6">
        <v>5736</v>
      </c>
      <c r="E476" s="6" t="s">
        <v>185</v>
      </c>
      <c r="F476" s="6">
        <v>50187</v>
      </c>
      <c r="G476" s="6" t="s">
        <v>146</v>
      </c>
      <c r="H476" s="10">
        <v>45899</v>
      </c>
      <c r="I476" s="10">
        <v>45899</v>
      </c>
      <c r="J476" s="4">
        <v>45899.451388888891</v>
      </c>
      <c r="K476" s="4">
        <v>45899.94740740741</v>
      </c>
      <c r="L476" s="11">
        <v>45899.936296296299</v>
      </c>
      <c r="M476" s="10">
        <v>45899</v>
      </c>
      <c r="N476" s="6" t="s">
        <v>109</v>
      </c>
      <c r="O476" t="s">
        <v>193</v>
      </c>
      <c r="P476" s="6" t="s">
        <v>109</v>
      </c>
      <c r="Q476" t="s">
        <v>161</v>
      </c>
      <c r="R476" t="s">
        <v>88</v>
      </c>
      <c r="S476" s="6">
        <v>705397</v>
      </c>
      <c r="T476" s="6" t="s">
        <v>111</v>
      </c>
      <c r="U476">
        <v>497</v>
      </c>
      <c r="V476" s="6">
        <v>30.9</v>
      </c>
      <c r="W476" s="6">
        <v>28.8</v>
      </c>
      <c r="X476" s="6">
        <v>500.6</v>
      </c>
      <c r="Y476" s="6">
        <v>560.29999999999995</v>
      </c>
      <c r="Z476" s="6" t="s">
        <v>2</v>
      </c>
      <c r="AA476" t="s">
        <v>306</v>
      </c>
      <c r="AB476" s="6" t="s">
        <v>75</v>
      </c>
      <c r="AC476" t="s">
        <v>76</v>
      </c>
      <c r="AD476" t="s">
        <v>67</v>
      </c>
      <c r="AE476">
        <v>-16</v>
      </c>
      <c r="AF476">
        <v>0</v>
      </c>
      <c r="AG476">
        <v>0</v>
      </c>
      <c r="AH476" s="6">
        <v>49.8</v>
      </c>
      <c r="AI476" s="6">
        <v>0</v>
      </c>
      <c r="AJ476" s="6">
        <v>0.503</v>
      </c>
      <c r="AK476" s="6">
        <v>0.309</v>
      </c>
      <c r="AL476" s="8">
        <v>120828.21</v>
      </c>
      <c r="AM476" s="6" t="s">
        <v>155</v>
      </c>
      <c r="AN476" s="6">
        <v>1</v>
      </c>
      <c r="AO476" s="6">
        <v>1</v>
      </c>
      <c r="AP476" s="6">
        <v>0</v>
      </c>
      <c r="AQ476" s="6">
        <v>1</v>
      </c>
      <c r="AR476" s="6">
        <v>0</v>
      </c>
      <c r="AS476" s="6">
        <v>1</v>
      </c>
      <c r="AT476" s="6">
        <v>0</v>
      </c>
      <c r="AU476" s="6">
        <v>2.13</v>
      </c>
      <c r="AV476" s="6">
        <v>1.51</v>
      </c>
      <c r="AW476" s="6">
        <v>415.54</v>
      </c>
      <c r="AX476" s="6">
        <v>107.06</v>
      </c>
      <c r="AY476" s="6">
        <v>276.36</v>
      </c>
      <c r="AZ476" s="6">
        <v>30.8</v>
      </c>
      <c r="BA476" s="6">
        <v>36.200000000000003</v>
      </c>
    </row>
    <row r="477" spans="1:53" x14ac:dyDescent="0.3">
      <c r="A477" s="6">
        <v>190547712</v>
      </c>
      <c r="B477" s="6">
        <v>358607</v>
      </c>
      <c r="C477" s="6">
        <v>5727085</v>
      </c>
      <c r="D477" s="6">
        <v>6864</v>
      </c>
      <c r="E477" s="6" t="s">
        <v>84</v>
      </c>
      <c r="F477" s="6">
        <v>52758</v>
      </c>
      <c r="G477" s="6" t="s">
        <v>235</v>
      </c>
      <c r="H477" s="10">
        <v>45903</v>
      </c>
      <c r="I477" s="10">
        <v>45903</v>
      </c>
      <c r="J477" s="4">
        <v>45903.329861111109</v>
      </c>
      <c r="K477" s="4">
        <v>45903.619560185187</v>
      </c>
      <c r="L477" s="11">
        <v>45903.596643518518</v>
      </c>
      <c r="M477" s="10">
        <v>45903</v>
      </c>
      <c r="N477" s="6" t="s">
        <v>70</v>
      </c>
      <c r="O477" t="s">
        <v>138</v>
      </c>
      <c r="P477" s="6" t="s">
        <v>134</v>
      </c>
      <c r="Q477" t="s">
        <v>135</v>
      </c>
      <c r="R477" t="s">
        <v>73</v>
      </c>
      <c r="S477" s="6">
        <v>751684</v>
      </c>
      <c r="T477" s="6" t="s">
        <v>1</v>
      </c>
      <c r="U477">
        <v>284</v>
      </c>
      <c r="V477" s="6">
        <v>10.4</v>
      </c>
      <c r="W477" s="6">
        <v>2.2000000000000002</v>
      </c>
      <c r="X477" s="6">
        <v>291.2</v>
      </c>
      <c r="Y477" s="6">
        <v>303.8</v>
      </c>
      <c r="Z477" s="6" t="s">
        <v>63</v>
      </c>
      <c r="AA477" t="s">
        <v>592</v>
      </c>
      <c r="AB477" s="6" t="s">
        <v>97</v>
      </c>
      <c r="AC477" t="s">
        <v>125</v>
      </c>
      <c r="AD477" t="s">
        <v>67</v>
      </c>
      <c r="AE477">
        <v>-33</v>
      </c>
      <c r="AF477">
        <v>0</v>
      </c>
      <c r="AG477">
        <v>0</v>
      </c>
      <c r="AH477" s="6">
        <v>42.1</v>
      </c>
      <c r="AI477" s="6">
        <v>0</v>
      </c>
      <c r="AJ477" s="6">
        <v>0.59499999999999997</v>
      </c>
      <c r="AK477" s="6">
        <v>0.76600000000000001</v>
      </c>
      <c r="AL477" s="8">
        <v>16433.990000000002</v>
      </c>
      <c r="AM477" s="6" t="s">
        <v>114</v>
      </c>
      <c r="AN477" s="6">
        <v>1</v>
      </c>
      <c r="AO477" s="6">
        <v>1</v>
      </c>
      <c r="AP477" s="6">
        <v>0</v>
      </c>
      <c r="AQ477" s="6">
        <v>1</v>
      </c>
      <c r="AR477" s="6">
        <v>0</v>
      </c>
      <c r="AS477" s="6">
        <v>1</v>
      </c>
      <c r="AT477" s="6">
        <v>0</v>
      </c>
      <c r="AU477" s="6">
        <v>2.36</v>
      </c>
      <c r="AV477" s="6">
        <v>1.52</v>
      </c>
      <c r="AW477" s="6">
        <v>213.72</v>
      </c>
      <c r="AX477" s="6">
        <v>42.81</v>
      </c>
      <c r="AY477" s="6">
        <v>193.6</v>
      </c>
      <c r="AZ477" s="6">
        <v>7.3</v>
      </c>
      <c r="BA477" s="6">
        <v>46.6</v>
      </c>
    </row>
    <row r="478" spans="1:53" x14ac:dyDescent="0.3">
      <c r="A478" s="6">
        <v>641755366</v>
      </c>
      <c r="B478" s="6">
        <v>733052</v>
      </c>
      <c r="C478" s="6">
        <v>2642635</v>
      </c>
      <c r="D478" s="6">
        <v>8989</v>
      </c>
      <c r="E478" s="6" t="s">
        <v>84</v>
      </c>
      <c r="F478" s="6">
        <v>58720</v>
      </c>
      <c r="G478" s="6" t="s">
        <v>77</v>
      </c>
      <c r="H478" s="10">
        <v>45750</v>
      </c>
      <c r="I478" s="10">
        <v>45750</v>
      </c>
      <c r="J478" s="4">
        <v>45750.579861111109</v>
      </c>
      <c r="K478" s="4">
        <v>45751.246689814812</v>
      </c>
      <c r="L478" s="11">
        <v>45751.305717592593</v>
      </c>
      <c r="M478" s="10">
        <v>45751</v>
      </c>
      <c r="N478" s="6" t="s">
        <v>170</v>
      </c>
      <c r="O478" t="s">
        <v>189</v>
      </c>
      <c r="P478" s="6" t="s">
        <v>150</v>
      </c>
      <c r="Q478" t="s">
        <v>265</v>
      </c>
      <c r="R478" t="s">
        <v>73</v>
      </c>
      <c r="S478" s="6">
        <v>741853</v>
      </c>
      <c r="T478" s="6" t="s">
        <v>140</v>
      </c>
      <c r="U478">
        <v>795</v>
      </c>
      <c r="V478" s="6">
        <v>10.199999999999999</v>
      </c>
      <c r="W478" s="6">
        <v>30.9</v>
      </c>
      <c r="X478" s="6">
        <v>790.6</v>
      </c>
      <c r="Y478" s="6">
        <v>831.7</v>
      </c>
      <c r="Z478" s="6" t="s">
        <v>2</v>
      </c>
      <c r="AA478" t="s">
        <v>593</v>
      </c>
      <c r="AB478" s="6" t="s">
        <v>75</v>
      </c>
      <c r="AC478" t="s">
        <v>137</v>
      </c>
      <c r="AD478" t="s">
        <v>206</v>
      </c>
      <c r="AE478">
        <v>85</v>
      </c>
      <c r="AF478">
        <v>145</v>
      </c>
      <c r="AG478">
        <v>0</v>
      </c>
      <c r="AH478" s="6">
        <v>47.7</v>
      </c>
      <c r="AI478" s="6">
        <v>0</v>
      </c>
      <c r="AJ478" s="6">
        <v>0.752</v>
      </c>
      <c r="AK478" s="6">
        <v>0.56899999999999995</v>
      </c>
      <c r="AL478" s="8">
        <v>2183.17</v>
      </c>
      <c r="AM478" s="6" t="s">
        <v>68</v>
      </c>
      <c r="AN478" s="6">
        <v>1</v>
      </c>
      <c r="AO478" s="6">
        <v>0</v>
      </c>
      <c r="AP478" s="6">
        <v>1</v>
      </c>
      <c r="AQ478" s="6">
        <v>0</v>
      </c>
      <c r="AR478" s="6">
        <v>1</v>
      </c>
      <c r="AS478" s="6">
        <v>0</v>
      </c>
      <c r="AT478" s="6">
        <v>1</v>
      </c>
      <c r="AU478" s="6">
        <v>3.02</v>
      </c>
      <c r="AV478" s="6">
        <v>2.27</v>
      </c>
      <c r="AW478" s="6">
        <v>642.45000000000005</v>
      </c>
      <c r="AX478" s="6">
        <v>98.57</v>
      </c>
      <c r="AY478" s="6">
        <v>487.59</v>
      </c>
      <c r="AZ478" s="6">
        <v>11.9</v>
      </c>
      <c r="BA478" s="6">
        <v>28.4</v>
      </c>
    </row>
    <row r="479" spans="1:53" x14ac:dyDescent="0.3">
      <c r="A479" s="6">
        <v>793773681</v>
      </c>
      <c r="B479" s="6">
        <v>946335</v>
      </c>
      <c r="C479" s="6">
        <v>1247595</v>
      </c>
      <c r="D479" s="6">
        <v>6675</v>
      </c>
      <c r="E479" s="6" t="s">
        <v>84</v>
      </c>
      <c r="F479" s="6">
        <v>58625</v>
      </c>
      <c r="G479" s="6" t="s">
        <v>127</v>
      </c>
      <c r="H479" s="10">
        <v>45776</v>
      </c>
      <c r="I479" s="10">
        <v>45776</v>
      </c>
      <c r="J479" s="4">
        <v>45776.6875</v>
      </c>
      <c r="K479" s="4">
        <v>45776.880902777775</v>
      </c>
      <c r="L479" s="11">
        <v>45777.030902777777</v>
      </c>
      <c r="M479" s="10">
        <v>45777</v>
      </c>
      <c r="N479" s="6" t="s">
        <v>116</v>
      </c>
      <c r="O479" t="s">
        <v>117</v>
      </c>
      <c r="P479" s="6" t="s">
        <v>116</v>
      </c>
      <c r="Q479" t="s">
        <v>251</v>
      </c>
      <c r="R479" t="s">
        <v>123</v>
      </c>
      <c r="S479" s="6">
        <v>748114</v>
      </c>
      <c r="T479" s="6" t="s">
        <v>1</v>
      </c>
      <c r="U479">
        <v>237</v>
      </c>
      <c r="V479" s="6">
        <v>43.3</v>
      </c>
      <c r="W479" s="6">
        <v>33.200000000000003</v>
      </c>
      <c r="X479" s="6">
        <v>231.8</v>
      </c>
      <c r="Y479" s="6">
        <v>308.3</v>
      </c>
      <c r="Z479" s="6" t="s">
        <v>63</v>
      </c>
      <c r="AA479" t="s">
        <v>594</v>
      </c>
      <c r="AB479" s="6" t="s">
        <v>90</v>
      </c>
      <c r="AC479" t="s">
        <v>66</v>
      </c>
      <c r="AD479" t="s">
        <v>206</v>
      </c>
      <c r="AE479">
        <v>216</v>
      </c>
      <c r="AF479">
        <v>236</v>
      </c>
      <c r="AG479">
        <v>0</v>
      </c>
      <c r="AH479" s="6">
        <v>67.5</v>
      </c>
      <c r="AI479" s="6">
        <v>0</v>
      </c>
      <c r="AJ479" s="6">
        <v>0.73899999999999999</v>
      </c>
      <c r="AK479" s="6">
        <v>0.39</v>
      </c>
      <c r="AL479" s="8">
        <v>3226.52</v>
      </c>
      <c r="AM479" s="6" t="s">
        <v>68</v>
      </c>
      <c r="AN479" s="6">
        <v>1</v>
      </c>
      <c r="AO479" s="6">
        <v>0</v>
      </c>
      <c r="AP479" s="6">
        <v>1</v>
      </c>
      <c r="AQ479" s="6">
        <v>0</v>
      </c>
      <c r="AR479" s="6">
        <v>1</v>
      </c>
      <c r="AS479" s="6">
        <v>0</v>
      </c>
      <c r="AT479" s="6">
        <v>1</v>
      </c>
      <c r="AU479" s="6">
        <v>2.5</v>
      </c>
      <c r="AV479" s="6">
        <v>1.54</v>
      </c>
      <c r="AW479" s="6">
        <v>215.85</v>
      </c>
      <c r="AX479" s="6">
        <v>58.55</v>
      </c>
      <c r="AY479" s="6">
        <v>154.62</v>
      </c>
      <c r="AZ479" s="6">
        <v>32.6</v>
      </c>
      <c r="BA479" s="6">
        <v>8.1999999999999993</v>
      </c>
    </row>
    <row r="480" spans="1:53" x14ac:dyDescent="0.3">
      <c r="A480" s="6">
        <v>285283722</v>
      </c>
      <c r="B480" s="6">
        <v>245051</v>
      </c>
      <c r="C480" s="6">
        <v>1739653</v>
      </c>
      <c r="D480" s="6">
        <v>4763</v>
      </c>
      <c r="E480" s="6" t="s">
        <v>185</v>
      </c>
      <c r="F480" s="6">
        <v>56431</v>
      </c>
      <c r="G480" s="6" t="s">
        <v>203</v>
      </c>
      <c r="H480" s="10">
        <v>45962</v>
      </c>
      <c r="I480" s="10">
        <v>45962</v>
      </c>
      <c r="J480" s="4">
        <v>45962.534722222219</v>
      </c>
      <c r="K480" s="4">
        <v>45962.894976851851</v>
      </c>
      <c r="L480" s="11">
        <v>45962.883171296293</v>
      </c>
      <c r="M480" s="10">
        <v>45962</v>
      </c>
      <c r="N480" s="6" t="s">
        <v>132</v>
      </c>
      <c r="O480" t="s">
        <v>181</v>
      </c>
      <c r="P480" s="6" t="s">
        <v>200</v>
      </c>
      <c r="Q480" t="s">
        <v>201</v>
      </c>
      <c r="R480" t="s">
        <v>62</v>
      </c>
      <c r="S480" s="6">
        <v>748997</v>
      </c>
      <c r="T480" s="6" t="s">
        <v>111</v>
      </c>
      <c r="U480">
        <v>399</v>
      </c>
      <c r="V480" s="6">
        <v>31.7</v>
      </c>
      <c r="W480" s="6">
        <v>41.4</v>
      </c>
      <c r="X480" s="6">
        <v>399.5</v>
      </c>
      <c r="Y480" s="6">
        <v>472.6</v>
      </c>
      <c r="Z480" s="6" t="s">
        <v>63</v>
      </c>
      <c r="AA480" t="s">
        <v>595</v>
      </c>
      <c r="AB480" s="6" t="s">
        <v>75</v>
      </c>
      <c r="AC480" t="s">
        <v>76</v>
      </c>
      <c r="AD480" t="s">
        <v>67</v>
      </c>
      <c r="AE480">
        <v>-17</v>
      </c>
      <c r="AF480">
        <v>0</v>
      </c>
      <c r="AG480">
        <v>0</v>
      </c>
      <c r="AH480" s="6">
        <v>57.1</v>
      </c>
      <c r="AI480" s="6">
        <v>0</v>
      </c>
      <c r="AJ480" s="6">
        <v>0.64600000000000002</v>
      </c>
      <c r="AK480" s="6">
        <v>0.82599999999999996</v>
      </c>
      <c r="AL480" s="8">
        <v>21693.35</v>
      </c>
      <c r="AM480" s="6" t="s">
        <v>114</v>
      </c>
      <c r="AN480" s="6">
        <v>1</v>
      </c>
      <c r="AO480" s="6">
        <v>1</v>
      </c>
      <c r="AP480" s="6">
        <v>0</v>
      </c>
      <c r="AQ480" s="6">
        <v>1</v>
      </c>
      <c r="AR480" s="6">
        <v>0</v>
      </c>
      <c r="AS480" s="6">
        <v>1</v>
      </c>
      <c r="AT480" s="6">
        <v>0</v>
      </c>
      <c r="AU480" s="6">
        <v>1.96</v>
      </c>
      <c r="AV480" s="6">
        <v>1.18</v>
      </c>
      <c r="AW480" s="6">
        <v>307.56</v>
      </c>
      <c r="AX480" s="6">
        <v>79.790000000000006</v>
      </c>
      <c r="AY480" s="6">
        <v>270.66000000000003</v>
      </c>
      <c r="AZ480" s="6">
        <v>12.9</v>
      </c>
      <c r="BA480" s="6">
        <v>65.099999999999994</v>
      </c>
    </row>
    <row r="481" spans="1:53" x14ac:dyDescent="0.3">
      <c r="A481" s="6">
        <v>142028540</v>
      </c>
      <c r="B481" s="6">
        <v>728038</v>
      </c>
      <c r="C481" s="6">
        <v>1463060</v>
      </c>
      <c r="D481" s="6">
        <v>7287</v>
      </c>
      <c r="E481" s="6" t="s">
        <v>57</v>
      </c>
      <c r="F481" s="6">
        <v>56037</v>
      </c>
      <c r="G481" s="6" t="s">
        <v>69</v>
      </c>
      <c r="H481" s="10">
        <v>45936</v>
      </c>
      <c r="I481" s="10">
        <v>45936</v>
      </c>
      <c r="J481" s="4">
        <v>45936.336805555555</v>
      </c>
      <c r="K481" s="4">
        <v>45936.483414351853</v>
      </c>
      <c r="L481" s="11">
        <v>45936.453553240739</v>
      </c>
      <c r="M481" s="10">
        <v>45936</v>
      </c>
      <c r="N481" s="6" t="s">
        <v>121</v>
      </c>
      <c r="O481" t="s">
        <v>195</v>
      </c>
      <c r="P481" s="6" t="s">
        <v>170</v>
      </c>
      <c r="Q481" t="s">
        <v>183</v>
      </c>
      <c r="R481" t="s">
        <v>62</v>
      </c>
      <c r="S481" s="6">
        <v>737707</v>
      </c>
      <c r="T481" s="6" t="s">
        <v>1</v>
      </c>
      <c r="U481">
        <v>189</v>
      </c>
      <c r="V481" s="6">
        <v>36.200000000000003</v>
      </c>
      <c r="W481" s="6">
        <v>7.4</v>
      </c>
      <c r="X481" s="6">
        <v>183.6</v>
      </c>
      <c r="Y481" s="6">
        <v>227.2</v>
      </c>
      <c r="Z481" s="6" t="s">
        <v>63</v>
      </c>
      <c r="AA481" t="s">
        <v>239</v>
      </c>
      <c r="AB481" s="6" t="s">
        <v>97</v>
      </c>
      <c r="AC481" t="s">
        <v>83</v>
      </c>
      <c r="AD481" t="s">
        <v>67</v>
      </c>
      <c r="AE481">
        <v>-43</v>
      </c>
      <c r="AF481">
        <v>0</v>
      </c>
      <c r="AG481">
        <v>0</v>
      </c>
      <c r="AH481" s="6">
        <v>42.7</v>
      </c>
      <c r="AI481" s="6">
        <v>0</v>
      </c>
      <c r="AJ481" s="6">
        <v>0.77700000000000002</v>
      </c>
      <c r="AK481" s="6">
        <v>0.64600000000000002</v>
      </c>
      <c r="AL481" s="8">
        <v>21885.41</v>
      </c>
      <c r="AM481" s="6" t="s">
        <v>114</v>
      </c>
      <c r="AN481" s="6">
        <v>1</v>
      </c>
      <c r="AO481" s="6">
        <v>1</v>
      </c>
      <c r="AP481" s="6">
        <v>0</v>
      </c>
      <c r="AQ481" s="6">
        <v>1</v>
      </c>
      <c r="AR481" s="6">
        <v>0</v>
      </c>
      <c r="AS481" s="6">
        <v>1</v>
      </c>
      <c r="AT481" s="6">
        <v>0</v>
      </c>
      <c r="AU481" s="6">
        <v>2.2400000000000002</v>
      </c>
      <c r="AV481" s="6">
        <v>1.55</v>
      </c>
      <c r="AW481" s="6">
        <v>195.33</v>
      </c>
      <c r="AX481" s="6">
        <v>48.95</v>
      </c>
      <c r="AY481" s="6">
        <v>134.97999999999999</v>
      </c>
      <c r="AZ481" s="6">
        <v>13.6</v>
      </c>
      <c r="BA481" s="6">
        <v>36.799999999999997</v>
      </c>
    </row>
    <row r="482" spans="1:53" x14ac:dyDescent="0.3">
      <c r="A482" s="6">
        <v>366012797</v>
      </c>
      <c r="B482" s="6">
        <v>816751</v>
      </c>
      <c r="C482" s="6">
        <v>3011363</v>
      </c>
      <c r="D482" s="6">
        <v>9996</v>
      </c>
      <c r="E482" s="6" t="s">
        <v>185</v>
      </c>
      <c r="F482" s="6">
        <v>59996</v>
      </c>
      <c r="G482" s="6" t="s">
        <v>98</v>
      </c>
      <c r="H482" s="10">
        <v>45778</v>
      </c>
      <c r="I482" s="10">
        <v>45778</v>
      </c>
      <c r="J482" s="4">
        <v>45778.5625</v>
      </c>
      <c r="K482" s="4">
        <v>45779.358124999999</v>
      </c>
      <c r="L482" s="11">
        <v>45779.342847222222</v>
      </c>
      <c r="M482" s="10">
        <v>45779</v>
      </c>
      <c r="N482" s="6" t="s">
        <v>134</v>
      </c>
      <c r="O482" t="s">
        <v>282</v>
      </c>
      <c r="P482" s="6" t="s">
        <v>134</v>
      </c>
      <c r="Q482" t="s">
        <v>135</v>
      </c>
      <c r="R482" t="s">
        <v>73</v>
      </c>
      <c r="S482" s="6">
        <v>752322</v>
      </c>
      <c r="T482" s="6" t="s">
        <v>140</v>
      </c>
      <c r="U482">
        <v>1001</v>
      </c>
      <c r="V482" s="6">
        <v>33</v>
      </c>
      <c r="W482" s="6">
        <v>22.4</v>
      </c>
      <c r="X482" s="6">
        <v>987.9</v>
      </c>
      <c r="Y482" s="6">
        <v>1043.3</v>
      </c>
      <c r="Z482" s="6" t="s">
        <v>63</v>
      </c>
      <c r="AA482" t="s">
        <v>596</v>
      </c>
      <c r="AB482" s="6" t="s">
        <v>75</v>
      </c>
      <c r="AC482" t="s">
        <v>137</v>
      </c>
      <c r="AD482" t="s">
        <v>67</v>
      </c>
      <c r="AE482">
        <v>-22</v>
      </c>
      <c r="AF482">
        <v>0</v>
      </c>
      <c r="AG482">
        <v>0</v>
      </c>
      <c r="AH482" s="6">
        <v>13.2</v>
      </c>
      <c r="AI482" s="6">
        <v>0</v>
      </c>
      <c r="AJ482" s="6">
        <v>0.312</v>
      </c>
      <c r="AK482" s="6">
        <v>0.629</v>
      </c>
      <c r="AL482" s="8">
        <v>3048.72</v>
      </c>
      <c r="AM482" s="6" t="s">
        <v>68</v>
      </c>
      <c r="AN482" s="6">
        <v>1</v>
      </c>
      <c r="AO482" s="6">
        <v>1</v>
      </c>
      <c r="AP482" s="6">
        <v>0</v>
      </c>
      <c r="AQ482" s="6">
        <v>1</v>
      </c>
      <c r="AR482" s="6">
        <v>0</v>
      </c>
      <c r="AS482" s="6">
        <v>1</v>
      </c>
      <c r="AT482" s="6">
        <v>0</v>
      </c>
      <c r="AU482" s="6">
        <v>2.16</v>
      </c>
      <c r="AV482" s="6">
        <v>1.56</v>
      </c>
      <c r="AW482" s="6">
        <v>866.66</v>
      </c>
      <c r="AX482" s="6">
        <v>218.06</v>
      </c>
      <c r="AY482" s="6">
        <v>659.93</v>
      </c>
      <c r="AZ482" s="6">
        <v>13.3</v>
      </c>
      <c r="BA482" s="6">
        <v>27.2</v>
      </c>
    </row>
    <row r="483" spans="1:53" x14ac:dyDescent="0.3">
      <c r="A483" s="6">
        <v>859803019</v>
      </c>
      <c r="B483" s="6">
        <v>581741</v>
      </c>
      <c r="C483" s="6">
        <v>3790237</v>
      </c>
      <c r="D483" s="6">
        <v>1995</v>
      </c>
      <c r="E483" s="6" t="s">
        <v>126</v>
      </c>
      <c r="F483" s="6">
        <v>58494</v>
      </c>
      <c r="G483" s="6" t="s">
        <v>164</v>
      </c>
      <c r="H483" s="10">
        <v>45852</v>
      </c>
      <c r="I483" s="10">
        <v>45852</v>
      </c>
      <c r="J483" s="4">
        <v>45852.569444444445</v>
      </c>
      <c r="K483" s="4">
        <v>45852.875810185185</v>
      </c>
      <c r="L483" s="11">
        <v>45852.850810185184</v>
      </c>
      <c r="M483" s="10">
        <v>45852</v>
      </c>
      <c r="N483" s="6" t="s">
        <v>116</v>
      </c>
      <c r="O483" t="s">
        <v>128</v>
      </c>
      <c r="P483" s="6" t="s">
        <v>116</v>
      </c>
      <c r="Q483" t="s">
        <v>251</v>
      </c>
      <c r="R483" t="s">
        <v>123</v>
      </c>
      <c r="S483" s="6">
        <v>748114</v>
      </c>
      <c r="T483" s="6" t="s">
        <v>111</v>
      </c>
      <c r="U483">
        <v>318</v>
      </c>
      <c r="V483" s="6">
        <v>32.200000000000003</v>
      </c>
      <c r="W483" s="6">
        <v>5.2</v>
      </c>
      <c r="X483" s="6">
        <v>317.8</v>
      </c>
      <c r="Y483" s="6">
        <v>355.2</v>
      </c>
      <c r="Z483" s="6" t="s">
        <v>2</v>
      </c>
      <c r="AA483" t="s">
        <v>439</v>
      </c>
      <c r="AB483" s="6" t="s">
        <v>75</v>
      </c>
      <c r="AC483" t="s">
        <v>83</v>
      </c>
      <c r="AD483" t="s">
        <v>67</v>
      </c>
      <c r="AE483">
        <v>-36</v>
      </c>
      <c r="AF483">
        <v>0</v>
      </c>
      <c r="AG483">
        <v>0</v>
      </c>
      <c r="AH483" s="6">
        <v>50.2</v>
      </c>
      <c r="AI483" s="6">
        <v>0</v>
      </c>
      <c r="AJ483" s="6">
        <v>0.57199999999999995</v>
      </c>
      <c r="AK483" s="6">
        <v>0.74</v>
      </c>
      <c r="AL483" s="8">
        <v>7374.31</v>
      </c>
      <c r="AM483" s="6" t="s">
        <v>68</v>
      </c>
      <c r="AN483" s="6">
        <v>1</v>
      </c>
      <c r="AO483" s="6">
        <v>1</v>
      </c>
      <c r="AP483" s="6">
        <v>0</v>
      </c>
      <c r="AQ483" s="6">
        <v>1</v>
      </c>
      <c r="AR483" s="6">
        <v>0</v>
      </c>
      <c r="AS483" s="6">
        <v>1</v>
      </c>
      <c r="AT483" s="6">
        <v>0</v>
      </c>
      <c r="AU483" s="6">
        <v>2.41</v>
      </c>
      <c r="AW483" s="6">
        <v>229.21</v>
      </c>
      <c r="AX483" s="6">
        <v>59.54</v>
      </c>
      <c r="AY483" s="6">
        <v>180.58</v>
      </c>
      <c r="AZ483" s="6">
        <v>17.5</v>
      </c>
      <c r="BA483" s="6">
        <v>32.9</v>
      </c>
    </row>
    <row r="484" spans="1:53" x14ac:dyDescent="0.3">
      <c r="A484" s="6">
        <v>570039364</v>
      </c>
      <c r="B484" s="6">
        <v>972064</v>
      </c>
      <c r="C484" s="6">
        <v>2818692</v>
      </c>
      <c r="D484" s="6">
        <v>8158</v>
      </c>
      <c r="E484" s="6" t="s">
        <v>84</v>
      </c>
      <c r="F484" s="6">
        <v>54182</v>
      </c>
      <c r="G484" s="6" t="s">
        <v>115</v>
      </c>
      <c r="H484" s="10">
        <v>45680</v>
      </c>
      <c r="I484" s="10">
        <v>45680</v>
      </c>
      <c r="J484" s="4">
        <v>45680.864583333336</v>
      </c>
      <c r="K484" s="4">
        <v>45681.254606481481</v>
      </c>
      <c r="L484" s="11">
        <v>45681.246967592589</v>
      </c>
      <c r="M484" s="10">
        <v>45681</v>
      </c>
      <c r="N484" s="6" t="s">
        <v>103</v>
      </c>
      <c r="O484" t="s">
        <v>204</v>
      </c>
      <c r="P484" s="6" t="s">
        <v>93</v>
      </c>
      <c r="Q484" t="s">
        <v>94</v>
      </c>
      <c r="R484" t="s">
        <v>73</v>
      </c>
      <c r="S484" s="6">
        <v>791104</v>
      </c>
      <c r="T484" s="6" t="s">
        <v>111</v>
      </c>
      <c r="U484">
        <v>386</v>
      </c>
      <c r="V484" s="6">
        <v>19.100000000000001</v>
      </c>
      <c r="W484" s="6">
        <v>11.4</v>
      </c>
      <c r="X484" s="6">
        <v>388</v>
      </c>
      <c r="Y484" s="6">
        <v>418.5</v>
      </c>
      <c r="Z484" s="6" t="s">
        <v>2</v>
      </c>
      <c r="AA484" t="s">
        <v>320</v>
      </c>
      <c r="AB484" s="6" t="s">
        <v>65</v>
      </c>
      <c r="AC484" t="s">
        <v>137</v>
      </c>
      <c r="AD484" t="s">
        <v>67</v>
      </c>
      <c r="AE484">
        <v>-11</v>
      </c>
      <c r="AF484">
        <v>0</v>
      </c>
      <c r="AG484">
        <v>0</v>
      </c>
      <c r="AH484" s="6">
        <v>20</v>
      </c>
      <c r="AI484" s="6">
        <v>0</v>
      </c>
      <c r="AJ484" s="6">
        <v>0.80500000000000005</v>
      </c>
      <c r="AK484" s="6">
        <v>0.84099999999999997</v>
      </c>
      <c r="AL484" s="8">
        <v>16991.53</v>
      </c>
      <c r="AM484" s="6" t="s">
        <v>114</v>
      </c>
      <c r="AN484" s="6">
        <v>1</v>
      </c>
      <c r="AO484" s="6">
        <v>1</v>
      </c>
      <c r="AP484" s="6">
        <v>0</v>
      </c>
      <c r="AQ484" s="6">
        <v>1</v>
      </c>
      <c r="AR484" s="6">
        <v>0</v>
      </c>
      <c r="AS484" s="6">
        <v>1</v>
      </c>
      <c r="AT484" s="6">
        <v>0</v>
      </c>
      <c r="AU484" s="6">
        <v>2.12</v>
      </c>
      <c r="AV484" s="6">
        <v>1.68</v>
      </c>
      <c r="AW484" s="6">
        <v>279.89</v>
      </c>
      <c r="AX484" s="6">
        <v>45.36</v>
      </c>
      <c r="AY484" s="6">
        <v>300.8</v>
      </c>
      <c r="AZ484" s="6">
        <v>10</v>
      </c>
      <c r="BA484" s="6">
        <v>21.3</v>
      </c>
    </row>
    <row r="485" spans="1:53" x14ac:dyDescent="0.3">
      <c r="A485" s="6">
        <v>571825556</v>
      </c>
      <c r="B485" s="6">
        <v>503457</v>
      </c>
      <c r="C485" s="6">
        <v>8210624</v>
      </c>
      <c r="D485" s="6">
        <v>8392</v>
      </c>
      <c r="E485" s="6" t="s">
        <v>225</v>
      </c>
      <c r="F485" s="6">
        <v>56973</v>
      </c>
      <c r="G485" s="6" t="s">
        <v>115</v>
      </c>
      <c r="H485" s="10">
        <v>45734</v>
      </c>
      <c r="I485" s="10">
        <v>45734</v>
      </c>
      <c r="J485" s="4">
        <v>45734.625</v>
      </c>
      <c r="K485" s="4">
        <v>45734.6875</v>
      </c>
      <c r="L485" s="11">
        <v>45734.694444444445</v>
      </c>
      <c r="M485" s="10">
        <v>45734</v>
      </c>
      <c r="N485" s="6" t="s">
        <v>59</v>
      </c>
      <c r="O485" t="s">
        <v>167</v>
      </c>
      <c r="P485" s="6" t="s">
        <v>93</v>
      </c>
      <c r="Q485" t="s">
        <v>95</v>
      </c>
      <c r="R485" t="s">
        <v>73</v>
      </c>
      <c r="S485" s="6">
        <v>791587</v>
      </c>
      <c r="T485" s="6" t="s">
        <v>3</v>
      </c>
      <c r="U485">
        <v>51</v>
      </c>
      <c r="V485" s="6">
        <v>5.4</v>
      </c>
      <c r="W485" s="6">
        <v>22.9</v>
      </c>
      <c r="X485" s="6">
        <v>49</v>
      </c>
      <c r="Y485" s="6">
        <v>77.3</v>
      </c>
      <c r="Z485" s="6" t="s">
        <v>63</v>
      </c>
      <c r="AA485" t="s">
        <v>301</v>
      </c>
      <c r="AB485" s="6" t="s">
        <v>90</v>
      </c>
      <c r="AC485" t="s">
        <v>66</v>
      </c>
      <c r="AD485" t="s">
        <v>67</v>
      </c>
      <c r="AE485">
        <v>10</v>
      </c>
      <c r="AF485">
        <v>0</v>
      </c>
      <c r="AG485">
        <v>0.9</v>
      </c>
      <c r="AH485" s="6">
        <v>61.8</v>
      </c>
      <c r="AI485" s="6">
        <v>0</v>
      </c>
      <c r="AJ485" s="6">
        <v>0.76800000000000002</v>
      </c>
      <c r="AK485" s="6">
        <v>0.57199999999999995</v>
      </c>
      <c r="AL485" s="8">
        <v>3449.03</v>
      </c>
      <c r="AM485" s="6" t="s">
        <v>68</v>
      </c>
      <c r="AN485" s="6">
        <v>1</v>
      </c>
      <c r="AO485" s="6">
        <v>1</v>
      </c>
      <c r="AP485" s="6">
        <v>0</v>
      </c>
      <c r="AQ485" s="6">
        <v>1</v>
      </c>
      <c r="AR485" s="6">
        <v>0</v>
      </c>
      <c r="AS485" s="6">
        <v>1</v>
      </c>
      <c r="AT485" s="6">
        <v>0</v>
      </c>
      <c r="AU485" s="6">
        <v>2.2400000000000002</v>
      </c>
      <c r="AV485" s="6">
        <v>1.73</v>
      </c>
      <c r="AW485" s="6">
        <v>50.25</v>
      </c>
      <c r="AX485" s="6">
        <v>8.02</v>
      </c>
      <c r="AY485" s="6">
        <v>45.91</v>
      </c>
      <c r="AZ485" s="6">
        <v>6.5</v>
      </c>
      <c r="BA485" s="6">
        <v>52.2</v>
      </c>
    </row>
    <row r="486" spans="1:53" x14ac:dyDescent="0.3">
      <c r="A486" s="6">
        <v>662714327</v>
      </c>
      <c r="B486" s="6">
        <v>864544</v>
      </c>
      <c r="C486" s="6">
        <v>5374922</v>
      </c>
      <c r="D486" s="6">
        <v>8385</v>
      </c>
      <c r="E486" s="6" t="s">
        <v>84</v>
      </c>
      <c r="F486" s="6">
        <v>50437</v>
      </c>
      <c r="G486" s="6" t="s">
        <v>175</v>
      </c>
      <c r="H486" s="10">
        <v>45835</v>
      </c>
      <c r="I486" s="10">
        <v>45835</v>
      </c>
      <c r="J486" s="4">
        <v>45835.454861111109</v>
      </c>
      <c r="K486" s="4">
        <v>45835.676192129627</v>
      </c>
      <c r="L486" s="11">
        <v>45835.708136574074</v>
      </c>
      <c r="M486" s="10">
        <v>45835</v>
      </c>
      <c r="N486" s="6" t="s">
        <v>200</v>
      </c>
      <c r="O486" t="s">
        <v>201</v>
      </c>
      <c r="P486" s="6" t="s">
        <v>59</v>
      </c>
      <c r="Q486" t="s">
        <v>60</v>
      </c>
      <c r="R486" t="s">
        <v>62</v>
      </c>
      <c r="S486" s="6">
        <v>791457</v>
      </c>
      <c r="T486" s="6" t="s">
        <v>1</v>
      </c>
      <c r="U486">
        <v>212</v>
      </c>
      <c r="V486" s="6">
        <v>17.5</v>
      </c>
      <c r="W486" s="6">
        <v>13.4</v>
      </c>
      <c r="X486" s="6">
        <v>212.7</v>
      </c>
      <c r="Y486" s="6">
        <v>243.6</v>
      </c>
      <c r="Z486" s="6" t="s">
        <v>63</v>
      </c>
      <c r="AA486" t="s">
        <v>597</v>
      </c>
      <c r="AB486" s="6" t="s">
        <v>75</v>
      </c>
      <c r="AC486" t="s">
        <v>154</v>
      </c>
      <c r="AD486" t="s">
        <v>192</v>
      </c>
      <c r="AE486">
        <v>46</v>
      </c>
      <c r="AF486">
        <v>0</v>
      </c>
      <c r="AG486">
        <v>0</v>
      </c>
      <c r="AH486" s="6">
        <v>73</v>
      </c>
      <c r="AI486" s="6">
        <v>0</v>
      </c>
      <c r="AJ486" s="6">
        <v>0.69199999999999995</v>
      </c>
      <c r="AK486" s="6">
        <v>0.68600000000000005</v>
      </c>
      <c r="AL486" s="8">
        <v>12591.08</v>
      </c>
      <c r="AM486" s="6" t="s">
        <v>114</v>
      </c>
      <c r="AN486" s="6">
        <v>1</v>
      </c>
      <c r="AO486" s="6">
        <v>0</v>
      </c>
      <c r="AP486" s="6">
        <v>1</v>
      </c>
      <c r="AQ486" s="6">
        <v>0</v>
      </c>
      <c r="AR486" s="6">
        <v>1</v>
      </c>
      <c r="AS486" s="6">
        <v>0</v>
      </c>
      <c r="AT486" s="6">
        <v>1</v>
      </c>
      <c r="AU486" s="6">
        <v>1.92</v>
      </c>
      <c r="AV486" s="6">
        <v>1.53</v>
      </c>
      <c r="AW486" s="6">
        <v>208.82</v>
      </c>
      <c r="AX486" s="6">
        <v>48.84</v>
      </c>
      <c r="AY486" s="6">
        <v>156.72999999999999</v>
      </c>
      <c r="AZ486" s="6">
        <v>24.5</v>
      </c>
      <c r="BA486" s="6">
        <v>60</v>
      </c>
    </row>
    <row r="487" spans="1:53" x14ac:dyDescent="0.3">
      <c r="A487" s="6">
        <v>661296425</v>
      </c>
      <c r="B487" s="6">
        <v>905635</v>
      </c>
      <c r="C487" s="6">
        <v>2677407</v>
      </c>
      <c r="D487" s="6">
        <v>3790</v>
      </c>
      <c r="E487" s="6" t="s">
        <v>106</v>
      </c>
      <c r="F487" s="6">
        <v>50832</v>
      </c>
      <c r="G487" s="6" t="s">
        <v>115</v>
      </c>
      <c r="H487" s="10">
        <v>45689</v>
      </c>
      <c r="I487" s="10">
        <v>45689</v>
      </c>
      <c r="J487" s="4">
        <v>45689.447916666664</v>
      </c>
      <c r="K487" s="4">
        <v>45689.589872685188</v>
      </c>
      <c r="L487" s="11">
        <v>45689.579456018517</v>
      </c>
      <c r="M487" s="10">
        <v>45689</v>
      </c>
      <c r="N487" s="6" t="s">
        <v>134</v>
      </c>
      <c r="O487" t="s">
        <v>282</v>
      </c>
      <c r="P487" s="6" t="s">
        <v>134</v>
      </c>
      <c r="Q487" t="s">
        <v>282</v>
      </c>
      <c r="R487" t="s">
        <v>73</v>
      </c>
      <c r="S487" s="6">
        <v>752322</v>
      </c>
      <c r="T487" s="6" t="s">
        <v>1</v>
      </c>
      <c r="U487">
        <v>203</v>
      </c>
      <c r="V487" s="6">
        <v>48.2</v>
      </c>
      <c r="W487" s="6">
        <v>3</v>
      </c>
      <c r="X487" s="6">
        <v>209.3</v>
      </c>
      <c r="Y487" s="6">
        <v>260.5</v>
      </c>
      <c r="Z487" s="6" t="s">
        <v>63</v>
      </c>
      <c r="AA487" t="s">
        <v>598</v>
      </c>
      <c r="AB487" s="6" t="s">
        <v>75</v>
      </c>
      <c r="AC487" t="s">
        <v>76</v>
      </c>
      <c r="AD487" t="s">
        <v>67</v>
      </c>
      <c r="AE487">
        <v>-15</v>
      </c>
      <c r="AF487">
        <v>0</v>
      </c>
      <c r="AG487">
        <v>0</v>
      </c>
      <c r="AH487" s="6">
        <v>46</v>
      </c>
      <c r="AI487" s="6">
        <v>0</v>
      </c>
      <c r="AJ487" s="6">
        <v>0.74199999999999999</v>
      </c>
      <c r="AK487" s="6">
        <v>0.71699999999999997</v>
      </c>
      <c r="AL487" s="8">
        <v>20274.080000000002</v>
      </c>
      <c r="AM487" s="6" t="s">
        <v>114</v>
      </c>
      <c r="AN487" s="6">
        <v>1</v>
      </c>
      <c r="AO487" s="6">
        <v>1</v>
      </c>
      <c r="AP487" s="6">
        <v>0</v>
      </c>
      <c r="AQ487" s="6">
        <v>1</v>
      </c>
      <c r="AR487" s="6">
        <v>0</v>
      </c>
      <c r="AS487" s="6">
        <v>1</v>
      </c>
      <c r="AT487" s="6">
        <v>0</v>
      </c>
      <c r="AU487" s="6">
        <v>1.74</v>
      </c>
      <c r="AV487" s="6">
        <v>1.19</v>
      </c>
      <c r="AW487" s="6">
        <v>221.91</v>
      </c>
      <c r="AX487" s="6">
        <v>47.87</v>
      </c>
      <c r="AY487" s="6">
        <v>181.82</v>
      </c>
      <c r="AZ487" s="6">
        <v>27.7</v>
      </c>
      <c r="BA487" s="6">
        <v>15.6</v>
      </c>
    </row>
    <row r="488" spans="1:53" x14ac:dyDescent="0.3">
      <c r="A488" s="6">
        <v>754773573</v>
      </c>
      <c r="B488" s="6">
        <v>988662</v>
      </c>
      <c r="C488" s="6">
        <v>2264748</v>
      </c>
      <c r="D488" s="6">
        <v>2021</v>
      </c>
      <c r="E488" s="6" t="s">
        <v>57</v>
      </c>
      <c r="F488" s="6">
        <v>58988</v>
      </c>
      <c r="G488" s="6" t="s">
        <v>175</v>
      </c>
      <c r="H488" s="10">
        <v>45965</v>
      </c>
      <c r="I488" s="10">
        <v>45965</v>
      </c>
      <c r="J488" s="4">
        <v>45965.576388888891</v>
      </c>
      <c r="K488" s="4">
        <v>45965.846724537034</v>
      </c>
      <c r="L488" s="11">
        <v>45965.83630787037</v>
      </c>
      <c r="M488" s="10">
        <v>45965</v>
      </c>
      <c r="N488" s="6" t="s">
        <v>129</v>
      </c>
      <c r="O488" t="s">
        <v>162</v>
      </c>
      <c r="P488" s="6" t="s">
        <v>86</v>
      </c>
      <c r="Q488" t="s">
        <v>253</v>
      </c>
      <c r="R488" t="s">
        <v>88</v>
      </c>
      <c r="S488" s="6">
        <v>787590</v>
      </c>
      <c r="T488" s="6" t="s">
        <v>1</v>
      </c>
      <c r="U488">
        <v>216</v>
      </c>
      <c r="V488" s="6">
        <v>42.4</v>
      </c>
      <c r="W488" s="6">
        <v>19.100000000000001</v>
      </c>
      <c r="X488" s="6">
        <v>213.9</v>
      </c>
      <c r="Y488" s="6">
        <v>275.39999999999998</v>
      </c>
      <c r="Z488" s="6" t="s">
        <v>2</v>
      </c>
      <c r="AA488" t="s">
        <v>599</v>
      </c>
      <c r="AB488" s="6" t="s">
        <v>75</v>
      </c>
      <c r="AC488" t="s">
        <v>66</v>
      </c>
      <c r="AD488" t="s">
        <v>67</v>
      </c>
      <c r="AE488">
        <v>-15</v>
      </c>
      <c r="AF488">
        <v>0</v>
      </c>
      <c r="AG488">
        <v>0</v>
      </c>
      <c r="AH488" s="6">
        <v>43.5</v>
      </c>
      <c r="AI488" s="6">
        <v>0</v>
      </c>
      <c r="AJ488" s="6">
        <v>0.63500000000000001</v>
      </c>
      <c r="AK488" s="6">
        <v>0.45500000000000002</v>
      </c>
      <c r="AL488" s="8">
        <v>6046.79</v>
      </c>
      <c r="AM488" s="6" t="s">
        <v>68</v>
      </c>
      <c r="AN488" s="6">
        <v>1</v>
      </c>
      <c r="AO488" s="6">
        <v>1</v>
      </c>
      <c r="AP488" s="6">
        <v>0</v>
      </c>
      <c r="AQ488" s="6">
        <v>1</v>
      </c>
      <c r="AR488" s="6">
        <v>0</v>
      </c>
      <c r="AS488" s="6">
        <v>1</v>
      </c>
      <c r="AT488" s="6">
        <v>0</v>
      </c>
      <c r="AU488" s="6">
        <v>2.2799999999999998</v>
      </c>
      <c r="AV488" s="6">
        <v>1.48</v>
      </c>
      <c r="AW488" s="6">
        <v>204.46</v>
      </c>
      <c r="AX488" s="6">
        <v>46.05</v>
      </c>
      <c r="AY488" s="6">
        <v>134.30000000000001</v>
      </c>
      <c r="AZ488" s="6">
        <v>3.2</v>
      </c>
      <c r="BA488" s="6">
        <v>52.4</v>
      </c>
    </row>
    <row r="489" spans="1:53" x14ac:dyDescent="0.3">
      <c r="A489" s="6">
        <v>270452446</v>
      </c>
      <c r="B489" s="6">
        <v>245051</v>
      </c>
      <c r="C489" s="6">
        <v>1739653</v>
      </c>
      <c r="D489" s="6">
        <v>4763</v>
      </c>
      <c r="E489" s="6" t="s">
        <v>185</v>
      </c>
      <c r="F489" s="6">
        <v>58751</v>
      </c>
      <c r="G489" s="6" t="s">
        <v>115</v>
      </c>
      <c r="H489" s="10">
        <v>45920</v>
      </c>
      <c r="I489" s="10">
        <v>45920</v>
      </c>
      <c r="J489" s="4">
        <v>45920.8125</v>
      </c>
      <c r="K489" s="4">
        <v>45921.050405092596</v>
      </c>
      <c r="L489" s="11">
        <v>45921.005266203705</v>
      </c>
      <c r="M489" s="10">
        <v>45921</v>
      </c>
      <c r="N489" s="6" t="s">
        <v>86</v>
      </c>
      <c r="O489" t="s">
        <v>253</v>
      </c>
      <c r="P489" s="6" t="s">
        <v>86</v>
      </c>
      <c r="Q489" t="s">
        <v>108</v>
      </c>
      <c r="R489" t="s">
        <v>88</v>
      </c>
      <c r="S489" s="6">
        <v>742558</v>
      </c>
      <c r="T489" s="6" t="s">
        <v>111</v>
      </c>
      <c r="U489">
        <v>322</v>
      </c>
      <c r="V489" s="6">
        <v>4.0999999999999996</v>
      </c>
      <c r="W489" s="6">
        <v>26</v>
      </c>
      <c r="X489" s="6">
        <v>320.60000000000002</v>
      </c>
      <c r="Y489" s="6">
        <v>350.7</v>
      </c>
      <c r="Z489" s="6" t="s">
        <v>63</v>
      </c>
      <c r="AA489" t="s">
        <v>96</v>
      </c>
      <c r="AB489" s="6" t="s">
        <v>65</v>
      </c>
      <c r="AC489" t="s">
        <v>76</v>
      </c>
      <c r="AD489" t="s">
        <v>67</v>
      </c>
      <c r="AE489">
        <v>-65</v>
      </c>
      <c r="AF489">
        <v>0</v>
      </c>
      <c r="AG489">
        <v>0</v>
      </c>
      <c r="AH489" s="6">
        <v>83.4</v>
      </c>
      <c r="AI489" s="6">
        <v>0</v>
      </c>
      <c r="AJ489" s="6">
        <v>0.311</v>
      </c>
      <c r="AK489" s="6">
        <v>0.40500000000000003</v>
      </c>
      <c r="AL489" s="8">
        <v>2535.75</v>
      </c>
      <c r="AM489" s="6" t="s">
        <v>68</v>
      </c>
      <c r="AN489" s="6">
        <v>1</v>
      </c>
      <c r="AO489" s="6">
        <v>1</v>
      </c>
      <c r="AP489" s="6">
        <v>0</v>
      </c>
      <c r="AQ489" s="6">
        <v>1</v>
      </c>
      <c r="AR489" s="6">
        <v>0</v>
      </c>
      <c r="AS489" s="6">
        <v>1</v>
      </c>
      <c r="AT489" s="6">
        <v>0</v>
      </c>
      <c r="AU489" s="6">
        <v>1.69</v>
      </c>
      <c r="AV489" s="6">
        <v>1.1499999999999999</v>
      </c>
      <c r="AW489" s="6">
        <v>303.85000000000002</v>
      </c>
      <c r="AX489" s="6">
        <v>64.06</v>
      </c>
      <c r="AY489" s="6">
        <v>218.95</v>
      </c>
      <c r="AZ489" s="6">
        <v>12.9</v>
      </c>
      <c r="BA489" s="6">
        <v>68.7</v>
      </c>
    </row>
    <row r="490" spans="1:53" x14ac:dyDescent="0.3">
      <c r="A490" s="6">
        <v>490732457</v>
      </c>
      <c r="B490" s="6">
        <v>391476</v>
      </c>
      <c r="C490" s="6">
        <v>8999183</v>
      </c>
      <c r="D490" s="6">
        <v>6618</v>
      </c>
      <c r="E490" s="6" t="s">
        <v>92</v>
      </c>
      <c r="F490" s="6">
        <v>58953</v>
      </c>
      <c r="G490" s="6" t="s">
        <v>69</v>
      </c>
      <c r="H490" s="10">
        <v>46002</v>
      </c>
      <c r="I490" s="10">
        <v>46002</v>
      </c>
      <c r="J490" s="4">
        <v>46002.170138888891</v>
      </c>
      <c r="K490" s="4">
        <v>46002.232638888891</v>
      </c>
      <c r="L490" s="11">
        <v>46002.232638888891</v>
      </c>
      <c r="M490" s="10">
        <v>46002</v>
      </c>
      <c r="N490" s="6" t="s">
        <v>170</v>
      </c>
      <c r="O490" t="s">
        <v>171</v>
      </c>
      <c r="P490" s="6" t="s">
        <v>132</v>
      </c>
      <c r="Q490" t="s">
        <v>229</v>
      </c>
      <c r="R490" t="s">
        <v>62</v>
      </c>
      <c r="S490" s="6">
        <v>765774</v>
      </c>
      <c r="T490" s="6" t="s">
        <v>3</v>
      </c>
      <c r="U490">
        <v>66</v>
      </c>
      <c r="V490" s="6">
        <v>14.5</v>
      </c>
      <c r="W490" s="6">
        <v>15.9</v>
      </c>
      <c r="X490" s="6">
        <v>65.900000000000006</v>
      </c>
      <c r="Y490" s="6">
        <v>96.3</v>
      </c>
      <c r="Z490" s="6" t="s">
        <v>2</v>
      </c>
      <c r="AA490" t="s">
        <v>600</v>
      </c>
      <c r="AB490" s="6" t="s">
        <v>82</v>
      </c>
      <c r="AC490" t="s">
        <v>137</v>
      </c>
      <c r="AD490" t="s">
        <v>67</v>
      </c>
      <c r="AE490">
        <v>0</v>
      </c>
      <c r="AF490">
        <v>0</v>
      </c>
      <c r="AG490">
        <v>0</v>
      </c>
      <c r="AH490" s="6">
        <v>68.599999999999994</v>
      </c>
      <c r="AI490" s="6">
        <v>0</v>
      </c>
      <c r="AJ490" s="6">
        <v>0.92300000000000004</v>
      </c>
      <c r="AK490" s="6">
        <v>0.59399999999999997</v>
      </c>
      <c r="AL490" s="8">
        <v>70619.75</v>
      </c>
      <c r="AM490" s="6" t="s">
        <v>155</v>
      </c>
      <c r="AN490" s="6">
        <v>1</v>
      </c>
      <c r="AO490" s="6">
        <v>1</v>
      </c>
      <c r="AP490" s="6">
        <v>0</v>
      </c>
      <c r="AQ490" s="6">
        <v>1</v>
      </c>
      <c r="AR490" s="6">
        <v>0</v>
      </c>
      <c r="AS490" s="6">
        <v>1</v>
      </c>
      <c r="AT490" s="6">
        <v>0</v>
      </c>
      <c r="AU490" s="6">
        <v>2.2000000000000002</v>
      </c>
      <c r="AV490" s="6">
        <v>1.59</v>
      </c>
      <c r="AW490" s="6">
        <v>87.84</v>
      </c>
      <c r="AX490" s="6">
        <v>15.87</v>
      </c>
      <c r="AY490" s="6">
        <v>58.71</v>
      </c>
      <c r="AZ490" s="6">
        <v>51.7</v>
      </c>
      <c r="BA490" s="6">
        <v>47.2</v>
      </c>
    </row>
    <row r="491" spans="1:53" x14ac:dyDescent="0.3">
      <c r="A491" s="6">
        <v>500346767</v>
      </c>
      <c r="B491" s="6">
        <v>559381</v>
      </c>
      <c r="C491" s="6">
        <v>4526280</v>
      </c>
      <c r="D491" s="6">
        <v>9754</v>
      </c>
      <c r="E491" s="6" t="s">
        <v>126</v>
      </c>
      <c r="F491" s="6">
        <v>55794</v>
      </c>
      <c r="G491" s="6" t="s">
        <v>77</v>
      </c>
      <c r="H491" s="10">
        <v>45911</v>
      </c>
      <c r="I491" s="10">
        <v>45911</v>
      </c>
      <c r="J491" s="4">
        <v>45911.868055555555</v>
      </c>
      <c r="K491" s="4">
        <v>45911.930555555555</v>
      </c>
      <c r="L491" s="11">
        <v>45911.95</v>
      </c>
      <c r="M491" s="10">
        <v>45911</v>
      </c>
      <c r="N491" s="6" t="s">
        <v>170</v>
      </c>
      <c r="O491" t="s">
        <v>183</v>
      </c>
      <c r="P491" s="6" t="s">
        <v>116</v>
      </c>
      <c r="Q491" t="s">
        <v>139</v>
      </c>
      <c r="R491" t="s">
        <v>123</v>
      </c>
      <c r="S491" s="6">
        <v>714728</v>
      </c>
      <c r="T491" s="6" t="s">
        <v>3</v>
      </c>
      <c r="U491">
        <v>41</v>
      </c>
      <c r="V491" s="6">
        <v>5.4</v>
      </c>
      <c r="W491" s="6">
        <v>32.200000000000003</v>
      </c>
      <c r="X491" s="6">
        <v>39.1</v>
      </c>
      <c r="Y491" s="6">
        <v>76.7</v>
      </c>
      <c r="Z491" s="6" t="s">
        <v>2</v>
      </c>
      <c r="AA491" t="s">
        <v>601</v>
      </c>
      <c r="AB491" s="6" t="s">
        <v>65</v>
      </c>
      <c r="AC491" t="s">
        <v>137</v>
      </c>
      <c r="AD491" t="s">
        <v>67</v>
      </c>
      <c r="AE491">
        <v>28</v>
      </c>
      <c r="AF491">
        <v>0</v>
      </c>
      <c r="AG491">
        <v>1.9</v>
      </c>
      <c r="AH491" s="6">
        <v>63.7</v>
      </c>
      <c r="AI491" s="6">
        <v>0</v>
      </c>
      <c r="AJ491" s="6">
        <v>0.78700000000000003</v>
      </c>
      <c r="AK491" s="6">
        <v>0.59799999999999998</v>
      </c>
      <c r="AL491" s="8">
        <v>15571.91</v>
      </c>
      <c r="AM491" s="6" t="s">
        <v>114</v>
      </c>
      <c r="AN491" s="6">
        <v>1</v>
      </c>
      <c r="AO491" s="6">
        <v>0</v>
      </c>
      <c r="AP491" s="6">
        <v>1</v>
      </c>
      <c r="AQ491" s="6">
        <v>0</v>
      </c>
      <c r="AR491" s="6">
        <v>1</v>
      </c>
      <c r="AS491" s="6">
        <v>0</v>
      </c>
      <c r="AT491" s="6">
        <v>1</v>
      </c>
      <c r="AU491" s="6">
        <v>2.58</v>
      </c>
      <c r="AV491" s="6">
        <v>1.78</v>
      </c>
      <c r="AW491" s="6">
        <v>69.88</v>
      </c>
      <c r="AX491" s="6">
        <v>12.99</v>
      </c>
      <c r="AY491" s="6">
        <v>37.869999999999997</v>
      </c>
      <c r="AZ491" s="6">
        <v>25</v>
      </c>
      <c r="BA491" s="6">
        <v>0</v>
      </c>
    </row>
    <row r="492" spans="1:53" x14ac:dyDescent="0.3">
      <c r="A492" s="6">
        <v>403754671</v>
      </c>
      <c r="B492" s="6">
        <v>440035</v>
      </c>
      <c r="C492" s="6">
        <v>1156287</v>
      </c>
      <c r="D492" s="6">
        <v>8858</v>
      </c>
      <c r="E492" s="6" t="s">
        <v>57</v>
      </c>
      <c r="F492" s="6">
        <v>53574</v>
      </c>
      <c r="G492" s="6" t="s">
        <v>149</v>
      </c>
      <c r="H492" s="10">
        <v>46001</v>
      </c>
      <c r="I492" s="10">
        <v>46001</v>
      </c>
      <c r="J492" s="4">
        <v>46001.65625</v>
      </c>
      <c r="K492" s="4">
        <v>46001.821805555555</v>
      </c>
      <c r="L492" s="11">
        <v>46001.811388888891</v>
      </c>
      <c r="M492" s="10">
        <v>46001</v>
      </c>
      <c r="N492" s="6" t="s">
        <v>78</v>
      </c>
      <c r="O492" t="s">
        <v>79</v>
      </c>
      <c r="P492" s="6" t="s">
        <v>59</v>
      </c>
      <c r="Q492" t="s">
        <v>85</v>
      </c>
      <c r="R492" t="s">
        <v>62</v>
      </c>
      <c r="S492" s="6">
        <v>752047</v>
      </c>
      <c r="T492" s="6" t="s">
        <v>1</v>
      </c>
      <c r="U492">
        <v>144</v>
      </c>
      <c r="V492" s="6">
        <v>25.2</v>
      </c>
      <c r="W492" s="6">
        <v>5.7</v>
      </c>
      <c r="X492" s="6">
        <v>142.1</v>
      </c>
      <c r="Y492" s="6">
        <v>173</v>
      </c>
      <c r="Z492" s="6" t="s">
        <v>63</v>
      </c>
      <c r="AA492" t="s">
        <v>602</v>
      </c>
      <c r="AB492" s="6" t="s">
        <v>90</v>
      </c>
      <c r="AC492" t="s">
        <v>125</v>
      </c>
      <c r="AD492" t="s">
        <v>67</v>
      </c>
      <c r="AE492">
        <v>-15</v>
      </c>
      <c r="AF492">
        <v>0</v>
      </c>
      <c r="AG492">
        <v>0</v>
      </c>
      <c r="AH492" s="6">
        <v>38.299999999999997</v>
      </c>
      <c r="AI492" s="6">
        <v>0</v>
      </c>
      <c r="AJ492" s="6">
        <v>0.78200000000000003</v>
      </c>
      <c r="AK492" s="6">
        <v>0.76200000000000001</v>
      </c>
      <c r="AL492" s="8">
        <v>3146</v>
      </c>
      <c r="AM492" s="6" t="s">
        <v>68</v>
      </c>
      <c r="AN492" s="6">
        <v>1</v>
      </c>
      <c r="AO492" s="6">
        <v>1</v>
      </c>
      <c r="AP492" s="6">
        <v>0</v>
      </c>
      <c r="AQ492" s="6">
        <v>1</v>
      </c>
      <c r="AR492" s="6">
        <v>0</v>
      </c>
      <c r="AS492" s="6">
        <v>1</v>
      </c>
      <c r="AT492" s="6">
        <v>0</v>
      </c>
      <c r="AU492" s="6">
        <v>2.35</v>
      </c>
      <c r="AV492" s="6">
        <v>1.69</v>
      </c>
      <c r="AW492" s="6">
        <v>158.16999999999999</v>
      </c>
      <c r="AX492" s="6">
        <v>21.99</v>
      </c>
      <c r="AY492" s="6">
        <v>111.81</v>
      </c>
      <c r="AZ492" s="6">
        <v>8.3000000000000007</v>
      </c>
      <c r="BA492" s="6">
        <v>28.6</v>
      </c>
    </row>
    <row r="493" spans="1:53" x14ac:dyDescent="0.3">
      <c r="A493" s="6">
        <v>515985367</v>
      </c>
      <c r="B493" s="6">
        <v>983794</v>
      </c>
      <c r="C493" s="6">
        <v>8688755</v>
      </c>
      <c r="D493" s="6">
        <v>1863</v>
      </c>
      <c r="E493" s="6" t="s">
        <v>57</v>
      </c>
      <c r="F493" s="6">
        <v>53785</v>
      </c>
      <c r="G493" s="6" t="s">
        <v>149</v>
      </c>
      <c r="H493" s="10">
        <v>45860</v>
      </c>
      <c r="I493" s="10">
        <v>45860</v>
      </c>
      <c r="J493" s="4">
        <v>45860.618055555555</v>
      </c>
      <c r="K493" s="4">
        <v>45860.707835648151</v>
      </c>
      <c r="L493" s="11">
        <v>45860.716168981482</v>
      </c>
      <c r="M493" s="10">
        <v>45860</v>
      </c>
      <c r="N493" s="6" t="s">
        <v>86</v>
      </c>
      <c r="O493" t="s">
        <v>268</v>
      </c>
      <c r="P493" s="6" t="s">
        <v>132</v>
      </c>
      <c r="Q493" t="s">
        <v>328</v>
      </c>
      <c r="R493" t="s">
        <v>62</v>
      </c>
      <c r="S493" s="6">
        <v>772918</v>
      </c>
      <c r="T493" s="6" t="s">
        <v>1</v>
      </c>
      <c r="U493">
        <v>118</v>
      </c>
      <c r="V493" s="6">
        <v>40</v>
      </c>
      <c r="W493" s="6">
        <v>30.2</v>
      </c>
      <c r="X493" s="6">
        <v>128.30000000000001</v>
      </c>
      <c r="Y493" s="6">
        <v>198.5</v>
      </c>
      <c r="Z493" s="6" t="s">
        <v>63</v>
      </c>
      <c r="AA493" t="s">
        <v>603</v>
      </c>
      <c r="AB493" s="6" t="s">
        <v>90</v>
      </c>
      <c r="AC493" t="s">
        <v>66</v>
      </c>
      <c r="AD493" t="s">
        <v>67</v>
      </c>
      <c r="AE493">
        <v>12</v>
      </c>
      <c r="AF493">
        <v>0</v>
      </c>
      <c r="AG493">
        <v>0</v>
      </c>
      <c r="AH493" s="6">
        <v>71.2</v>
      </c>
      <c r="AI493" s="6">
        <v>0</v>
      </c>
      <c r="AJ493" s="6">
        <v>0.85499999999999998</v>
      </c>
      <c r="AK493" s="6">
        <v>0.65700000000000003</v>
      </c>
      <c r="AL493" s="8">
        <v>2420.37</v>
      </c>
      <c r="AM493" s="6" t="s">
        <v>68</v>
      </c>
      <c r="AN493" s="6">
        <v>1</v>
      </c>
      <c r="AO493" s="6">
        <v>1</v>
      </c>
      <c r="AP493" s="6">
        <v>0</v>
      </c>
      <c r="AQ493" s="6">
        <v>1</v>
      </c>
      <c r="AR493" s="6">
        <v>0</v>
      </c>
      <c r="AS493" s="6">
        <v>1</v>
      </c>
      <c r="AT493" s="6">
        <v>0</v>
      </c>
      <c r="AU493" s="6">
        <v>2.2599999999999998</v>
      </c>
      <c r="AV493" s="6">
        <v>1.75</v>
      </c>
      <c r="AW493" s="6">
        <v>173.47</v>
      </c>
      <c r="AX493" s="6">
        <v>30.7</v>
      </c>
      <c r="AY493" s="6">
        <v>105.8</v>
      </c>
      <c r="AZ493" s="6">
        <v>22.3</v>
      </c>
      <c r="BA493" s="6">
        <v>23.1</v>
      </c>
    </row>
    <row r="494" spans="1:53" x14ac:dyDescent="0.3">
      <c r="A494" s="6">
        <v>538912794</v>
      </c>
      <c r="B494" s="6">
        <v>623481</v>
      </c>
      <c r="C494" s="6">
        <v>2737893</v>
      </c>
      <c r="D494" s="6">
        <v>4627</v>
      </c>
      <c r="E494" s="6" t="s">
        <v>101</v>
      </c>
      <c r="F494" s="6">
        <v>55220</v>
      </c>
      <c r="G494" s="6" t="s">
        <v>115</v>
      </c>
      <c r="H494" s="10">
        <v>45877</v>
      </c>
      <c r="I494" s="10">
        <v>45877</v>
      </c>
      <c r="J494" s="4">
        <v>45877.163194444445</v>
      </c>
      <c r="K494" s="4">
        <v>45877.348356481481</v>
      </c>
      <c r="L494" s="11">
        <v>45877.316412037035</v>
      </c>
      <c r="M494" s="10">
        <v>45877</v>
      </c>
      <c r="N494" s="6" t="s">
        <v>132</v>
      </c>
      <c r="O494" t="s">
        <v>229</v>
      </c>
      <c r="P494" s="6" t="s">
        <v>59</v>
      </c>
      <c r="Q494" t="s">
        <v>99</v>
      </c>
      <c r="R494" t="s">
        <v>62</v>
      </c>
      <c r="S494" s="6">
        <v>778018</v>
      </c>
      <c r="T494" s="6" t="s">
        <v>1</v>
      </c>
      <c r="U494">
        <v>268</v>
      </c>
      <c r="V494" s="6">
        <v>58.6</v>
      </c>
      <c r="W494" s="6">
        <v>9.6</v>
      </c>
      <c r="X494" s="6">
        <v>268.8</v>
      </c>
      <c r="Y494" s="6">
        <v>337</v>
      </c>
      <c r="Z494" s="6" t="s">
        <v>63</v>
      </c>
      <c r="AA494" t="s">
        <v>604</v>
      </c>
      <c r="AB494" s="6" t="s">
        <v>82</v>
      </c>
      <c r="AC494" t="s">
        <v>154</v>
      </c>
      <c r="AD494" t="s">
        <v>67</v>
      </c>
      <c r="AE494">
        <v>-46</v>
      </c>
      <c r="AF494">
        <v>0</v>
      </c>
      <c r="AG494">
        <v>0</v>
      </c>
      <c r="AH494" s="6">
        <v>50</v>
      </c>
      <c r="AI494" s="6">
        <v>0</v>
      </c>
      <c r="AJ494" s="6">
        <v>0.54200000000000004</v>
      </c>
      <c r="AK494" s="6">
        <v>0.43</v>
      </c>
      <c r="AL494" s="8">
        <v>4091.38</v>
      </c>
      <c r="AM494" s="6" t="s">
        <v>68</v>
      </c>
      <c r="AN494" s="6">
        <v>1</v>
      </c>
      <c r="AO494" s="6">
        <v>1</v>
      </c>
      <c r="AP494" s="6">
        <v>0</v>
      </c>
      <c r="AQ494" s="6">
        <v>1</v>
      </c>
      <c r="AR494" s="6">
        <v>0</v>
      </c>
      <c r="AS494" s="6">
        <v>1</v>
      </c>
      <c r="AT494" s="6">
        <v>0</v>
      </c>
      <c r="AU494" s="6">
        <v>2.11</v>
      </c>
      <c r="AV494" s="6">
        <v>1.3</v>
      </c>
      <c r="AW494" s="6">
        <v>230.88</v>
      </c>
      <c r="AX494" s="6">
        <v>34.15</v>
      </c>
      <c r="AY494" s="6">
        <v>218.53</v>
      </c>
      <c r="AZ494" s="6">
        <v>22.3</v>
      </c>
      <c r="BA494" s="6">
        <v>77.2</v>
      </c>
    </row>
    <row r="495" spans="1:53" x14ac:dyDescent="0.3">
      <c r="A495" s="6">
        <v>931575232</v>
      </c>
      <c r="B495" s="6">
        <v>903035</v>
      </c>
      <c r="C495" s="6">
        <v>7110622</v>
      </c>
      <c r="D495" s="6">
        <v>3200</v>
      </c>
      <c r="E495" s="6" t="s">
        <v>92</v>
      </c>
      <c r="F495" s="6">
        <v>57750</v>
      </c>
      <c r="G495" s="6" t="s">
        <v>69</v>
      </c>
      <c r="H495" s="10">
        <v>46014</v>
      </c>
      <c r="I495" s="10">
        <v>46014</v>
      </c>
      <c r="J495" s="4">
        <v>46014.548611111109</v>
      </c>
      <c r="K495" s="4">
        <v>46014.898831018516</v>
      </c>
      <c r="L495" s="11">
        <v>46014.875219907408</v>
      </c>
      <c r="M495" s="10">
        <v>46014</v>
      </c>
      <c r="N495" s="6" t="s">
        <v>121</v>
      </c>
      <c r="O495" t="s">
        <v>179</v>
      </c>
      <c r="P495" s="6" t="s">
        <v>121</v>
      </c>
      <c r="Q495" t="s">
        <v>179</v>
      </c>
      <c r="R495" t="s">
        <v>123</v>
      </c>
      <c r="S495" s="6">
        <v>742838</v>
      </c>
      <c r="T495" s="6" t="s">
        <v>111</v>
      </c>
      <c r="U495">
        <v>388</v>
      </c>
      <c r="V495" s="6">
        <v>3.7</v>
      </c>
      <c r="W495" s="6">
        <v>32.200000000000003</v>
      </c>
      <c r="X495" s="6">
        <v>386.2</v>
      </c>
      <c r="Y495" s="6">
        <v>422.1</v>
      </c>
      <c r="Z495" s="6" t="s">
        <v>2</v>
      </c>
      <c r="AA495" t="s">
        <v>605</v>
      </c>
      <c r="AB495" s="6" t="s">
        <v>75</v>
      </c>
      <c r="AC495" t="s">
        <v>66</v>
      </c>
      <c r="AD495" t="s">
        <v>67</v>
      </c>
      <c r="AE495">
        <v>-34</v>
      </c>
      <c r="AF495">
        <v>103</v>
      </c>
      <c r="AG495">
        <v>0</v>
      </c>
      <c r="AH495" s="6">
        <v>48.3</v>
      </c>
      <c r="AI495" s="6">
        <v>0</v>
      </c>
      <c r="AJ495" s="6">
        <v>0.503</v>
      </c>
      <c r="AK495" s="6">
        <v>0.75700000000000001</v>
      </c>
      <c r="AL495" s="8">
        <v>1417.71</v>
      </c>
      <c r="AM495" s="6" t="s">
        <v>68</v>
      </c>
      <c r="AN495" s="6">
        <v>1</v>
      </c>
      <c r="AO495" s="6">
        <v>1</v>
      </c>
      <c r="AP495" s="6">
        <v>0</v>
      </c>
      <c r="AQ495" s="6">
        <v>1</v>
      </c>
      <c r="AR495" s="6">
        <v>0</v>
      </c>
      <c r="AS495" s="6">
        <v>1</v>
      </c>
      <c r="AT495" s="6">
        <v>0</v>
      </c>
      <c r="AU495" s="6">
        <v>2.37</v>
      </c>
      <c r="AV495" s="6">
        <v>1.44</v>
      </c>
      <c r="AW495" s="6">
        <v>268.97000000000003</v>
      </c>
      <c r="AX495" s="6">
        <v>76.08</v>
      </c>
      <c r="AY495" s="6">
        <v>239.34</v>
      </c>
      <c r="AZ495" s="6">
        <v>26.8</v>
      </c>
      <c r="BA495" s="6">
        <v>21.6</v>
      </c>
    </row>
    <row r="496" spans="1:53" x14ac:dyDescent="0.3">
      <c r="A496" s="6">
        <v>463318956</v>
      </c>
      <c r="B496" s="6">
        <v>260263</v>
      </c>
      <c r="C496" s="6">
        <v>5674183</v>
      </c>
      <c r="D496" s="6">
        <v>5736</v>
      </c>
      <c r="E496" s="6" t="s">
        <v>185</v>
      </c>
      <c r="F496" s="6">
        <v>56818</v>
      </c>
      <c r="G496" s="6" t="s">
        <v>115</v>
      </c>
      <c r="H496" s="10">
        <v>45892</v>
      </c>
      <c r="I496" s="10">
        <v>45892</v>
      </c>
      <c r="J496" s="4">
        <v>45892.423611111109</v>
      </c>
      <c r="K496" s="4">
        <v>45892.63144675926</v>
      </c>
      <c r="L496" s="11">
        <v>45892.620335648149</v>
      </c>
      <c r="M496" s="10">
        <v>45892</v>
      </c>
      <c r="N496" s="6" t="s">
        <v>134</v>
      </c>
      <c r="O496" t="s">
        <v>282</v>
      </c>
      <c r="P496" s="6" t="s">
        <v>129</v>
      </c>
      <c r="Q496" t="s">
        <v>241</v>
      </c>
      <c r="R496" t="s">
        <v>123</v>
      </c>
      <c r="S496" s="6">
        <v>702410</v>
      </c>
      <c r="T496" s="6" t="s">
        <v>1</v>
      </c>
      <c r="U496">
        <v>239</v>
      </c>
      <c r="V496" s="6">
        <v>37.5</v>
      </c>
      <c r="W496" s="6">
        <v>2.8</v>
      </c>
      <c r="X496" s="6">
        <v>247.3</v>
      </c>
      <c r="Y496" s="6">
        <v>287.60000000000002</v>
      </c>
      <c r="Z496" s="6" t="s">
        <v>2</v>
      </c>
      <c r="AA496" t="s">
        <v>393</v>
      </c>
      <c r="AB496" s="6" t="s">
        <v>75</v>
      </c>
      <c r="AC496" t="s">
        <v>76</v>
      </c>
      <c r="AD496" t="s">
        <v>67</v>
      </c>
      <c r="AE496">
        <v>-16</v>
      </c>
      <c r="AF496">
        <v>0</v>
      </c>
      <c r="AG496">
        <v>0</v>
      </c>
      <c r="AH496" s="6">
        <v>49.4</v>
      </c>
      <c r="AI496" s="6">
        <v>0</v>
      </c>
      <c r="AJ496" s="6">
        <v>0.24299999999999999</v>
      </c>
      <c r="AK496" s="6">
        <v>0.746</v>
      </c>
      <c r="AL496" s="8">
        <v>22095.59</v>
      </c>
      <c r="AM496" s="6" t="s">
        <v>114</v>
      </c>
      <c r="AN496" s="6">
        <v>1</v>
      </c>
      <c r="AO496" s="6">
        <v>1</v>
      </c>
      <c r="AP496" s="6">
        <v>0</v>
      </c>
      <c r="AQ496" s="6">
        <v>1</v>
      </c>
      <c r="AR496" s="6">
        <v>0</v>
      </c>
      <c r="AS496" s="6">
        <v>1</v>
      </c>
      <c r="AT496" s="6">
        <v>0</v>
      </c>
      <c r="AU496" s="6">
        <v>2.2999999999999998</v>
      </c>
      <c r="AV496" s="6">
        <v>1.59</v>
      </c>
      <c r="AW496" s="6">
        <v>248.34</v>
      </c>
      <c r="AX496" s="6">
        <v>40.229999999999997</v>
      </c>
      <c r="AY496" s="6">
        <v>191.21</v>
      </c>
      <c r="AZ496" s="6">
        <v>30.8</v>
      </c>
      <c r="BA496" s="6">
        <v>40.1</v>
      </c>
    </row>
    <row r="497" spans="1:53" x14ac:dyDescent="0.3">
      <c r="A497" s="6">
        <v>828960875</v>
      </c>
      <c r="B497" s="6">
        <v>356702</v>
      </c>
      <c r="C497" s="6">
        <v>4426900</v>
      </c>
      <c r="D497" s="6">
        <v>1502</v>
      </c>
      <c r="E497" s="6" t="s">
        <v>84</v>
      </c>
      <c r="F497" s="6">
        <v>50684</v>
      </c>
      <c r="G497" s="6" t="s">
        <v>77</v>
      </c>
      <c r="H497" s="10">
        <v>45669</v>
      </c>
      <c r="I497" s="10">
        <v>45669</v>
      </c>
      <c r="J497" s="4">
        <v>45669.291666666664</v>
      </c>
      <c r="K497" s="4">
        <v>45669.384375000001</v>
      </c>
      <c r="L497" s="11">
        <v>45669.358680555553</v>
      </c>
      <c r="M497" s="10">
        <v>45669</v>
      </c>
      <c r="N497" s="6" t="s">
        <v>129</v>
      </c>
      <c r="O497" t="s">
        <v>156</v>
      </c>
      <c r="P497" s="6" t="s">
        <v>132</v>
      </c>
      <c r="Q497" t="s">
        <v>229</v>
      </c>
      <c r="R497" t="s">
        <v>62</v>
      </c>
      <c r="S497" s="6">
        <v>719112</v>
      </c>
      <c r="T497" s="6" t="s">
        <v>3</v>
      </c>
      <c r="U497">
        <v>85</v>
      </c>
      <c r="V497" s="6">
        <v>21.9</v>
      </c>
      <c r="W497" s="6">
        <v>18.2</v>
      </c>
      <c r="X497" s="6">
        <v>91.5</v>
      </c>
      <c r="Y497" s="6">
        <v>131.6</v>
      </c>
      <c r="Z497" s="6" t="s">
        <v>63</v>
      </c>
      <c r="AA497" t="s">
        <v>606</v>
      </c>
      <c r="AB497" s="6" t="s">
        <v>97</v>
      </c>
      <c r="AC497" t="s">
        <v>91</v>
      </c>
      <c r="AD497" t="s">
        <v>67</v>
      </c>
      <c r="AE497">
        <v>-37</v>
      </c>
      <c r="AF497">
        <v>0</v>
      </c>
      <c r="AG497">
        <v>0</v>
      </c>
      <c r="AH497" s="6">
        <v>59.9</v>
      </c>
      <c r="AI497" s="6">
        <v>0</v>
      </c>
      <c r="AJ497" s="6">
        <v>0.81100000000000005</v>
      </c>
      <c r="AK497" s="6">
        <v>0.88100000000000001</v>
      </c>
      <c r="AL497" s="8">
        <v>2960.06</v>
      </c>
      <c r="AM497" s="6" t="s">
        <v>68</v>
      </c>
      <c r="AN497" s="6">
        <v>1</v>
      </c>
      <c r="AO497" s="6">
        <v>1</v>
      </c>
      <c r="AP497" s="6">
        <v>0</v>
      </c>
      <c r="AQ497" s="6">
        <v>1</v>
      </c>
      <c r="AR497" s="6">
        <v>0</v>
      </c>
      <c r="AS497" s="6">
        <v>1</v>
      </c>
      <c r="AT497" s="6">
        <v>0</v>
      </c>
      <c r="AU497" s="6">
        <v>2.42</v>
      </c>
      <c r="AV497" s="6">
        <v>1.93</v>
      </c>
      <c r="AW497" s="6">
        <v>93.77</v>
      </c>
      <c r="AX497" s="6">
        <v>23.52</v>
      </c>
      <c r="AY497" s="6">
        <v>92.91</v>
      </c>
      <c r="AZ497" s="6">
        <v>47.2</v>
      </c>
      <c r="BA497" s="6">
        <v>12.5</v>
      </c>
    </row>
    <row r="498" spans="1:53" x14ac:dyDescent="0.3">
      <c r="A498" s="6">
        <v>741975062</v>
      </c>
      <c r="B498" s="6">
        <v>220116</v>
      </c>
      <c r="C498" s="6">
        <v>6933742</v>
      </c>
      <c r="D498" s="6">
        <v>5218</v>
      </c>
      <c r="E498" s="6" t="s">
        <v>57</v>
      </c>
      <c r="F498" s="6">
        <v>54233</v>
      </c>
      <c r="G498" s="6" t="s">
        <v>77</v>
      </c>
      <c r="H498" s="10">
        <v>45922</v>
      </c>
      <c r="I498" s="10">
        <v>45922</v>
      </c>
      <c r="J498" s="4">
        <v>45922.385416666664</v>
      </c>
      <c r="K498" s="4">
        <v>45922.61891203704</v>
      </c>
      <c r="L498" s="11">
        <v>45922.607106481482</v>
      </c>
      <c r="M498" s="10">
        <v>45922</v>
      </c>
      <c r="N498" s="6" t="s">
        <v>59</v>
      </c>
      <c r="O498" t="s">
        <v>60</v>
      </c>
      <c r="P498" s="6" t="s">
        <v>134</v>
      </c>
      <c r="Q498" t="s">
        <v>172</v>
      </c>
      <c r="R498" t="s">
        <v>73</v>
      </c>
      <c r="S498" s="6">
        <v>745838</v>
      </c>
      <c r="T498" s="6" t="s">
        <v>1</v>
      </c>
      <c r="U498">
        <v>251</v>
      </c>
      <c r="V498" s="6">
        <v>15.4</v>
      </c>
      <c r="W498" s="6">
        <v>18.2</v>
      </c>
      <c r="X498" s="6">
        <v>254.7</v>
      </c>
      <c r="Y498" s="6">
        <v>288.3</v>
      </c>
      <c r="Z498" s="6" t="s">
        <v>63</v>
      </c>
      <c r="AA498" t="s">
        <v>607</v>
      </c>
      <c r="AB498" s="6" t="s">
        <v>97</v>
      </c>
      <c r="AC498" t="s">
        <v>83</v>
      </c>
      <c r="AD498" t="s">
        <v>67</v>
      </c>
      <c r="AE498">
        <v>-17</v>
      </c>
      <c r="AF498">
        <v>0</v>
      </c>
      <c r="AG498">
        <v>0</v>
      </c>
      <c r="AH498" s="6">
        <v>65.099999999999994</v>
      </c>
      <c r="AI498" s="6">
        <v>0</v>
      </c>
      <c r="AJ498" s="6">
        <v>0.73799999999999999</v>
      </c>
      <c r="AK498" s="6">
        <v>0.501</v>
      </c>
      <c r="AL498" s="8">
        <v>18813.8</v>
      </c>
      <c r="AM498" s="6" t="s">
        <v>114</v>
      </c>
      <c r="AN498" s="6">
        <v>1</v>
      </c>
      <c r="AO498" s="6">
        <v>1</v>
      </c>
      <c r="AP498" s="6">
        <v>0</v>
      </c>
      <c r="AQ498" s="6">
        <v>1</v>
      </c>
      <c r="AR498" s="6">
        <v>0</v>
      </c>
      <c r="AS498" s="6">
        <v>1</v>
      </c>
      <c r="AT498" s="6">
        <v>0</v>
      </c>
      <c r="AU498" s="6">
        <v>1.92</v>
      </c>
      <c r="AV498" s="6">
        <v>1.1399999999999999</v>
      </c>
      <c r="AW498" s="6">
        <v>207.96</v>
      </c>
      <c r="AX498" s="6">
        <v>60.88</v>
      </c>
      <c r="AY498" s="6">
        <v>197.92</v>
      </c>
      <c r="AZ498" s="6">
        <v>31.9</v>
      </c>
      <c r="BA498" s="6">
        <v>44.5</v>
      </c>
    </row>
    <row r="499" spans="1:53" x14ac:dyDescent="0.3">
      <c r="A499" s="6">
        <v>156227043</v>
      </c>
      <c r="B499" s="6">
        <v>358607</v>
      </c>
      <c r="C499" s="6">
        <v>5727085</v>
      </c>
      <c r="D499" s="6">
        <v>6864</v>
      </c>
      <c r="E499" s="6" t="s">
        <v>84</v>
      </c>
      <c r="F499" s="6">
        <v>50577</v>
      </c>
      <c r="G499" s="6" t="s">
        <v>107</v>
      </c>
      <c r="H499" s="10">
        <v>45988</v>
      </c>
      <c r="I499" s="10">
        <v>45988</v>
      </c>
      <c r="J499" s="4">
        <v>45988.795138888891</v>
      </c>
      <c r="K499" s="4">
        <v>45988.964247685188</v>
      </c>
      <c r="L499" s="11">
        <v>45988.96702546296</v>
      </c>
      <c r="M499" s="10">
        <v>45988</v>
      </c>
      <c r="N499" s="6" t="s">
        <v>176</v>
      </c>
      <c r="O499" t="s">
        <v>177</v>
      </c>
      <c r="P499" s="6" t="s">
        <v>70</v>
      </c>
      <c r="Q499" t="s">
        <v>152</v>
      </c>
      <c r="R499" t="s">
        <v>73</v>
      </c>
      <c r="S499" s="6">
        <v>715799</v>
      </c>
      <c r="T499" s="6" t="s">
        <v>1</v>
      </c>
      <c r="U499">
        <v>206</v>
      </c>
      <c r="V499" s="6">
        <v>5.2</v>
      </c>
      <c r="W499" s="6">
        <v>21.7</v>
      </c>
      <c r="X499" s="6">
        <v>202.3</v>
      </c>
      <c r="Y499" s="6">
        <v>229.2</v>
      </c>
      <c r="Z499" s="6" t="s">
        <v>63</v>
      </c>
      <c r="AA499" t="s">
        <v>608</v>
      </c>
      <c r="AB499" s="6" t="s">
        <v>65</v>
      </c>
      <c r="AC499" t="s">
        <v>137</v>
      </c>
      <c r="AD499" t="s">
        <v>67</v>
      </c>
      <c r="AE499">
        <v>4</v>
      </c>
      <c r="AF499">
        <v>0</v>
      </c>
      <c r="AG499">
        <v>0</v>
      </c>
      <c r="AH499" s="6">
        <v>59.4</v>
      </c>
      <c r="AI499" s="6">
        <v>0</v>
      </c>
      <c r="AJ499" s="6">
        <v>0.69399999999999995</v>
      </c>
      <c r="AK499" s="6">
        <v>0.7</v>
      </c>
      <c r="AL499" s="8">
        <v>93490.2</v>
      </c>
      <c r="AM499" s="6" t="s">
        <v>155</v>
      </c>
      <c r="AN499" s="6">
        <v>1</v>
      </c>
      <c r="AO499" s="6">
        <v>1</v>
      </c>
      <c r="AP499" s="6">
        <v>0</v>
      </c>
      <c r="AQ499" s="6">
        <v>1</v>
      </c>
      <c r="AR499" s="6">
        <v>0</v>
      </c>
      <c r="AS499" s="6">
        <v>1</v>
      </c>
      <c r="AT499" s="6">
        <v>0</v>
      </c>
      <c r="AU499" s="6">
        <v>2.17</v>
      </c>
      <c r="AV499" s="6">
        <v>1.73</v>
      </c>
      <c r="AW499" s="6">
        <v>147.12</v>
      </c>
      <c r="AX499" s="6">
        <v>39.19</v>
      </c>
      <c r="AY499" s="6">
        <v>136.56</v>
      </c>
      <c r="AZ499" s="6">
        <v>7.3</v>
      </c>
      <c r="BA499" s="6">
        <v>38.5</v>
      </c>
    </row>
    <row r="500" spans="1:53" x14ac:dyDescent="0.3">
      <c r="A500" s="6">
        <v>947425963</v>
      </c>
      <c r="B500" s="6">
        <v>905635</v>
      </c>
      <c r="C500" s="6">
        <v>2677407</v>
      </c>
      <c r="D500" s="6">
        <v>3790</v>
      </c>
      <c r="E500" s="6" t="s">
        <v>106</v>
      </c>
      <c r="F500" s="6">
        <v>58007</v>
      </c>
      <c r="G500" s="6" t="s">
        <v>149</v>
      </c>
      <c r="H500" s="10">
        <v>45948</v>
      </c>
      <c r="I500" s="10">
        <v>45948</v>
      </c>
      <c r="J500" s="4">
        <v>45948.430555555555</v>
      </c>
      <c r="K500" s="4">
        <v>45948.493055555555</v>
      </c>
      <c r="L500" s="11">
        <v>45948.467361111114</v>
      </c>
      <c r="M500" s="10">
        <v>45948</v>
      </c>
      <c r="N500" s="6" t="s">
        <v>59</v>
      </c>
      <c r="O500" t="s">
        <v>61</v>
      </c>
      <c r="P500" s="6" t="s">
        <v>86</v>
      </c>
      <c r="Q500" t="s">
        <v>87</v>
      </c>
      <c r="R500" t="s">
        <v>88</v>
      </c>
      <c r="S500" s="6">
        <v>759297</v>
      </c>
      <c r="T500" s="6" t="s">
        <v>3</v>
      </c>
      <c r="U500">
        <v>54</v>
      </c>
      <c r="V500" s="6">
        <v>54</v>
      </c>
      <c r="W500" s="6">
        <v>21.6</v>
      </c>
      <c r="X500" s="6">
        <v>70.400000000000006</v>
      </c>
      <c r="Y500" s="6">
        <v>146</v>
      </c>
      <c r="Z500" s="6" t="s">
        <v>63</v>
      </c>
      <c r="AA500" t="s">
        <v>609</v>
      </c>
      <c r="AB500" s="6" t="s">
        <v>75</v>
      </c>
      <c r="AC500" t="s">
        <v>76</v>
      </c>
      <c r="AD500" t="s">
        <v>67</v>
      </c>
      <c r="AE500">
        <v>-37</v>
      </c>
      <c r="AF500">
        <v>0</v>
      </c>
      <c r="AG500">
        <v>1.2</v>
      </c>
      <c r="AH500" s="6">
        <v>59.8</v>
      </c>
      <c r="AI500" s="6">
        <v>0</v>
      </c>
      <c r="AJ500" s="6">
        <v>0.52200000000000002</v>
      </c>
      <c r="AK500" s="6">
        <v>0.96599999999999997</v>
      </c>
      <c r="AL500" s="8">
        <v>3253.63</v>
      </c>
      <c r="AM500" s="6" t="s">
        <v>68</v>
      </c>
      <c r="AN500" s="6">
        <v>1</v>
      </c>
      <c r="AO500" s="6">
        <v>1</v>
      </c>
      <c r="AP500" s="6">
        <v>0</v>
      </c>
      <c r="AQ500" s="6">
        <v>1</v>
      </c>
      <c r="AR500" s="6">
        <v>0</v>
      </c>
      <c r="AS500" s="6">
        <v>1</v>
      </c>
      <c r="AT500" s="6">
        <v>0</v>
      </c>
      <c r="AU500" s="6">
        <v>2.2599999999999998</v>
      </c>
      <c r="AV500" s="6">
        <v>1.79</v>
      </c>
      <c r="AW500" s="6">
        <v>121.82</v>
      </c>
      <c r="AX500" s="6">
        <v>20.350000000000001</v>
      </c>
      <c r="AY500" s="6">
        <v>77.97</v>
      </c>
      <c r="AZ500" s="6">
        <v>27.7</v>
      </c>
      <c r="BA500" s="6">
        <v>12.1</v>
      </c>
    </row>
    <row r="501" spans="1:53" x14ac:dyDescent="0.3">
      <c r="A501" s="6">
        <v>777409303</v>
      </c>
      <c r="B501" s="6">
        <v>197251</v>
      </c>
      <c r="C501" s="6">
        <v>4078418</v>
      </c>
      <c r="D501" s="6">
        <v>2585</v>
      </c>
      <c r="E501" s="6" t="s">
        <v>106</v>
      </c>
      <c r="F501" s="6">
        <v>50227</v>
      </c>
      <c r="G501" s="6" t="s">
        <v>164</v>
      </c>
      <c r="H501" s="10">
        <v>45871</v>
      </c>
      <c r="I501" s="10">
        <v>45871</v>
      </c>
      <c r="J501" s="4">
        <v>45871.541666666664</v>
      </c>
      <c r="K501" s="4">
        <v>45871.955625000002</v>
      </c>
      <c r="L501" s="11">
        <v>45871.959097222221</v>
      </c>
      <c r="M501" s="10">
        <v>45871</v>
      </c>
      <c r="N501" s="6" t="s">
        <v>170</v>
      </c>
      <c r="O501" t="s">
        <v>171</v>
      </c>
      <c r="P501" s="6" t="s">
        <v>134</v>
      </c>
      <c r="Q501" t="s">
        <v>282</v>
      </c>
      <c r="R501" t="s">
        <v>73</v>
      </c>
      <c r="S501" s="6">
        <v>790402</v>
      </c>
      <c r="T501" s="6" t="s">
        <v>111</v>
      </c>
      <c r="U501">
        <v>376</v>
      </c>
      <c r="V501" s="6">
        <v>7.3</v>
      </c>
      <c r="W501" s="6">
        <v>21</v>
      </c>
      <c r="X501" s="6">
        <v>366.6</v>
      </c>
      <c r="Y501" s="6">
        <v>394.9</v>
      </c>
      <c r="Z501" s="6" t="s">
        <v>63</v>
      </c>
      <c r="AA501" t="s">
        <v>610</v>
      </c>
      <c r="AB501" s="6" t="s">
        <v>75</v>
      </c>
      <c r="AC501" t="s">
        <v>76</v>
      </c>
      <c r="AD501" t="s">
        <v>67</v>
      </c>
      <c r="AE501">
        <v>5</v>
      </c>
      <c r="AF501">
        <v>73</v>
      </c>
      <c r="AG501">
        <v>0</v>
      </c>
      <c r="AH501" s="6">
        <v>42.5</v>
      </c>
      <c r="AI501" s="6">
        <v>0</v>
      </c>
      <c r="AJ501" s="6">
        <v>0.80700000000000005</v>
      </c>
      <c r="AK501" s="6">
        <v>0.63600000000000001</v>
      </c>
      <c r="AL501" s="8">
        <v>1833.29</v>
      </c>
      <c r="AM501" s="6" t="s">
        <v>68</v>
      </c>
      <c r="AN501" s="6">
        <v>1</v>
      </c>
      <c r="AO501" s="6">
        <v>1</v>
      </c>
      <c r="AP501" s="6">
        <v>0</v>
      </c>
      <c r="AQ501" s="6">
        <v>1</v>
      </c>
      <c r="AR501" s="6">
        <v>0</v>
      </c>
      <c r="AS501" s="6">
        <v>1</v>
      </c>
      <c r="AT501" s="6">
        <v>0</v>
      </c>
      <c r="AU501" s="6">
        <v>1.79</v>
      </c>
      <c r="AV501" s="6">
        <v>1.1499999999999999</v>
      </c>
      <c r="AW501" s="6">
        <v>295.87</v>
      </c>
      <c r="AX501" s="6">
        <v>49.31</v>
      </c>
      <c r="AY501" s="6">
        <v>283.61</v>
      </c>
      <c r="AZ501" s="6">
        <v>11.9</v>
      </c>
      <c r="BA501" s="6">
        <v>13.6</v>
      </c>
    </row>
    <row r="502" spans="1:53" x14ac:dyDescent="0.3">
      <c r="A502" s="6">
        <v>795038832</v>
      </c>
      <c r="B502" s="6">
        <v>684004</v>
      </c>
      <c r="C502" s="6">
        <v>8670955</v>
      </c>
      <c r="D502" s="6">
        <v>8721</v>
      </c>
      <c r="E502" s="6" t="s">
        <v>101</v>
      </c>
      <c r="F502" s="6">
        <v>52328</v>
      </c>
      <c r="G502" s="6" t="s">
        <v>77</v>
      </c>
      <c r="H502" s="10">
        <v>45903</v>
      </c>
      <c r="I502" s="10">
        <v>45903</v>
      </c>
      <c r="J502" s="4">
        <v>45903.010416666664</v>
      </c>
      <c r="K502" s="4">
        <v>45903.423368055555</v>
      </c>
      <c r="L502" s="11">
        <v>45903.381701388891</v>
      </c>
      <c r="M502" s="10">
        <v>45903</v>
      </c>
      <c r="N502" s="6" t="s">
        <v>59</v>
      </c>
      <c r="O502" t="s">
        <v>61</v>
      </c>
      <c r="P502" s="6" t="s">
        <v>70</v>
      </c>
      <c r="Q502" t="s">
        <v>71</v>
      </c>
      <c r="R502" t="s">
        <v>73</v>
      </c>
      <c r="S502" s="6">
        <v>736170</v>
      </c>
      <c r="T502" s="6" t="s">
        <v>111</v>
      </c>
      <c r="U502">
        <v>437</v>
      </c>
      <c r="V502" s="6">
        <v>13.2</v>
      </c>
      <c r="W502" s="6">
        <v>12.2</v>
      </c>
      <c r="X502" s="6">
        <v>426.3</v>
      </c>
      <c r="Y502" s="6">
        <v>451.7</v>
      </c>
      <c r="Z502" s="6" t="s">
        <v>63</v>
      </c>
      <c r="AA502" t="s">
        <v>553</v>
      </c>
      <c r="AB502" s="6" t="s">
        <v>82</v>
      </c>
      <c r="AC502" t="s">
        <v>125</v>
      </c>
      <c r="AD502" t="s">
        <v>67</v>
      </c>
      <c r="AE502">
        <v>-60</v>
      </c>
      <c r="AF502">
        <v>0</v>
      </c>
      <c r="AG502">
        <v>0</v>
      </c>
      <c r="AH502" s="6">
        <v>38.200000000000003</v>
      </c>
      <c r="AI502" s="6">
        <v>0</v>
      </c>
      <c r="AJ502" s="6">
        <v>0.81100000000000005</v>
      </c>
      <c r="AK502" s="6">
        <v>0.66700000000000004</v>
      </c>
      <c r="AL502" s="8">
        <v>14995.39</v>
      </c>
      <c r="AM502" s="6" t="s">
        <v>114</v>
      </c>
      <c r="AN502" s="6">
        <v>1</v>
      </c>
      <c r="AO502" s="6">
        <v>1</v>
      </c>
      <c r="AP502" s="6">
        <v>0</v>
      </c>
      <c r="AQ502" s="6">
        <v>1</v>
      </c>
      <c r="AR502" s="6">
        <v>0</v>
      </c>
      <c r="AS502" s="6">
        <v>1</v>
      </c>
      <c r="AT502" s="6">
        <v>0</v>
      </c>
      <c r="AU502" s="6">
        <v>1.72</v>
      </c>
      <c r="AV502" s="6">
        <v>1.33</v>
      </c>
      <c r="AW502" s="6">
        <v>307.73</v>
      </c>
      <c r="AX502" s="6">
        <v>58.81</v>
      </c>
      <c r="AY502" s="6">
        <v>288.31</v>
      </c>
      <c r="AZ502" s="6">
        <v>0.1</v>
      </c>
      <c r="BA502" s="6">
        <v>10.7</v>
      </c>
    </row>
    <row r="503" spans="1:53" x14ac:dyDescent="0.3">
      <c r="A503" s="6">
        <v>459327003</v>
      </c>
      <c r="B503" s="6">
        <v>145561</v>
      </c>
      <c r="C503" s="6">
        <v>2564689</v>
      </c>
      <c r="D503" s="6">
        <v>1161</v>
      </c>
      <c r="E503" s="6" t="s">
        <v>101</v>
      </c>
      <c r="F503" s="6">
        <v>52731</v>
      </c>
      <c r="G503" s="6" t="s">
        <v>107</v>
      </c>
      <c r="H503" s="10">
        <v>46019</v>
      </c>
      <c r="I503" s="10">
        <v>46019</v>
      </c>
      <c r="J503" s="4">
        <v>46019.611111111109</v>
      </c>
      <c r="K503" s="4">
        <v>46019.971562500003</v>
      </c>
      <c r="L503" s="11">
        <v>46019.95003472222</v>
      </c>
      <c r="M503" s="10">
        <v>46019</v>
      </c>
      <c r="N503" s="6" t="s">
        <v>70</v>
      </c>
      <c r="O503" t="s">
        <v>138</v>
      </c>
      <c r="P503" s="6" t="s">
        <v>132</v>
      </c>
      <c r="Q503" t="s">
        <v>229</v>
      </c>
      <c r="R503" t="s">
        <v>62</v>
      </c>
      <c r="S503" s="6">
        <v>784181</v>
      </c>
      <c r="T503" s="6" t="s">
        <v>111</v>
      </c>
      <c r="U503">
        <v>403</v>
      </c>
      <c r="V503" s="6">
        <v>28.6</v>
      </c>
      <c r="W503" s="6">
        <v>7.6</v>
      </c>
      <c r="X503" s="6">
        <v>405.3</v>
      </c>
      <c r="Y503" s="6">
        <v>441.5</v>
      </c>
      <c r="Z503" s="6" t="s">
        <v>63</v>
      </c>
      <c r="AA503" t="s">
        <v>611</v>
      </c>
      <c r="AB503" s="6" t="s">
        <v>90</v>
      </c>
      <c r="AC503" t="s">
        <v>91</v>
      </c>
      <c r="AD503" t="s">
        <v>67</v>
      </c>
      <c r="AE503">
        <v>-31</v>
      </c>
      <c r="AF503">
        <v>0</v>
      </c>
      <c r="AG503">
        <v>0</v>
      </c>
      <c r="AH503" s="6">
        <v>50.7</v>
      </c>
      <c r="AI503" s="6">
        <v>0</v>
      </c>
      <c r="AJ503" s="6">
        <v>0.80400000000000005</v>
      </c>
      <c r="AK503" s="6">
        <v>0.93700000000000006</v>
      </c>
      <c r="AL503" s="8">
        <v>21169.16</v>
      </c>
      <c r="AM503" s="6" t="s">
        <v>114</v>
      </c>
      <c r="AN503" s="6">
        <v>1</v>
      </c>
      <c r="AO503" s="6">
        <v>1</v>
      </c>
      <c r="AP503" s="6">
        <v>0</v>
      </c>
      <c r="AQ503" s="6">
        <v>1</v>
      </c>
      <c r="AR503" s="6">
        <v>0</v>
      </c>
      <c r="AS503" s="6">
        <v>1</v>
      </c>
      <c r="AT503" s="6">
        <v>0</v>
      </c>
      <c r="AU503" s="6">
        <v>2.2599999999999998</v>
      </c>
      <c r="AV503" s="6">
        <v>1.31</v>
      </c>
      <c r="AW503" s="6">
        <v>360.15</v>
      </c>
      <c r="AX503" s="6">
        <v>96.46</v>
      </c>
      <c r="AY503" s="6">
        <v>253.88</v>
      </c>
      <c r="AZ503" s="6">
        <v>5.6</v>
      </c>
      <c r="BA503" s="6">
        <v>0</v>
      </c>
    </row>
    <row r="504" spans="1:53" x14ac:dyDescent="0.3">
      <c r="A504" s="6">
        <v>170772317</v>
      </c>
      <c r="B504" s="6">
        <v>903035</v>
      </c>
      <c r="C504" s="6">
        <v>7110622</v>
      </c>
      <c r="D504" s="6">
        <v>3200</v>
      </c>
      <c r="E504" s="6" t="s">
        <v>92</v>
      </c>
      <c r="F504" s="6">
        <v>59019</v>
      </c>
      <c r="G504" s="6" t="s">
        <v>175</v>
      </c>
      <c r="H504" s="10">
        <v>45691</v>
      </c>
      <c r="I504" s="10">
        <v>45691</v>
      </c>
      <c r="J504" s="4">
        <v>45691.65625</v>
      </c>
      <c r="K504" s="4">
        <v>45692.068460648145</v>
      </c>
      <c r="L504" s="11">
        <v>45692.053182870368</v>
      </c>
      <c r="M504" s="10">
        <v>45692</v>
      </c>
      <c r="N504" s="6" t="s">
        <v>109</v>
      </c>
      <c r="O504" t="s">
        <v>110</v>
      </c>
      <c r="P504" s="6" t="s">
        <v>109</v>
      </c>
      <c r="Q504" t="s">
        <v>118</v>
      </c>
      <c r="R504" t="s">
        <v>88</v>
      </c>
      <c r="S504" s="6">
        <v>705397</v>
      </c>
      <c r="T504" s="6" t="s">
        <v>111</v>
      </c>
      <c r="U504">
        <v>485</v>
      </c>
      <c r="V504" s="6">
        <v>30.2</v>
      </c>
      <c r="W504" s="6">
        <v>51.6</v>
      </c>
      <c r="X504" s="6">
        <v>482.9</v>
      </c>
      <c r="Y504" s="6">
        <v>564.70000000000005</v>
      </c>
      <c r="Z504" s="6" t="s">
        <v>2</v>
      </c>
      <c r="AA504" t="s">
        <v>612</v>
      </c>
      <c r="AB504" s="6" t="s">
        <v>90</v>
      </c>
      <c r="AC504" t="s">
        <v>83</v>
      </c>
      <c r="AD504" t="s">
        <v>67</v>
      </c>
      <c r="AE504">
        <v>-22</v>
      </c>
      <c r="AF504">
        <v>0</v>
      </c>
      <c r="AG504">
        <v>0</v>
      </c>
      <c r="AH504" s="6">
        <v>46.5</v>
      </c>
      <c r="AI504" s="6">
        <v>0</v>
      </c>
      <c r="AJ504" s="6">
        <v>0.69899999999999995</v>
      </c>
      <c r="AK504" s="6">
        <v>0.35499999999999998</v>
      </c>
      <c r="AL504" s="8">
        <v>3664.81</v>
      </c>
      <c r="AM504" s="6" t="s">
        <v>68</v>
      </c>
      <c r="AN504" s="6">
        <v>1</v>
      </c>
      <c r="AO504" s="6">
        <v>1</v>
      </c>
      <c r="AP504" s="6">
        <v>0</v>
      </c>
      <c r="AQ504" s="6">
        <v>1</v>
      </c>
      <c r="AR504" s="6">
        <v>0</v>
      </c>
      <c r="AS504" s="6">
        <v>1</v>
      </c>
      <c r="AT504" s="6">
        <v>0</v>
      </c>
      <c r="AU504" s="6">
        <v>2.09</v>
      </c>
      <c r="AV504" s="6">
        <v>1.42</v>
      </c>
      <c r="AW504" s="6">
        <v>516.12</v>
      </c>
      <c r="AX504" s="6">
        <v>98.17</v>
      </c>
      <c r="AY504" s="6">
        <v>336.32</v>
      </c>
      <c r="AZ504" s="6">
        <v>26.8</v>
      </c>
      <c r="BA504" s="6">
        <v>13</v>
      </c>
    </row>
    <row r="505" spans="1:53" x14ac:dyDescent="0.3">
      <c r="A505" s="6">
        <v>454002758</v>
      </c>
      <c r="B505" s="6">
        <v>910620</v>
      </c>
      <c r="C505" s="6">
        <v>5977931</v>
      </c>
      <c r="D505" s="6">
        <v>1064</v>
      </c>
      <c r="E505" s="6" t="s">
        <v>101</v>
      </c>
      <c r="F505" s="6">
        <v>50430</v>
      </c>
      <c r="G505" s="6" t="s">
        <v>127</v>
      </c>
      <c r="H505" s="10">
        <v>45901</v>
      </c>
      <c r="I505" s="10">
        <v>45901</v>
      </c>
      <c r="J505" s="4">
        <v>45901.503472222219</v>
      </c>
      <c r="K505" s="4">
        <v>45901.603055555555</v>
      </c>
      <c r="L505" s="11">
        <v>45901.576666666668</v>
      </c>
      <c r="M505" s="10">
        <v>45901</v>
      </c>
      <c r="N505" s="6" t="s">
        <v>86</v>
      </c>
      <c r="O505" t="s">
        <v>268</v>
      </c>
      <c r="P505" s="6" t="s">
        <v>134</v>
      </c>
      <c r="Q505" t="s">
        <v>282</v>
      </c>
      <c r="R505" t="s">
        <v>73</v>
      </c>
      <c r="S505" s="6">
        <v>757732</v>
      </c>
      <c r="T505" s="6" t="s">
        <v>3</v>
      </c>
      <c r="U505">
        <v>98</v>
      </c>
      <c r="V505" s="6">
        <v>44.4</v>
      </c>
      <c r="W505" s="6">
        <v>16.100000000000001</v>
      </c>
      <c r="X505" s="6">
        <v>83.1</v>
      </c>
      <c r="Y505" s="6">
        <v>143.6</v>
      </c>
      <c r="Z505" s="6" t="s">
        <v>63</v>
      </c>
      <c r="AA505" t="s">
        <v>613</v>
      </c>
      <c r="AB505" s="6" t="s">
        <v>75</v>
      </c>
      <c r="AC505" t="s">
        <v>83</v>
      </c>
      <c r="AD505" t="s">
        <v>67</v>
      </c>
      <c r="AE505">
        <v>-38</v>
      </c>
      <c r="AF505">
        <v>81</v>
      </c>
      <c r="AG505">
        <v>0</v>
      </c>
      <c r="AH505" s="6">
        <v>30</v>
      </c>
      <c r="AI505" s="6">
        <v>0</v>
      </c>
      <c r="AJ505" s="6">
        <v>0.94099999999999995</v>
      </c>
      <c r="AK505" s="6">
        <v>0.60299999999999998</v>
      </c>
      <c r="AL505" s="8">
        <v>10096.200000000001</v>
      </c>
      <c r="AM505" s="6" t="s">
        <v>114</v>
      </c>
      <c r="AN505" s="6">
        <v>1</v>
      </c>
      <c r="AO505" s="6">
        <v>1</v>
      </c>
      <c r="AP505" s="6">
        <v>0</v>
      </c>
      <c r="AQ505" s="6">
        <v>1</v>
      </c>
      <c r="AR505" s="6">
        <v>0</v>
      </c>
      <c r="AS505" s="6">
        <v>1</v>
      </c>
      <c r="AT505" s="6">
        <v>0</v>
      </c>
      <c r="AU505" s="6">
        <v>2.21</v>
      </c>
      <c r="AV505" s="6">
        <v>1.48</v>
      </c>
      <c r="AW505" s="6">
        <v>110.5</v>
      </c>
      <c r="AX505" s="6">
        <v>21.95</v>
      </c>
      <c r="AY505" s="6">
        <v>73.34</v>
      </c>
      <c r="AZ505" s="6">
        <v>7</v>
      </c>
      <c r="BA505" s="6">
        <v>64.3</v>
      </c>
    </row>
    <row r="506" spans="1:53" x14ac:dyDescent="0.3">
      <c r="A506" s="6">
        <v>201474984</v>
      </c>
      <c r="B506" s="6">
        <v>736059</v>
      </c>
      <c r="C506" s="6">
        <v>7851696</v>
      </c>
      <c r="D506" s="6">
        <v>5493</v>
      </c>
      <c r="E506" s="6" t="s">
        <v>211</v>
      </c>
      <c r="F506" s="6">
        <v>59255</v>
      </c>
      <c r="G506" s="6" t="s">
        <v>69</v>
      </c>
      <c r="H506" s="10">
        <v>45761</v>
      </c>
      <c r="I506" s="10">
        <v>45761</v>
      </c>
      <c r="J506" s="4">
        <v>45761.538194444445</v>
      </c>
      <c r="K506" s="4">
        <v>45762.0390625</v>
      </c>
      <c r="L506" s="11">
        <v>45762.018229166664</v>
      </c>
      <c r="M506" s="10">
        <v>45762</v>
      </c>
      <c r="N506" s="6" t="s">
        <v>200</v>
      </c>
      <c r="O506" t="s">
        <v>161</v>
      </c>
      <c r="P506" s="6" t="s">
        <v>176</v>
      </c>
      <c r="Q506" t="s">
        <v>292</v>
      </c>
      <c r="R506" t="s">
        <v>88</v>
      </c>
      <c r="S506" s="6">
        <v>749362</v>
      </c>
      <c r="T506" s="6" t="s">
        <v>140</v>
      </c>
      <c r="U506">
        <v>577</v>
      </c>
      <c r="V506" s="6">
        <v>21.7</v>
      </c>
      <c r="W506" s="6">
        <v>4.2</v>
      </c>
      <c r="X506" s="6">
        <v>576.20000000000005</v>
      </c>
      <c r="Y506" s="6">
        <v>602.1</v>
      </c>
      <c r="Z506" s="6" t="s">
        <v>2</v>
      </c>
      <c r="AA506" t="s">
        <v>614</v>
      </c>
      <c r="AB506" s="6" t="s">
        <v>75</v>
      </c>
      <c r="AC506" t="s">
        <v>83</v>
      </c>
      <c r="AD506" t="s">
        <v>67</v>
      </c>
      <c r="AE506">
        <v>-30</v>
      </c>
      <c r="AF506">
        <v>0</v>
      </c>
      <c r="AG506">
        <v>0</v>
      </c>
      <c r="AH506" s="6">
        <v>47.4</v>
      </c>
      <c r="AI506" s="6">
        <v>0</v>
      </c>
      <c r="AJ506" s="6">
        <v>0.69599999999999995</v>
      </c>
      <c r="AK506" s="6">
        <v>0.376</v>
      </c>
      <c r="AL506" s="8">
        <v>22746.06</v>
      </c>
      <c r="AM506" s="6" t="s">
        <v>114</v>
      </c>
      <c r="AN506" s="6">
        <v>1</v>
      </c>
      <c r="AO506" s="6">
        <v>1</v>
      </c>
      <c r="AP506" s="6">
        <v>0</v>
      </c>
      <c r="AQ506" s="6">
        <v>1</v>
      </c>
      <c r="AR506" s="6">
        <v>0</v>
      </c>
      <c r="AS506" s="6">
        <v>1</v>
      </c>
      <c r="AT506" s="6">
        <v>0</v>
      </c>
      <c r="AU506" s="6">
        <v>2.27</v>
      </c>
      <c r="AV506" s="6">
        <v>1.77</v>
      </c>
      <c r="AW506" s="6">
        <v>482.83</v>
      </c>
      <c r="AX506" s="6">
        <v>76.900000000000006</v>
      </c>
      <c r="AY506" s="6">
        <v>362.02</v>
      </c>
      <c r="AZ506" s="6">
        <v>11.5</v>
      </c>
      <c r="BA506" s="6">
        <v>18.899999999999999</v>
      </c>
    </row>
    <row r="507" spans="1:53" x14ac:dyDescent="0.3">
      <c r="A507" s="6">
        <v>699108439</v>
      </c>
      <c r="B507" s="6">
        <v>852787</v>
      </c>
      <c r="C507" s="6">
        <v>6075395</v>
      </c>
      <c r="D507" s="6">
        <v>7668</v>
      </c>
      <c r="E507" s="6" t="s">
        <v>211</v>
      </c>
      <c r="F507" s="6">
        <v>51709</v>
      </c>
      <c r="G507" s="6" t="s">
        <v>164</v>
      </c>
      <c r="H507" s="10">
        <v>45891</v>
      </c>
      <c r="I507" s="10">
        <v>45891</v>
      </c>
      <c r="J507" s="4">
        <v>45891.420138888891</v>
      </c>
      <c r="K507" s="4">
        <v>45891.688113425924</v>
      </c>
      <c r="L507" s="11">
        <v>45891.697141203702</v>
      </c>
      <c r="M507" s="10">
        <v>45891</v>
      </c>
      <c r="N507" s="6" t="s">
        <v>103</v>
      </c>
      <c r="O507" t="s">
        <v>285</v>
      </c>
      <c r="P507" s="6" t="s">
        <v>103</v>
      </c>
      <c r="Q507" t="s">
        <v>285</v>
      </c>
      <c r="R507" t="s">
        <v>73</v>
      </c>
      <c r="S507" s="6">
        <v>783084</v>
      </c>
      <c r="T507" s="6" t="s">
        <v>111</v>
      </c>
      <c r="U507">
        <v>321</v>
      </c>
      <c r="V507" s="6">
        <v>-33.200000000000003</v>
      </c>
      <c r="W507" s="6">
        <v>5.6</v>
      </c>
      <c r="X507" s="6">
        <v>321.5</v>
      </c>
      <c r="Y507" s="6">
        <v>327.10000000000002</v>
      </c>
      <c r="Z507" s="6" t="s">
        <v>112</v>
      </c>
      <c r="AA507" t="s">
        <v>615</v>
      </c>
      <c r="AB507" s="6" t="s">
        <v>75</v>
      </c>
      <c r="AC507" t="s">
        <v>154</v>
      </c>
      <c r="AD507" t="s">
        <v>67</v>
      </c>
      <c r="AE507">
        <v>13</v>
      </c>
      <c r="AF507">
        <v>0</v>
      </c>
      <c r="AG507">
        <v>0</v>
      </c>
      <c r="AH507" s="6">
        <v>60.4</v>
      </c>
      <c r="AI507" s="6">
        <v>0</v>
      </c>
      <c r="AJ507" s="6">
        <v>0.66600000000000004</v>
      </c>
      <c r="AK507" s="6">
        <v>0.51200000000000001</v>
      </c>
      <c r="AL507" s="8">
        <v>5441.37</v>
      </c>
      <c r="AM507" s="6" t="s">
        <v>68</v>
      </c>
      <c r="AN507" s="6">
        <v>1</v>
      </c>
      <c r="AO507" s="6">
        <v>1</v>
      </c>
      <c r="AP507" s="6">
        <v>0</v>
      </c>
      <c r="AQ507" s="6">
        <v>1</v>
      </c>
      <c r="AR507" s="6">
        <v>0</v>
      </c>
      <c r="AS507" s="6">
        <v>1</v>
      </c>
      <c r="AT507" s="6">
        <v>0</v>
      </c>
      <c r="AU507" s="6">
        <v>2.33</v>
      </c>
      <c r="AV507" s="6">
        <v>1.59</v>
      </c>
      <c r="AW507" s="6">
        <v>218.78</v>
      </c>
      <c r="AX507" s="6">
        <v>63.05</v>
      </c>
      <c r="AY507" s="6">
        <v>170.6</v>
      </c>
      <c r="AZ507" s="6">
        <v>15.7</v>
      </c>
      <c r="BA507" s="6">
        <v>68.2</v>
      </c>
    </row>
    <row r="508" spans="1:53" x14ac:dyDescent="0.3">
      <c r="A508" s="6">
        <v>828404274</v>
      </c>
      <c r="B508" s="6">
        <v>245051</v>
      </c>
      <c r="C508" s="6">
        <v>1739653</v>
      </c>
      <c r="D508" s="6">
        <v>4763</v>
      </c>
      <c r="E508" s="6" t="s">
        <v>185</v>
      </c>
      <c r="F508" s="6">
        <v>55782</v>
      </c>
      <c r="G508" s="6" t="s">
        <v>115</v>
      </c>
      <c r="H508" s="10">
        <v>45879</v>
      </c>
      <c r="I508" s="10">
        <v>45879</v>
      </c>
      <c r="J508" s="4">
        <v>45879.46875</v>
      </c>
      <c r="K508" s="4">
        <v>45880.148900462962</v>
      </c>
      <c r="L508" s="11">
        <v>45880.155150462961</v>
      </c>
      <c r="M508" s="10">
        <v>45880</v>
      </c>
      <c r="N508" s="6" t="s">
        <v>170</v>
      </c>
      <c r="O508" t="s">
        <v>269</v>
      </c>
      <c r="P508" s="6" t="s">
        <v>121</v>
      </c>
      <c r="Q508" t="s">
        <v>122</v>
      </c>
      <c r="R508" t="s">
        <v>123</v>
      </c>
      <c r="S508" s="6">
        <v>739953</v>
      </c>
      <c r="T508" s="6" t="s">
        <v>140</v>
      </c>
      <c r="U508">
        <v>839</v>
      </c>
      <c r="V508" s="6">
        <v>22.6</v>
      </c>
      <c r="W508" s="6">
        <v>35.299999999999997</v>
      </c>
      <c r="X508" s="6">
        <v>838</v>
      </c>
      <c r="Y508" s="6">
        <v>895.9</v>
      </c>
      <c r="Z508" s="6" t="s">
        <v>63</v>
      </c>
      <c r="AA508" t="s">
        <v>616</v>
      </c>
      <c r="AB508" s="6" t="s">
        <v>75</v>
      </c>
      <c r="AC508" t="s">
        <v>91</v>
      </c>
      <c r="AD508" t="s">
        <v>67</v>
      </c>
      <c r="AE508">
        <v>9</v>
      </c>
      <c r="AF508">
        <v>0</v>
      </c>
      <c r="AG508">
        <v>0</v>
      </c>
      <c r="AH508" s="6">
        <v>53</v>
      </c>
      <c r="AI508" s="6">
        <v>0</v>
      </c>
      <c r="AJ508" s="6">
        <v>0.44700000000000001</v>
      </c>
      <c r="AK508" s="6">
        <v>0.76900000000000002</v>
      </c>
      <c r="AL508" s="8">
        <v>3657.66</v>
      </c>
      <c r="AM508" s="6" t="s">
        <v>68</v>
      </c>
      <c r="AN508" s="6">
        <v>1</v>
      </c>
      <c r="AO508" s="6">
        <v>1</v>
      </c>
      <c r="AP508" s="6">
        <v>0</v>
      </c>
      <c r="AQ508" s="6">
        <v>1</v>
      </c>
      <c r="AR508" s="6">
        <v>0</v>
      </c>
      <c r="AS508" s="6">
        <v>1</v>
      </c>
      <c r="AT508" s="6">
        <v>0</v>
      </c>
      <c r="AU508" s="6">
        <v>2.42</v>
      </c>
      <c r="AV508" s="6">
        <v>1.63</v>
      </c>
      <c r="AW508" s="6">
        <v>598.72</v>
      </c>
      <c r="AX508" s="6">
        <v>131.24</v>
      </c>
      <c r="AY508" s="6">
        <v>508.67</v>
      </c>
      <c r="AZ508" s="6">
        <v>12.9</v>
      </c>
      <c r="BA508" s="6">
        <v>83.6</v>
      </c>
    </row>
    <row r="509" spans="1:53" x14ac:dyDescent="0.3">
      <c r="A509" s="6">
        <v>515070154</v>
      </c>
      <c r="B509" s="6">
        <v>787277</v>
      </c>
      <c r="C509" s="6">
        <v>6022741</v>
      </c>
      <c r="D509" s="6">
        <v>3693</v>
      </c>
      <c r="E509" s="6" t="s">
        <v>106</v>
      </c>
      <c r="F509" s="6">
        <v>51234</v>
      </c>
      <c r="G509" s="6" t="s">
        <v>115</v>
      </c>
      <c r="H509" s="10">
        <v>45714</v>
      </c>
      <c r="I509" s="10">
        <v>45714</v>
      </c>
      <c r="J509" s="4">
        <v>45714.40625</v>
      </c>
      <c r="K509" s="4">
        <v>45714.46875</v>
      </c>
      <c r="L509" s="11">
        <v>45714.809027777781</v>
      </c>
      <c r="M509" s="10">
        <v>45714</v>
      </c>
      <c r="N509" s="6" t="s">
        <v>132</v>
      </c>
      <c r="O509" t="s">
        <v>328</v>
      </c>
      <c r="P509" s="6" t="s">
        <v>129</v>
      </c>
      <c r="Q509" t="s">
        <v>162</v>
      </c>
      <c r="R509" t="s">
        <v>123</v>
      </c>
      <c r="S509" s="6">
        <v>763944</v>
      </c>
      <c r="T509" s="6" t="s">
        <v>3</v>
      </c>
      <c r="U509">
        <v>47</v>
      </c>
      <c r="V509" s="6">
        <v>22.7</v>
      </c>
      <c r="W509" s="6">
        <v>2.2999999999999998</v>
      </c>
      <c r="X509" s="6">
        <v>48.8</v>
      </c>
      <c r="Y509" s="6">
        <v>73.8</v>
      </c>
      <c r="Z509" s="6" t="s">
        <v>63</v>
      </c>
      <c r="AA509" t="s">
        <v>617</v>
      </c>
      <c r="AB509" s="6" t="s">
        <v>97</v>
      </c>
      <c r="AC509" t="s">
        <v>125</v>
      </c>
      <c r="AD509" t="s">
        <v>120</v>
      </c>
      <c r="AE509">
        <v>490</v>
      </c>
      <c r="AF509">
        <v>0</v>
      </c>
      <c r="AG509">
        <v>0</v>
      </c>
      <c r="AH509" s="6">
        <v>88.6</v>
      </c>
      <c r="AI509" s="6">
        <v>1</v>
      </c>
      <c r="AJ509" s="6">
        <v>0.47199999999999998</v>
      </c>
      <c r="AK509" s="6">
        <v>0.56499999999999995</v>
      </c>
      <c r="AL509" s="8">
        <v>4412.6499999999996</v>
      </c>
      <c r="AM509" s="6" t="s">
        <v>68</v>
      </c>
      <c r="AN509" s="6">
        <v>1</v>
      </c>
      <c r="AO509" s="6">
        <v>0</v>
      </c>
      <c r="AP509" s="6">
        <v>1</v>
      </c>
      <c r="AQ509" s="6">
        <v>0</v>
      </c>
      <c r="AR509" s="6">
        <v>1</v>
      </c>
      <c r="AS509" s="6">
        <v>0</v>
      </c>
      <c r="AT509" s="6">
        <v>1</v>
      </c>
      <c r="AU509" s="6">
        <v>2.4500000000000002</v>
      </c>
      <c r="AV509" s="6">
        <v>1.77</v>
      </c>
      <c r="AW509" s="6">
        <v>55.9</v>
      </c>
      <c r="AX509" s="6">
        <v>485.04</v>
      </c>
      <c r="AY509" s="6">
        <v>44.13</v>
      </c>
      <c r="AZ509" s="6">
        <v>3.4</v>
      </c>
      <c r="BA509" s="6">
        <v>33.799999999999997</v>
      </c>
    </row>
    <row r="510" spans="1:53" x14ac:dyDescent="0.3">
      <c r="A510" s="6">
        <v>405100495</v>
      </c>
      <c r="B510" s="6">
        <v>835392</v>
      </c>
      <c r="C510" s="6">
        <v>4194548</v>
      </c>
      <c r="D510" s="6">
        <v>4005</v>
      </c>
      <c r="E510" s="6" t="s">
        <v>211</v>
      </c>
      <c r="F510" s="6">
        <v>58493</v>
      </c>
      <c r="G510" s="6" t="s">
        <v>127</v>
      </c>
      <c r="H510" s="10">
        <v>45733</v>
      </c>
      <c r="I510" s="10">
        <v>45733</v>
      </c>
      <c r="J510" s="4">
        <v>45733.9375</v>
      </c>
      <c r="K510" s="4">
        <v>45734.337465277778</v>
      </c>
      <c r="L510" s="11">
        <v>45734.340937499997</v>
      </c>
      <c r="M510" s="10">
        <v>45734</v>
      </c>
      <c r="N510" s="6" t="s">
        <v>134</v>
      </c>
      <c r="O510" t="s">
        <v>278</v>
      </c>
      <c r="P510" s="6" t="s">
        <v>176</v>
      </c>
      <c r="Q510" t="s">
        <v>292</v>
      </c>
      <c r="R510" t="s">
        <v>88</v>
      </c>
      <c r="S510" s="6">
        <v>773553</v>
      </c>
      <c r="T510" s="6" t="s">
        <v>140</v>
      </c>
      <c r="U510">
        <v>490</v>
      </c>
      <c r="V510" s="6">
        <v>13.7</v>
      </c>
      <c r="W510" s="6">
        <v>28.2</v>
      </c>
      <c r="X510" s="6">
        <v>487.2</v>
      </c>
      <c r="Y510" s="6">
        <v>529.1</v>
      </c>
      <c r="Z510" s="6" t="s">
        <v>63</v>
      </c>
      <c r="AA510" t="s">
        <v>618</v>
      </c>
      <c r="AB510" s="6" t="s">
        <v>65</v>
      </c>
      <c r="AC510" t="s">
        <v>83</v>
      </c>
      <c r="AD510" t="s">
        <v>67</v>
      </c>
      <c r="AE510">
        <v>5</v>
      </c>
      <c r="AF510">
        <v>0</v>
      </c>
      <c r="AG510">
        <v>0</v>
      </c>
      <c r="AH510" s="6">
        <v>25.5</v>
      </c>
      <c r="AI510" s="6">
        <v>0</v>
      </c>
      <c r="AJ510" s="6">
        <v>0.46899999999999997</v>
      </c>
      <c r="AK510" s="6">
        <v>0.83199999999999996</v>
      </c>
      <c r="AL510" s="8">
        <v>65420.11</v>
      </c>
      <c r="AM510" s="6" t="s">
        <v>155</v>
      </c>
      <c r="AN510" s="6">
        <v>1</v>
      </c>
      <c r="AO510" s="6">
        <v>1</v>
      </c>
      <c r="AP510" s="6">
        <v>0</v>
      </c>
      <c r="AQ510" s="6">
        <v>1</v>
      </c>
      <c r="AR510" s="6">
        <v>0</v>
      </c>
      <c r="AS510" s="6">
        <v>1</v>
      </c>
      <c r="AT510" s="6">
        <v>0</v>
      </c>
      <c r="AU510" s="6">
        <v>2.23</v>
      </c>
      <c r="AV510" s="6">
        <v>1.48</v>
      </c>
      <c r="AW510" s="6">
        <v>462.13</v>
      </c>
      <c r="AX510" s="6">
        <v>67.02</v>
      </c>
      <c r="AY510" s="6">
        <v>374.32</v>
      </c>
      <c r="AZ510" s="6">
        <v>31.7</v>
      </c>
      <c r="BA510" s="6">
        <v>46.4</v>
      </c>
    </row>
    <row r="511" spans="1:53" x14ac:dyDescent="0.3">
      <c r="A511" s="6">
        <v>370578414</v>
      </c>
      <c r="B511" s="6">
        <v>974628</v>
      </c>
      <c r="C511" s="6">
        <v>3641282</v>
      </c>
      <c r="D511" s="6">
        <v>6892</v>
      </c>
      <c r="E511" s="6" t="s">
        <v>57</v>
      </c>
      <c r="F511" s="6">
        <v>55205</v>
      </c>
      <c r="G511" s="6" t="s">
        <v>102</v>
      </c>
      <c r="H511" s="10">
        <v>45884</v>
      </c>
      <c r="I511" s="10">
        <v>45884</v>
      </c>
      <c r="J511" s="4">
        <v>45884.489583333336</v>
      </c>
      <c r="K511" s="4">
        <v>45884.91443287037</v>
      </c>
      <c r="L511" s="11">
        <v>45884.892210648148</v>
      </c>
      <c r="M511" s="10">
        <v>45884</v>
      </c>
      <c r="N511" s="6" t="s">
        <v>103</v>
      </c>
      <c r="O511" t="s">
        <v>285</v>
      </c>
      <c r="P511" s="6" t="s">
        <v>129</v>
      </c>
      <c r="Q511" t="s">
        <v>162</v>
      </c>
      <c r="R511" t="s">
        <v>123</v>
      </c>
      <c r="S511" s="6">
        <v>770517</v>
      </c>
      <c r="T511" s="6" t="s">
        <v>111</v>
      </c>
      <c r="U511">
        <v>494</v>
      </c>
      <c r="V511" s="6">
        <v>24.9</v>
      </c>
      <c r="W511" s="6">
        <v>5.3</v>
      </c>
      <c r="X511" s="6">
        <v>493.2</v>
      </c>
      <c r="Y511" s="6">
        <v>523.4</v>
      </c>
      <c r="Z511" s="6" t="s">
        <v>63</v>
      </c>
      <c r="AA511" t="s">
        <v>619</v>
      </c>
      <c r="AB511" s="6" t="s">
        <v>75</v>
      </c>
      <c r="AC511" t="s">
        <v>154</v>
      </c>
      <c r="AD511" t="s">
        <v>67</v>
      </c>
      <c r="AE511">
        <v>-32</v>
      </c>
      <c r="AF511">
        <v>27</v>
      </c>
      <c r="AG511">
        <v>0</v>
      </c>
      <c r="AH511" s="6">
        <v>45.2</v>
      </c>
      <c r="AI511" s="6">
        <v>0</v>
      </c>
      <c r="AJ511" s="6">
        <v>0.77900000000000003</v>
      </c>
      <c r="AK511" s="6">
        <v>0.95799999999999996</v>
      </c>
      <c r="AL511" s="8">
        <v>2901.28</v>
      </c>
      <c r="AM511" s="6" t="s">
        <v>68</v>
      </c>
      <c r="AN511" s="6">
        <v>1</v>
      </c>
      <c r="AO511" s="6">
        <v>1</v>
      </c>
      <c r="AP511" s="6">
        <v>0</v>
      </c>
      <c r="AQ511" s="6">
        <v>1</v>
      </c>
      <c r="AR511" s="6">
        <v>0</v>
      </c>
      <c r="AS511" s="6">
        <v>1</v>
      </c>
      <c r="AT511" s="6">
        <v>0</v>
      </c>
      <c r="AU511" s="6">
        <v>2.31</v>
      </c>
      <c r="AV511" s="6">
        <v>1.61</v>
      </c>
      <c r="AW511" s="6">
        <v>467.26</v>
      </c>
      <c r="AX511" s="6">
        <v>64</v>
      </c>
      <c r="AY511" s="6">
        <v>329.7</v>
      </c>
      <c r="AZ511" s="6">
        <v>1.4</v>
      </c>
      <c r="BA511" s="6">
        <v>11.1</v>
      </c>
    </row>
    <row r="512" spans="1:53" x14ac:dyDescent="0.3">
      <c r="A512" s="6">
        <v>877103091</v>
      </c>
      <c r="B512" s="6">
        <v>343962</v>
      </c>
      <c r="C512" s="6">
        <v>5672073</v>
      </c>
      <c r="D512" s="6">
        <v>7396</v>
      </c>
      <c r="E512" s="6" t="s">
        <v>92</v>
      </c>
      <c r="F512" s="6">
        <v>51420</v>
      </c>
      <c r="G512" s="6" t="s">
        <v>115</v>
      </c>
      <c r="H512" s="10">
        <v>45704</v>
      </c>
      <c r="I512" s="10">
        <v>45704</v>
      </c>
      <c r="J512" s="4">
        <v>45704.402777777781</v>
      </c>
      <c r="K512" s="4">
        <v>45704.675428240742</v>
      </c>
      <c r="L512" s="11">
        <v>45704.644178240742</v>
      </c>
      <c r="M512" s="10">
        <v>45704</v>
      </c>
      <c r="N512" s="6" t="s">
        <v>132</v>
      </c>
      <c r="O512" t="s">
        <v>229</v>
      </c>
      <c r="P512" s="6" t="s">
        <v>86</v>
      </c>
      <c r="Q512" t="s">
        <v>87</v>
      </c>
      <c r="R512" t="s">
        <v>88</v>
      </c>
      <c r="S512" s="6">
        <v>776415</v>
      </c>
      <c r="T512" s="6" t="s">
        <v>111</v>
      </c>
      <c r="U512">
        <v>342</v>
      </c>
      <c r="V512" s="6">
        <v>19.399999999999999</v>
      </c>
      <c r="W512" s="6">
        <v>5.8</v>
      </c>
      <c r="X512" s="6">
        <v>349.8</v>
      </c>
      <c r="Y512" s="6">
        <v>375</v>
      </c>
      <c r="Z512" s="6" t="s">
        <v>80</v>
      </c>
      <c r="AA512" t="s">
        <v>620</v>
      </c>
      <c r="AB512" s="6" t="s">
        <v>97</v>
      </c>
      <c r="AC512" t="s">
        <v>91</v>
      </c>
      <c r="AD512" t="s">
        <v>67</v>
      </c>
      <c r="AE512">
        <v>-45</v>
      </c>
      <c r="AF512">
        <v>72</v>
      </c>
      <c r="AG512">
        <v>0</v>
      </c>
      <c r="AH512" s="6">
        <v>37.700000000000003</v>
      </c>
      <c r="AI512" s="6">
        <v>0</v>
      </c>
      <c r="AJ512" s="6">
        <v>0.82399999999999995</v>
      </c>
      <c r="AK512" s="6">
        <v>0.48099999999999998</v>
      </c>
      <c r="AL512" s="8">
        <v>3104.58</v>
      </c>
      <c r="AM512" s="6" t="s">
        <v>68</v>
      </c>
      <c r="AN512" s="6">
        <v>1</v>
      </c>
      <c r="AO512" s="6">
        <v>1</v>
      </c>
      <c r="AP512" s="6">
        <v>0</v>
      </c>
      <c r="AQ512" s="6">
        <v>1</v>
      </c>
      <c r="AR512" s="6">
        <v>0</v>
      </c>
      <c r="AS512" s="6">
        <v>1</v>
      </c>
      <c r="AT512" s="6">
        <v>0</v>
      </c>
      <c r="AU512" s="6">
        <v>2.36</v>
      </c>
      <c r="AV512" s="6">
        <v>1.86</v>
      </c>
      <c r="AW512" s="6">
        <v>304.7</v>
      </c>
      <c r="AX512" s="6">
        <v>49.8</v>
      </c>
      <c r="AY512" s="6">
        <v>213.47</v>
      </c>
      <c r="AZ512" s="6">
        <v>13.7</v>
      </c>
      <c r="BA512" s="6">
        <v>41.4</v>
      </c>
    </row>
    <row r="513" spans="1:53" x14ac:dyDescent="0.3">
      <c r="A513" s="6">
        <v>804980312</v>
      </c>
      <c r="B513" s="6">
        <v>479580</v>
      </c>
      <c r="C513" s="6">
        <v>8106422</v>
      </c>
      <c r="D513" s="6">
        <v>2495</v>
      </c>
      <c r="E513" s="6" t="s">
        <v>126</v>
      </c>
      <c r="F513" s="6">
        <v>50768</v>
      </c>
      <c r="G513" s="6" t="s">
        <v>127</v>
      </c>
      <c r="H513" s="10">
        <v>45754</v>
      </c>
      <c r="I513" s="10">
        <v>45754</v>
      </c>
      <c r="J513" s="4">
        <v>45754.454861111109</v>
      </c>
      <c r="K513" s="4">
        <v>45754.543020833335</v>
      </c>
      <c r="L513" s="11">
        <v>45754.518020833333</v>
      </c>
      <c r="M513" s="10">
        <v>45754</v>
      </c>
      <c r="N513" s="6" t="s">
        <v>132</v>
      </c>
      <c r="O513" t="s">
        <v>133</v>
      </c>
      <c r="P513" s="6" t="s">
        <v>109</v>
      </c>
      <c r="Q513" t="s">
        <v>193</v>
      </c>
      <c r="R513" t="s">
        <v>88</v>
      </c>
      <c r="S513" s="6">
        <v>711743</v>
      </c>
      <c r="T513" s="6" t="s">
        <v>3</v>
      </c>
      <c r="U513">
        <v>103</v>
      </c>
      <c r="V513" s="6">
        <v>15.6</v>
      </c>
      <c r="W513" s="6">
        <v>31.4</v>
      </c>
      <c r="X513" s="6">
        <v>108.8</v>
      </c>
      <c r="Y513" s="6">
        <v>155.80000000000001</v>
      </c>
      <c r="Z513" s="6" t="s">
        <v>63</v>
      </c>
      <c r="AA513" t="s">
        <v>492</v>
      </c>
      <c r="AB513" s="6" t="s">
        <v>75</v>
      </c>
      <c r="AC513" t="s">
        <v>83</v>
      </c>
      <c r="AD513" t="s">
        <v>67</v>
      </c>
      <c r="AE513">
        <v>-36</v>
      </c>
      <c r="AF513">
        <v>0</v>
      </c>
      <c r="AG513">
        <v>0</v>
      </c>
      <c r="AH513" s="6">
        <v>62.8</v>
      </c>
      <c r="AI513" s="6">
        <v>0</v>
      </c>
      <c r="AJ513" s="6">
        <v>0.67500000000000004</v>
      </c>
      <c r="AK513" s="6">
        <v>0.72799999999999998</v>
      </c>
      <c r="AL513" s="8">
        <v>2954.97</v>
      </c>
      <c r="AM513" s="6" t="s">
        <v>68</v>
      </c>
      <c r="AN513" s="6">
        <v>1</v>
      </c>
      <c r="AO513" s="6">
        <v>1</v>
      </c>
      <c r="AP513" s="6">
        <v>0</v>
      </c>
      <c r="AQ513" s="6">
        <v>1</v>
      </c>
      <c r="AR513" s="6">
        <v>0</v>
      </c>
      <c r="AS513" s="6">
        <v>1</v>
      </c>
      <c r="AT513" s="6">
        <v>0</v>
      </c>
      <c r="AU513" s="6">
        <v>1.97</v>
      </c>
      <c r="AV513" s="6">
        <v>1.23</v>
      </c>
      <c r="AW513" s="6">
        <v>113.45</v>
      </c>
      <c r="AX513" s="6">
        <v>27.31</v>
      </c>
      <c r="AY513" s="6">
        <v>79.010000000000005</v>
      </c>
      <c r="AZ513" s="6">
        <v>9.6999999999999993</v>
      </c>
      <c r="BA513" s="6">
        <v>65</v>
      </c>
    </row>
    <row r="514" spans="1:53" x14ac:dyDescent="0.3">
      <c r="A514" s="6">
        <v>747145068</v>
      </c>
      <c r="B514" s="6">
        <v>864544</v>
      </c>
      <c r="C514" s="6">
        <v>5374922</v>
      </c>
      <c r="D514" s="6">
        <v>8385</v>
      </c>
      <c r="E514" s="6" t="s">
        <v>84</v>
      </c>
      <c r="F514" s="6">
        <v>56034</v>
      </c>
      <c r="G514" s="6" t="s">
        <v>115</v>
      </c>
      <c r="H514" s="10">
        <v>45962</v>
      </c>
      <c r="I514" s="10">
        <v>45962</v>
      </c>
      <c r="J514" s="4">
        <v>45962.711805555555</v>
      </c>
      <c r="K514" s="4">
        <v>45963.040243055555</v>
      </c>
      <c r="L514" s="11">
        <v>45963.018020833333</v>
      </c>
      <c r="M514" s="10">
        <v>45963</v>
      </c>
      <c r="N514" s="6" t="s">
        <v>109</v>
      </c>
      <c r="O514" t="s">
        <v>193</v>
      </c>
      <c r="P514" s="6" t="s">
        <v>150</v>
      </c>
      <c r="Q514" t="s">
        <v>311</v>
      </c>
      <c r="R514" t="s">
        <v>73</v>
      </c>
      <c r="S514" s="6">
        <v>703172</v>
      </c>
      <c r="T514" s="6" t="s">
        <v>111</v>
      </c>
      <c r="U514">
        <v>455</v>
      </c>
      <c r="V514" s="6">
        <v>12.5</v>
      </c>
      <c r="W514" s="6">
        <v>10.4</v>
      </c>
      <c r="X514" s="6">
        <v>453.7</v>
      </c>
      <c r="Y514" s="6">
        <v>476.6</v>
      </c>
      <c r="Z514" s="6" t="s">
        <v>63</v>
      </c>
      <c r="AA514" t="s">
        <v>621</v>
      </c>
      <c r="AB514" s="6" t="s">
        <v>90</v>
      </c>
      <c r="AC514" t="s">
        <v>76</v>
      </c>
      <c r="AD514" t="s">
        <v>67</v>
      </c>
      <c r="AE514">
        <v>-32</v>
      </c>
      <c r="AF514">
        <v>0</v>
      </c>
      <c r="AG514">
        <v>0</v>
      </c>
      <c r="AH514" s="6">
        <v>51.8</v>
      </c>
      <c r="AI514" s="6">
        <v>0</v>
      </c>
      <c r="AJ514" s="6">
        <v>0.40600000000000003</v>
      </c>
      <c r="AK514" s="6">
        <v>0.27700000000000002</v>
      </c>
      <c r="AL514" s="8">
        <v>88204.39</v>
      </c>
      <c r="AM514" s="6" t="s">
        <v>155</v>
      </c>
      <c r="AN514" s="6">
        <v>1</v>
      </c>
      <c r="AO514" s="6">
        <v>1</v>
      </c>
      <c r="AP514" s="6">
        <v>0</v>
      </c>
      <c r="AQ514" s="6">
        <v>1</v>
      </c>
      <c r="AR514" s="6">
        <v>0</v>
      </c>
      <c r="AS514" s="6">
        <v>1</v>
      </c>
      <c r="AT514" s="6">
        <v>0</v>
      </c>
      <c r="AU514" s="6">
        <v>2.16</v>
      </c>
      <c r="AV514" s="6">
        <v>1.47</v>
      </c>
      <c r="AW514" s="6">
        <v>402.73</v>
      </c>
      <c r="AX514" s="6">
        <v>61.38</v>
      </c>
      <c r="AY514" s="6">
        <v>314.23</v>
      </c>
      <c r="AZ514" s="6">
        <v>24.5</v>
      </c>
      <c r="BA514" s="6">
        <v>49.6</v>
      </c>
    </row>
    <row r="515" spans="1:53" x14ac:dyDescent="0.3">
      <c r="A515" s="6">
        <v>261462131</v>
      </c>
      <c r="B515" s="6">
        <v>287330</v>
      </c>
      <c r="C515" s="6">
        <v>4348276</v>
      </c>
      <c r="D515" s="6">
        <v>9338</v>
      </c>
      <c r="E515" s="6" t="s">
        <v>101</v>
      </c>
      <c r="F515" s="6">
        <v>59596</v>
      </c>
      <c r="G515" s="6" t="s">
        <v>175</v>
      </c>
      <c r="H515" s="10">
        <v>45777</v>
      </c>
      <c r="I515" s="10">
        <v>45777</v>
      </c>
      <c r="J515" s="4">
        <v>45777.368055555555</v>
      </c>
      <c r="K515" s="4">
        <v>45778.135381944441</v>
      </c>
      <c r="L515" s="11">
        <v>45778.113854166666</v>
      </c>
      <c r="M515" s="10">
        <v>45778</v>
      </c>
      <c r="N515" s="6" t="s">
        <v>134</v>
      </c>
      <c r="O515" t="s">
        <v>172</v>
      </c>
      <c r="P515" s="6" t="s">
        <v>78</v>
      </c>
      <c r="Q515" t="s">
        <v>219</v>
      </c>
      <c r="R515" t="s">
        <v>88</v>
      </c>
      <c r="S515" s="6">
        <v>778944</v>
      </c>
      <c r="T515" s="6" t="s">
        <v>140</v>
      </c>
      <c r="U515">
        <v>914</v>
      </c>
      <c r="V515" s="6">
        <v>34.200000000000003</v>
      </c>
      <c r="W515" s="6">
        <v>47.6</v>
      </c>
      <c r="X515" s="6">
        <v>917.3</v>
      </c>
      <c r="Y515" s="6">
        <v>999.1</v>
      </c>
      <c r="Z515" s="6" t="s">
        <v>2</v>
      </c>
      <c r="AA515" t="s">
        <v>622</v>
      </c>
      <c r="AB515" s="6" t="s">
        <v>97</v>
      </c>
      <c r="AC515" t="s">
        <v>125</v>
      </c>
      <c r="AD515" t="s">
        <v>67</v>
      </c>
      <c r="AE515">
        <v>-31</v>
      </c>
      <c r="AF515">
        <v>0</v>
      </c>
      <c r="AG515">
        <v>0</v>
      </c>
      <c r="AH515" s="6">
        <v>32.1</v>
      </c>
      <c r="AI515" s="6">
        <v>0</v>
      </c>
      <c r="AJ515" s="6">
        <v>0.45100000000000001</v>
      </c>
      <c r="AK515" s="6">
        <v>0.86299999999999999</v>
      </c>
      <c r="AL515" s="8">
        <v>4704.21</v>
      </c>
      <c r="AM515" s="6" t="s">
        <v>68</v>
      </c>
      <c r="AN515" s="6">
        <v>1</v>
      </c>
      <c r="AO515" s="6">
        <v>1</v>
      </c>
      <c r="AP515" s="6">
        <v>0</v>
      </c>
      <c r="AQ515" s="6">
        <v>1</v>
      </c>
      <c r="AR515" s="6">
        <v>0</v>
      </c>
      <c r="AS515" s="6">
        <v>1</v>
      </c>
      <c r="AT515" s="6">
        <v>0</v>
      </c>
      <c r="AU515" s="6">
        <v>2.59</v>
      </c>
      <c r="AV515" s="6">
        <v>1.51</v>
      </c>
      <c r="AW515" s="6">
        <v>706.95</v>
      </c>
      <c r="AX515" s="6">
        <v>107.18</v>
      </c>
      <c r="AY515" s="6">
        <v>591.51</v>
      </c>
      <c r="AZ515" s="6">
        <v>17.5</v>
      </c>
      <c r="BA515" s="6">
        <v>69.7</v>
      </c>
    </row>
    <row r="516" spans="1:53" x14ac:dyDescent="0.3">
      <c r="A516" s="6">
        <v>457944766</v>
      </c>
      <c r="B516" s="6">
        <v>733052</v>
      </c>
      <c r="C516" s="6">
        <v>2642635</v>
      </c>
      <c r="D516" s="6">
        <v>8989</v>
      </c>
      <c r="E516" s="6" t="s">
        <v>84</v>
      </c>
      <c r="F516" s="6">
        <v>58635</v>
      </c>
      <c r="G516" s="6" t="s">
        <v>98</v>
      </c>
      <c r="H516" s="10">
        <v>45836</v>
      </c>
      <c r="I516" s="10">
        <v>45836</v>
      </c>
      <c r="J516" s="4">
        <v>45836.291666666664</v>
      </c>
      <c r="K516" s="4">
        <v>45836.570439814815</v>
      </c>
      <c r="L516" s="11">
        <v>45836.56627314815</v>
      </c>
      <c r="M516" s="10">
        <v>45836</v>
      </c>
      <c r="N516" s="6" t="s">
        <v>129</v>
      </c>
      <c r="O516" t="s">
        <v>162</v>
      </c>
      <c r="P516" s="6" t="s">
        <v>78</v>
      </c>
      <c r="Q516" t="s">
        <v>79</v>
      </c>
      <c r="R516" t="s">
        <v>88</v>
      </c>
      <c r="S516" s="6">
        <v>768585</v>
      </c>
      <c r="T516" s="6" t="s">
        <v>111</v>
      </c>
      <c r="U516">
        <v>336</v>
      </c>
      <c r="V516" s="6">
        <v>2</v>
      </c>
      <c r="W516" s="6">
        <v>50.9</v>
      </c>
      <c r="X516" s="6">
        <v>341.2</v>
      </c>
      <c r="Y516" s="6">
        <v>394.1</v>
      </c>
      <c r="Z516" s="6" t="s">
        <v>2</v>
      </c>
      <c r="AA516" t="s">
        <v>623</v>
      </c>
      <c r="AB516" s="6" t="s">
        <v>97</v>
      </c>
      <c r="AC516" t="s">
        <v>76</v>
      </c>
      <c r="AD516" t="s">
        <v>67</v>
      </c>
      <c r="AE516">
        <v>-6</v>
      </c>
      <c r="AF516">
        <v>0</v>
      </c>
      <c r="AG516">
        <v>0</v>
      </c>
      <c r="AH516" s="6">
        <v>14.3</v>
      </c>
      <c r="AI516" s="6">
        <v>0</v>
      </c>
      <c r="AJ516" s="6">
        <v>0.75900000000000001</v>
      </c>
      <c r="AK516" s="6">
        <v>0.627</v>
      </c>
      <c r="AL516" s="8">
        <v>9996.2199999999993</v>
      </c>
      <c r="AM516" s="6" t="s">
        <v>114</v>
      </c>
      <c r="AN516" s="6">
        <v>1</v>
      </c>
      <c r="AO516" s="6">
        <v>1</v>
      </c>
      <c r="AP516" s="6">
        <v>0</v>
      </c>
      <c r="AQ516" s="6">
        <v>1</v>
      </c>
      <c r="AR516" s="6">
        <v>0</v>
      </c>
      <c r="AS516" s="6">
        <v>1</v>
      </c>
      <c r="AT516" s="6">
        <v>0</v>
      </c>
      <c r="AU516" s="6">
        <v>1.87</v>
      </c>
      <c r="AV516" s="6">
        <v>1.43</v>
      </c>
      <c r="AW516" s="6">
        <v>270.3</v>
      </c>
      <c r="AX516" s="6">
        <v>56.39</v>
      </c>
      <c r="AY516" s="6">
        <v>195.61</v>
      </c>
      <c r="AZ516" s="6">
        <v>11.9</v>
      </c>
      <c r="BA516" s="6">
        <v>9.1</v>
      </c>
    </row>
    <row r="517" spans="1:53" x14ac:dyDescent="0.3">
      <c r="A517" s="6">
        <v>187512088</v>
      </c>
      <c r="B517" s="6">
        <v>263032</v>
      </c>
      <c r="C517" s="6">
        <v>4191175</v>
      </c>
      <c r="D517" s="6">
        <v>6486</v>
      </c>
      <c r="E517" s="6" t="s">
        <v>225</v>
      </c>
      <c r="F517" s="6">
        <v>53104</v>
      </c>
      <c r="G517" s="6" t="s">
        <v>77</v>
      </c>
      <c r="H517" s="10">
        <v>46001</v>
      </c>
      <c r="I517" s="10">
        <v>46001</v>
      </c>
      <c r="J517" s="4">
        <v>46001.746527777781</v>
      </c>
      <c r="K517" s="4">
        <v>46001.89539351852</v>
      </c>
      <c r="L517" s="11">
        <v>46001.887754629628</v>
      </c>
      <c r="M517" s="10">
        <v>46001</v>
      </c>
      <c r="N517" s="6" t="s">
        <v>86</v>
      </c>
      <c r="O517" t="s">
        <v>108</v>
      </c>
      <c r="P517" s="6" t="s">
        <v>132</v>
      </c>
      <c r="Q517" t="s">
        <v>133</v>
      </c>
      <c r="R517" t="s">
        <v>62</v>
      </c>
      <c r="S517" s="6">
        <v>772918</v>
      </c>
      <c r="T517" s="6" t="s">
        <v>1</v>
      </c>
      <c r="U517">
        <v>155</v>
      </c>
      <c r="V517" s="6">
        <v>18.5</v>
      </c>
      <c r="W517" s="6">
        <v>32.700000000000003</v>
      </c>
      <c r="X517" s="6">
        <v>149.4</v>
      </c>
      <c r="Y517" s="6">
        <v>200.6</v>
      </c>
      <c r="Z517" s="6" t="s">
        <v>215</v>
      </c>
      <c r="AA517" t="s">
        <v>624</v>
      </c>
      <c r="AB517" s="6" t="s">
        <v>90</v>
      </c>
      <c r="AC517" t="s">
        <v>125</v>
      </c>
      <c r="AD517" t="s">
        <v>67</v>
      </c>
      <c r="AE517">
        <v>-11</v>
      </c>
      <c r="AF517">
        <v>27</v>
      </c>
      <c r="AG517">
        <v>0</v>
      </c>
      <c r="AH517" s="6">
        <v>26.6</v>
      </c>
      <c r="AI517" s="6">
        <v>0</v>
      </c>
      <c r="AJ517" s="6">
        <v>0.84899999999999998</v>
      </c>
      <c r="AK517" s="6">
        <v>0.5</v>
      </c>
      <c r="AL517" s="8">
        <v>4474.1499999999996</v>
      </c>
      <c r="AM517" s="6" t="s">
        <v>68</v>
      </c>
      <c r="AN517" s="6">
        <v>1</v>
      </c>
      <c r="AO517" s="6">
        <v>1</v>
      </c>
      <c r="AP517" s="6">
        <v>0</v>
      </c>
      <c r="AQ517" s="6">
        <v>1</v>
      </c>
      <c r="AR517" s="6">
        <v>0</v>
      </c>
      <c r="AS517" s="6">
        <v>1</v>
      </c>
      <c r="AT517" s="6">
        <v>0</v>
      </c>
      <c r="AU517" s="6">
        <v>2.82</v>
      </c>
      <c r="AV517" s="6">
        <v>1.69</v>
      </c>
      <c r="AW517" s="6">
        <v>172.24</v>
      </c>
      <c r="AX517" s="6">
        <v>34.14</v>
      </c>
      <c r="AY517" s="6">
        <v>127.91</v>
      </c>
      <c r="AZ517" s="6">
        <v>13.2</v>
      </c>
      <c r="BA517" s="6">
        <v>34.4</v>
      </c>
    </row>
    <row r="518" spans="1:53" x14ac:dyDescent="0.3">
      <c r="A518" s="6">
        <v>725711790</v>
      </c>
      <c r="B518" s="6">
        <v>816751</v>
      </c>
      <c r="C518" s="6">
        <v>3011363</v>
      </c>
      <c r="D518" s="6">
        <v>9996</v>
      </c>
      <c r="E518" s="6" t="s">
        <v>185</v>
      </c>
      <c r="F518" s="6">
        <v>54355</v>
      </c>
      <c r="G518" s="6" t="s">
        <v>164</v>
      </c>
      <c r="H518" s="10">
        <v>45740</v>
      </c>
      <c r="I518" s="10">
        <v>45740</v>
      </c>
      <c r="J518" s="4">
        <v>45740.368055555555</v>
      </c>
      <c r="K518" s="4">
        <v>45741.088912037034</v>
      </c>
      <c r="L518" s="11">
        <v>45741.073634259257</v>
      </c>
      <c r="M518" s="10">
        <v>45741</v>
      </c>
      <c r="N518" s="6" t="s">
        <v>176</v>
      </c>
      <c r="O518" t="s">
        <v>355</v>
      </c>
      <c r="P518" s="6" t="s">
        <v>176</v>
      </c>
      <c r="Q518" t="s">
        <v>227</v>
      </c>
      <c r="R518" t="s">
        <v>88</v>
      </c>
      <c r="S518" s="6">
        <v>745653</v>
      </c>
      <c r="T518" s="6" t="s">
        <v>140</v>
      </c>
      <c r="U518">
        <v>777</v>
      </c>
      <c r="V518" s="6">
        <v>11.5</v>
      </c>
      <c r="W518" s="6">
        <v>33.799999999999997</v>
      </c>
      <c r="X518" s="6">
        <v>779</v>
      </c>
      <c r="Y518" s="6">
        <v>824.3</v>
      </c>
      <c r="Z518" s="6" t="s">
        <v>63</v>
      </c>
      <c r="AA518" t="s">
        <v>505</v>
      </c>
      <c r="AB518" s="6" t="s">
        <v>97</v>
      </c>
      <c r="AC518" t="s">
        <v>83</v>
      </c>
      <c r="AD518" t="s">
        <v>67</v>
      </c>
      <c r="AE518">
        <v>-22</v>
      </c>
      <c r="AF518">
        <v>0</v>
      </c>
      <c r="AG518">
        <v>0</v>
      </c>
      <c r="AH518" s="6">
        <v>16.399999999999999</v>
      </c>
      <c r="AI518" s="6">
        <v>0</v>
      </c>
      <c r="AJ518" s="6">
        <v>0.86099999999999999</v>
      </c>
      <c r="AK518" s="6">
        <v>0.42899999999999999</v>
      </c>
      <c r="AL518" s="8">
        <v>6500.76</v>
      </c>
      <c r="AM518" s="6" t="s">
        <v>114</v>
      </c>
      <c r="AN518" s="6">
        <v>1</v>
      </c>
      <c r="AO518" s="6">
        <v>1</v>
      </c>
      <c r="AP518" s="6">
        <v>0</v>
      </c>
      <c r="AQ518" s="6">
        <v>1</v>
      </c>
      <c r="AR518" s="6">
        <v>0</v>
      </c>
      <c r="AS518" s="6">
        <v>1</v>
      </c>
      <c r="AT518" s="6">
        <v>0</v>
      </c>
      <c r="AU518" s="6">
        <v>2.2000000000000002</v>
      </c>
      <c r="AV518" s="6">
        <v>1.32</v>
      </c>
      <c r="AW518" s="6">
        <v>696.86</v>
      </c>
      <c r="AX518" s="6">
        <v>88.39</v>
      </c>
      <c r="AY518" s="6">
        <v>464.93</v>
      </c>
      <c r="AZ518" s="6">
        <v>13.3</v>
      </c>
      <c r="BA518" s="6">
        <v>28.4</v>
      </c>
    </row>
    <row r="519" spans="1:53" x14ac:dyDescent="0.3">
      <c r="A519" s="6">
        <v>812548074</v>
      </c>
      <c r="B519" s="6">
        <v>903035</v>
      </c>
      <c r="C519" s="6">
        <v>7110622</v>
      </c>
      <c r="D519" s="6">
        <v>3200</v>
      </c>
      <c r="E519" s="6" t="s">
        <v>92</v>
      </c>
      <c r="F519" s="6">
        <v>53305</v>
      </c>
      <c r="G519" s="6" t="s">
        <v>235</v>
      </c>
      <c r="H519" s="10">
        <v>45800</v>
      </c>
      <c r="I519" s="10">
        <v>45800</v>
      </c>
      <c r="J519" s="4">
        <v>45800.611111111109</v>
      </c>
      <c r="K519" s="4">
        <v>45800.760925925926</v>
      </c>
      <c r="L519" s="11">
        <v>45800.746342592596</v>
      </c>
      <c r="M519" s="10">
        <v>45800</v>
      </c>
      <c r="N519" s="6" t="s">
        <v>70</v>
      </c>
      <c r="O519" t="s">
        <v>71</v>
      </c>
      <c r="P519" s="6" t="s">
        <v>170</v>
      </c>
      <c r="Q519" t="s">
        <v>189</v>
      </c>
      <c r="R519" t="s">
        <v>62</v>
      </c>
      <c r="S519" s="6">
        <v>722184</v>
      </c>
      <c r="T519" s="6" t="s">
        <v>1</v>
      </c>
      <c r="U519">
        <v>142</v>
      </c>
      <c r="V519" s="6">
        <v>19.8</v>
      </c>
      <c r="W519" s="6">
        <v>24.7</v>
      </c>
      <c r="X519" s="6">
        <v>142.9</v>
      </c>
      <c r="Y519" s="6">
        <v>187.4</v>
      </c>
      <c r="Z519" s="6" t="s">
        <v>2</v>
      </c>
      <c r="AA519" t="s">
        <v>625</v>
      </c>
      <c r="AB519" s="6" t="s">
        <v>90</v>
      </c>
      <c r="AC519" t="s">
        <v>154</v>
      </c>
      <c r="AD519" t="s">
        <v>67</v>
      </c>
      <c r="AE519">
        <v>-21</v>
      </c>
      <c r="AF519">
        <v>0</v>
      </c>
      <c r="AG519">
        <v>0</v>
      </c>
      <c r="AH519" s="6">
        <v>63.7</v>
      </c>
      <c r="AI519" s="6">
        <v>0</v>
      </c>
      <c r="AJ519" s="6">
        <v>0.78700000000000003</v>
      </c>
      <c r="AK519" s="6">
        <v>0.47299999999999998</v>
      </c>
      <c r="AL519" s="8">
        <v>17827.990000000002</v>
      </c>
      <c r="AM519" s="6" t="s">
        <v>114</v>
      </c>
      <c r="AN519" s="6">
        <v>1</v>
      </c>
      <c r="AO519" s="6">
        <v>1</v>
      </c>
      <c r="AP519" s="6">
        <v>0</v>
      </c>
      <c r="AQ519" s="6">
        <v>1</v>
      </c>
      <c r="AR519" s="6">
        <v>0</v>
      </c>
      <c r="AS519" s="6">
        <v>1</v>
      </c>
      <c r="AT519" s="6">
        <v>0</v>
      </c>
      <c r="AU519" s="6">
        <v>2.4300000000000002</v>
      </c>
      <c r="AV519" s="6">
        <v>1.88</v>
      </c>
      <c r="AW519" s="6">
        <v>165.78</v>
      </c>
      <c r="AX519" s="6">
        <v>28.92</v>
      </c>
      <c r="AY519" s="6">
        <v>108.12</v>
      </c>
      <c r="AZ519" s="6">
        <v>26.8</v>
      </c>
      <c r="BA519" s="6">
        <v>17.3</v>
      </c>
    </row>
    <row r="520" spans="1:53" x14ac:dyDescent="0.3">
      <c r="A520" s="6">
        <v>251857566</v>
      </c>
      <c r="B520" s="6">
        <v>855731</v>
      </c>
      <c r="C520" s="6">
        <v>2724590</v>
      </c>
      <c r="D520" s="6">
        <v>1202</v>
      </c>
      <c r="E520" s="6" t="s">
        <v>211</v>
      </c>
      <c r="F520" s="6">
        <v>51538</v>
      </c>
      <c r="G520" s="6" t="s">
        <v>115</v>
      </c>
      <c r="H520" s="10">
        <v>45879</v>
      </c>
      <c r="I520" s="10">
        <v>45879</v>
      </c>
      <c r="J520" s="4">
        <v>45879.3125</v>
      </c>
      <c r="K520" s="4">
        <v>45879.425543981481</v>
      </c>
      <c r="L520" s="11">
        <v>45879.429710648146</v>
      </c>
      <c r="M520" s="10">
        <v>45879</v>
      </c>
      <c r="N520" s="6" t="s">
        <v>176</v>
      </c>
      <c r="O520" t="s">
        <v>292</v>
      </c>
      <c r="P520" s="6" t="s">
        <v>70</v>
      </c>
      <c r="Q520" t="s">
        <v>71</v>
      </c>
      <c r="R520" t="s">
        <v>73</v>
      </c>
      <c r="S520" s="6">
        <v>715799</v>
      </c>
      <c r="T520" s="6" t="s">
        <v>1</v>
      </c>
      <c r="U520">
        <v>170</v>
      </c>
      <c r="V520" s="6">
        <v>20</v>
      </c>
      <c r="W520" s="6">
        <v>4.0999999999999996</v>
      </c>
      <c r="X520" s="6">
        <v>173.9</v>
      </c>
      <c r="Y520" s="6">
        <v>198</v>
      </c>
      <c r="Z520" s="6" t="s">
        <v>63</v>
      </c>
      <c r="AA520" t="s">
        <v>626</v>
      </c>
      <c r="AB520" s="6" t="s">
        <v>97</v>
      </c>
      <c r="AC520" t="s">
        <v>91</v>
      </c>
      <c r="AD520" t="s">
        <v>67</v>
      </c>
      <c r="AE520">
        <v>6</v>
      </c>
      <c r="AF520">
        <v>0</v>
      </c>
      <c r="AG520">
        <v>0</v>
      </c>
      <c r="AH520" s="6">
        <v>28.9</v>
      </c>
      <c r="AI520" s="6">
        <v>0</v>
      </c>
      <c r="AJ520" s="6">
        <v>0.499</v>
      </c>
      <c r="AK520" s="6">
        <v>0.624</v>
      </c>
      <c r="AL520" s="8">
        <v>2168.87</v>
      </c>
      <c r="AM520" s="6" t="s">
        <v>68</v>
      </c>
      <c r="AN520" s="6">
        <v>1</v>
      </c>
      <c r="AO520" s="6">
        <v>1</v>
      </c>
      <c r="AP520" s="6">
        <v>0</v>
      </c>
      <c r="AQ520" s="6">
        <v>1</v>
      </c>
      <c r="AR520" s="6">
        <v>0</v>
      </c>
      <c r="AS520" s="6">
        <v>1</v>
      </c>
      <c r="AT520" s="6">
        <v>0</v>
      </c>
      <c r="AU520" s="6">
        <v>2.06</v>
      </c>
      <c r="AV520" s="6">
        <v>1.38</v>
      </c>
      <c r="AW520" s="6">
        <v>157</v>
      </c>
      <c r="AX520" s="6">
        <v>21.04</v>
      </c>
      <c r="AY520" s="6">
        <v>134.9</v>
      </c>
      <c r="AZ520" s="6">
        <v>32.200000000000003</v>
      </c>
      <c r="BA520" s="6">
        <v>66.599999999999994</v>
      </c>
    </row>
    <row r="521" spans="1:53" x14ac:dyDescent="0.3">
      <c r="A521" s="6">
        <v>475617211</v>
      </c>
      <c r="B521" s="6">
        <v>779514</v>
      </c>
      <c r="C521" s="6">
        <v>5130808</v>
      </c>
      <c r="D521" s="6">
        <v>3731</v>
      </c>
      <c r="E521" s="6" t="s">
        <v>106</v>
      </c>
      <c r="F521" s="6">
        <v>51331</v>
      </c>
      <c r="G521" s="6" t="s">
        <v>115</v>
      </c>
      <c r="H521" s="10">
        <v>45933</v>
      </c>
      <c r="I521" s="10">
        <v>45933</v>
      </c>
      <c r="J521" s="4">
        <v>45933.597222222219</v>
      </c>
      <c r="K521" s="4">
        <v>45933.806481481479</v>
      </c>
      <c r="L521" s="11">
        <v>45933.832175925927</v>
      </c>
      <c r="M521" s="10">
        <v>45933</v>
      </c>
      <c r="N521" s="6" t="s">
        <v>116</v>
      </c>
      <c r="O521" t="s">
        <v>117</v>
      </c>
      <c r="P521" s="6" t="s">
        <v>116</v>
      </c>
      <c r="Q521" t="s">
        <v>212</v>
      </c>
      <c r="R521" t="s">
        <v>123</v>
      </c>
      <c r="S521" s="6">
        <v>748114</v>
      </c>
      <c r="T521" s="6" t="s">
        <v>1</v>
      </c>
      <c r="U521">
        <v>174</v>
      </c>
      <c r="V521" s="6">
        <v>37.6</v>
      </c>
      <c r="W521" s="6">
        <v>11.7</v>
      </c>
      <c r="X521" s="6">
        <v>168.3</v>
      </c>
      <c r="Y521" s="6">
        <v>217.6</v>
      </c>
      <c r="Z521" s="6" t="s">
        <v>63</v>
      </c>
      <c r="AA521" t="s">
        <v>409</v>
      </c>
      <c r="AB521" s="6" t="s">
        <v>90</v>
      </c>
      <c r="AC521" t="s">
        <v>154</v>
      </c>
      <c r="AD521" t="s">
        <v>192</v>
      </c>
      <c r="AE521">
        <v>37</v>
      </c>
      <c r="AF521">
        <v>0</v>
      </c>
      <c r="AG521">
        <v>0</v>
      </c>
      <c r="AH521" s="6">
        <v>91.2</v>
      </c>
      <c r="AI521" s="6">
        <v>0</v>
      </c>
      <c r="AJ521" s="6">
        <v>0.36199999999999999</v>
      </c>
      <c r="AK521" s="6">
        <v>0.66800000000000004</v>
      </c>
      <c r="AL521" s="8">
        <v>1789.31</v>
      </c>
      <c r="AM521" s="6" t="s">
        <v>68</v>
      </c>
      <c r="AN521" s="6">
        <v>1</v>
      </c>
      <c r="AO521" s="6">
        <v>0</v>
      </c>
      <c r="AP521" s="6">
        <v>1</v>
      </c>
      <c r="AQ521" s="6">
        <v>0</v>
      </c>
      <c r="AR521" s="6">
        <v>1</v>
      </c>
      <c r="AS521" s="6">
        <v>0</v>
      </c>
      <c r="AT521" s="6">
        <v>1</v>
      </c>
      <c r="AU521" s="6">
        <v>2.35</v>
      </c>
      <c r="AV521" s="6">
        <v>1.72</v>
      </c>
      <c r="AW521" s="6">
        <v>193.45</v>
      </c>
      <c r="AX521" s="6">
        <v>41.82</v>
      </c>
      <c r="AY521" s="6">
        <v>111.62</v>
      </c>
      <c r="AZ521" s="6">
        <v>38.9</v>
      </c>
      <c r="BA521" s="6">
        <v>78.7</v>
      </c>
    </row>
    <row r="522" spans="1:53" x14ac:dyDescent="0.3">
      <c r="A522" s="6">
        <v>433108786</v>
      </c>
      <c r="B522" s="6">
        <v>520651</v>
      </c>
      <c r="C522" s="6">
        <v>5098412</v>
      </c>
      <c r="D522" s="6">
        <v>7892</v>
      </c>
      <c r="E522" s="6" t="s">
        <v>84</v>
      </c>
      <c r="F522" s="6">
        <v>58168</v>
      </c>
      <c r="G522" s="6" t="s">
        <v>69</v>
      </c>
      <c r="H522" s="10">
        <v>45987</v>
      </c>
      <c r="I522" s="10">
        <v>45987</v>
      </c>
      <c r="J522" s="4">
        <v>45987.003472222219</v>
      </c>
      <c r="K522" s="4">
        <v>45987.60496527778</v>
      </c>
      <c r="L522" s="11">
        <v>45987.604270833333</v>
      </c>
      <c r="M522" s="10">
        <v>45987</v>
      </c>
      <c r="N522" s="6" t="s">
        <v>86</v>
      </c>
      <c r="O522" t="s">
        <v>87</v>
      </c>
      <c r="P522" s="6" t="s">
        <v>86</v>
      </c>
      <c r="Q522" t="s">
        <v>108</v>
      </c>
      <c r="R522" t="s">
        <v>88</v>
      </c>
      <c r="S522" s="6">
        <v>742558</v>
      </c>
      <c r="T522" s="6" t="s">
        <v>140</v>
      </c>
      <c r="U522">
        <v>570</v>
      </c>
      <c r="V522" s="6">
        <v>57.6</v>
      </c>
      <c r="W522" s="6">
        <v>30.6</v>
      </c>
      <c r="X522" s="6">
        <v>569.79999999999995</v>
      </c>
      <c r="Y522" s="6">
        <v>658</v>
      </c>
      <c r="Z522" s="6" t="s">
        <v>63</v>
      </c>
      <c r="AA522" t="s">
        <v>627</v>
      </c>
      <c r="AB522" s="6" t="s">
        <v>82</v>
      </c>
      <c r="AC522" t="s">
        <v>125</v>
      </c>
      <c r="AD522" t="s">
        <v>67</v>
      </c>
      <c r="AE522">
        <v>-1</v>
      </c>
      <c r="AF522">
        <v>0</v>
      </c>
      <c r="AG522">
        <v>0</v>
      </c>
      <c r="AH522" s="6">
        <v>57.8</v>
      </c>
      <c r="AI522" s="6">
        <v>0</v>
      </c>
      <c r="AJ522" s="6">
        <v>0.54400000000000004</v>
      </c>
      <c r="AK522" s="6">
        <v>0.746</v>
      </c>
      <c r="AL522" s="8">
        <v>2770.57</v>
      </c>
      <c r="AM522" s="6" t="s">
        <v>68</v>
      </c>
      <c r="AN522" s="6">
        <v>1</v>
      </c>
      <c r="AO522" s="6">
        <v>1</v>
      </c>
      <c r="AP522" s="6">
        <v>0</v>
      </c>
      <c r="AQ522" s="6">
        <v>1</v>
      </c>
      <c r="AR522" s="6">
        <v>0</v>
      </c>
      <c r="AS522" s="6">
        <v>1</v>
      </c>
      <c r="AT522" s="6">
        <v>0</v>
      </c>
      <c r="AU522" s="6">
        <v>2.2799999999999998</v>
      </c>
      <c r="AV522" s="6">
        <v>1.75</v>
      </c>
      <c r="AW522" s="6">
        <v>413.19</v>
      </c>
      <c r="AX522" s="6">
        <v>134.63999999999999</v>
      </c>
      <c r="AY522" s="6">
        <v>369.59</v>
      </c>
      <c r="AZ522" s="6">
        <v>45.8</v>
      </c>
      <c r="BA522" s="6">
        <v>52</v>
      </c>
    </row>
    <row r="523" spans="1:53" x14ac:dyDescent="0.3">
      <c r="A523" s="6">
        <v>804433388</v>
      </c>
      <c r="B523" s="6">
        <v>198246</v>
      </c>
      <c r="C523" s="6">
        <v>9626108</v>
      </c>
      <c r="D523" s="6">
        <v>5555</v>
      </c>
      <c r="E523" s="6" t="s">
        <v>57</v>
      </c>
      <c r="F523" s="6">
        <v>56939</v>
      </c>
      <c r="G523" s="6" t="s">
        <v>115</v>
      </c>
      <c r="H523" s="10">
        <v>45992</v>
      </c>
      <c r="I523" s="10">
        <v>45992</v>
      </c>
      <c r="J523" s="4">
        <v>45992.079861111109</v>
      </c>
      <c r="K523" s="4">
        <v>45992.142361111109</v>
      </c>
      <c r="L523" s="11">
        <v>45992.097916666666</v>
      </c>
      <c r="M523" s="10">
        <v>45992</v>
      </c>
      <c r="N523" s="6" t="s">
        <v>70</v>
      </c>
      <c r="O523" t="s">
        <v>72</v>
      </c>
      <c r="P523" s="6" t="s">
        <v>70</v>
      </c>
      <c r="Q523" t="s">
        <v>152</v>
      </c>
      <c r="R523" t="s">
        <v>73</v>
      </c>
      <c r="S523" s="6">
        <v>733303</v>
      </c>
      <c r="T523" s="6" t="s">
        <v>3</v>
      </c>
      <c r="U523">
        <v>38</v>
      </c>
      <c r="V523" s="6">
        <v>27.3</v>
      </c>
      <c r="W523" s="6">
        <v>10.9</v>
      </c>
      <c r="X523" s="6">
        <v>33.5</v>
      </c>
      <c r="Y523" s="6">
        <v>71.7</v>
      </c>
      <c r="Z523" s="6" t="s">
        <v>80</v>
      </c>
      <c r="AA523" t="s">
        <v>628</v>
      </c>
      <c r="AB523" s="6" t="s">
        <v>82</v>
      </c>
      <c r="AC523" t="s">
        <v>83</v>
      </c>
      <c r="AD523" t="s">
        <v>67</v>
      </c>
      <c r="AE523">
        <v>-64</v>
      </c>
      <c r="AF523">
        <v>73</v>
      </c>
      <c r="AG523">
        <v>0</v>
      </c>
      <c r="AH523" s="6">
        <v>69.400000000000006</v>
      </c>
      <c r="AI523" s="6">
        <v>0</v>
      </c>
      <c r="AJ523" s="6">
        <v>0.64700000000000002</v>
      </c>
      <c r="AK523" s="6">
        <v>0.437</v>
      </c>
      <c r="AL523" s="8">
        <v>1411</v>
      </c>
      <c r="AM523" s="6" t="s">
        <v>68</v>
      </c>
      <c r="AN523" s="6">
        <v>1</v>
      </c>
      <c r="AO523" s="6">
        <v>1</v>
      </c>
      <c r="AP523" s="6">
        <v>0</v>
      </c>
      <c r="AQ523" s="6">
        <v>1</v>
      </c>
      <c r="AR523" s="6">
        <v>0</v>
      </c>
      <c r="AS523" s="6">
        <v>1</v>
      </c>
      <c r="AT523" s="6">
        <v>0</v>
      </c>
      <c r="AU523" s="6">
        <v>1.85</v>
      </c>
      <c r="AV523" s="6">
        <v>1.23</v>
      </c>
      <c r="AW523" s="6">
        <v>49.91</v>
      </c>
      <c r="AX523" s="6">
        <v>15.46</v>
      </c>
      <c r="AY523" s="6">
        <v>40.67</v>
      </c>
      <c r="AZ523" s="6">
        <v>11.5</v>
      </c>
      <c r="BA523" s="6">
        <v>22.2</v>
      </c>
    </row>
    <row r="524" spans="1:53" x14ac:dyDescent="0.3">
      <c r="A524" s="6">
        <v>849987147</v>
      </c>
      <c r="B524" s="6">
        <v>518373</v>
      </c>
      <c r="C524" s="6">
        <v>7812810</v>
      </c>
      <c r="D524" s="6">
        <v>2045</v>
      </c>
      <c r="E524" s="6" t="s">
        <v>106</v>
      </c>
      <c r="F524" s="6">
        <v>58261</v>
      </c>
      <c r="G524" s="6" t="s">
        <v>164</v>
      </c>
      <c r="H524" s="10">
        <v>45941</v>
      </c>
      <c r="I524" s="10">
        <v>45941</v>
      </c>
      <c r="J524" s="4">
        <v>45941.8125</v>
      </c>
      <c r="K524" s="4">
        <v>45942.033854166664</v>
      </c>
      <c r="L524" s="11">
        <v>45942.013020833336</v>
      </c>
      <c r="M524" s="10">
        <v>45942</v>
      </c>
      <c r="N524" s="6" t="s">
        <v>109</v>
      </c>
      <c r="O524" t="s">
        <v>110</v>
      </c>
      <c r="P524" s="6" t="s">
        <v>116</v>
      </c>
      <c r="Q524" t="s">
        <v>128</v>
      </c>
      <c r="R524" t="s">
        <v>123</v>
      </c>
      <c r="S524" s="6">
        <v>774044</v>
      </c>
      <c r="T524" s="6" t="s">
        <v>1</v>
      </c>
      <c r="U524">
        <v>274</v>
      </c>
      <c r="V524" s="6">
        <v>25.1</v>
      </c>
      <c r="W524" s="6">
        <v>14.6</v>
      </c>
      <c r="X524" s="6">
        <v>276</v>
      </c>
      <c r="Y524" s="6">
        <v>315.7</v>
      </c>
      <c r="Z524" s="6" t="s">
        <v>63</v>
      </c>
      <c r="AA524" t="s">
        <v>445</v>
      </c>
      <c r="AB524" s="6" t="s">
        <v>65</v>
      </c>
      <c r="AC524" t="s">
        <v>76</v>
      </c>
      <c r="AD524" t="s">
        <v>67</v>
      </c>
      <c r="AE524">
        <v>-30</v>
      </c>
      <c r="AF524">
        <v>0</v>
      </c>
      <c r="AG524">
        <v>0</v>
      </c>
      <c r="AH524" s="6">
        <v>47.1</v>
      </c>
      <c r="AI524" s="6">
        <v>0</v>
      </c>
      <c r="AJ524" s="6">
        <v>0.45</v>
      </c>
      <c r="AK524" s="6">
        <v>0.70799999999999996</v>
      </c>
      <c r="AL524" s="8">
        <v>12151.83</v>
      </c>
      <c r="AM524" s="6" t="s">
        <v>114</v>
      </c>
      <c r="AN524" s="6">
        <v>1</v>
      </c>
      <c r="AO524" s="6">
        <v>1</v>
      </c>
      <c r="AP524" s="6">
        <v>0</v>
      </c>
      <c r="AQ524" s="6">
        <v>1</v>
      </c>
      <c r="AR524" s="6">
        <v>0</v>
      </c>
      <c r="AS524" s="6">
        <v>1</v>
      </c>
      <c r="AT524" s="6">
        <v>0</v>
      </c>
      <c r="AU524" s="6">
        <v>2.19</v>
      </c>
      <c r="AV524" s="6">
        <v>1.4</v>
      </c>
      <c r="AW524" s="6">
        <v>271.92</v>
      </c>
      <c r="AX524" s="6">
        <v>57.76</v>
      </c>
      <c r="AY524" s="6">
        <v>151.79</v>
      </c>
      <c r="AZ524" s="6">
        <v>21.7</v>
      </c>
      <c r="BA524" s="6">
        <v>11.2</v>
      </c>
    </row>
    <row r="525" spans="1:53" x14ac:dyDescent="0.3">
      <c r="A525" s="6">
        <v>810962214</v>
      </c>
      <c r="B525" s="6">
        <v>166613</v>
      </c>
      <c r="C525" s="6">
        <v>3484601</v>
      </c>
      <c r="D525" s="6">
        <v>6855</v>
      </c>
      <c r="E525" s="6" t="s">
        <v>211</v>
      </c>
      <c r="F525" s="6">
        <v>55558</v>
      </c>
      <c r="G525" s="6" t="s">
        <v>149</v>
      </c>
      <c r="H525" s="10">
        <v>45741</v>
      </c>
      <c r="I525" s="10">
        <v>45741</v>
      </c>
      <c r="J525" s="4">
        <v>45741.5</v>
      </c>
      <c r="K525" s="4">
        <v>45741.808148148149</v>
      </c>
      <c r="L525" s="11">
        <v>45741.818564814814</v>
      </c>
      <c r="M525" s="10">
        <v>45741</v>
      </c>
      <c r="N525" s="6" t="s">
        <v>78</v>
      </c>
      <c r="O525" t="s">
        <v>147</v>
      </c>
      <c r="P525" s="6" t="s">
        <v>70</v>
      </c>
      <c r="Q525" t="s">
        <v>152</v>
      </c>
      <c r="R525" t="s">
        <v>73</v>
      </c>
      <c r="S525" s="6">
        <v>747187</v>
      </c>
      <c r="T525" s="6" t="s">
        <v>111</v>
      </c>
      <c r="U525">
        <v>328</v>
      </c>
      <c r="V525" s="6">
        <v>18.600000000000001</v>
      </c>
      <c r="W525" s="6">
        <v>25.1</v>
      </c>
      <c r="X525" s="6">
        <v>323</v>
      </c>
      <c r="Y525" s="6">
        <v>366.7</v>
      </c>
      <c r="Z525" s="6" t="s">
        <v>63</v>
      </c>
      <c r="AA525" t="s">
        <v>629</v>
      </c>
      <c r="AB525" s="6" t="s">
        <v>75</v>
      </c>
      <c r="AC525" t="s">
        <v>66</v>
      </c>
      <c r="AD525" t="s">
        <v>67</v>
      </c>
      <c r="AE525">
        <v>15</v>
      </c>
      <c r="AF525">
        <v>0</v>
      </c>
      <c r="AG525">
        <v>0</v>
      </c>
      <c r="AH525" s="6">
        <v>55.3</v>
      </c>
      <c r="AI525" s="6">
        <v>0</v>
      </c>
      <c r="AJ525" s="6">
        <v>0.4</v>
      </c>
      <c r="AK525" s="6">
        <v>0.58899999999999997</v>
      </c>
      <c r="AL525" s="8">
        <v>1332.07</v>
      </c>
      <c r="AM525" s="6" t="s">
        <v>68</v>
      </c>
      <c r="AN525" s="6">
        <v>1</v>
      </c>
      <c r="AO525" s="6">
        <v>1</v>
      </c>
      <c r="AP525" s="6">
        <v>0</v>
      </c>
      <c r="AQ525" s="6">
        <v>1</v>
      </c>
      <c r="AR525" s="6">
        <v>0</v>
      </c>
      <c r="AS525" s="6">
        <v>1</v>
      </c>
      <c r="AT525" s="6">
        <v>0</v>
      </c>
      <c r="AU525" s="6">
        <v>2.2400000000000002</v>
      </c>
      <c r="AV525" s="6">
        <v>1.38</v>
      </c>
      <c r="AW525" s="6">
        <v>273.95999999999998</v>
      </c>
      <c r="AX525" s="6">
        <v>64.48</v>
      </c>
      <c r="AY525" s="6">
        <v>250.41</v>
      </c>
      <c r="AZ525" s="6">
        <v>43.3</v>
      </c>
      <c r="BA525" s="6">
        <v>32.4</v>
      </c>
    </row>
    <row r="526" spans="1:53" x14ac:dyDescent="0.3">
      <c r="A526" s="6">
        <v>520861681</v>
      </c>
      <c r="B526" s="6">
        <v>479201</v>
      </c>
      <c r="C526" s="6">
        <v>7550190</v>
      </c>
      <c r="D526" s="6">
        <v>5887</v>
      </c>
      <c r="E526" s="6" t="s">
        <v>106</v>
      </c>
      <c r="F526" s="6">
        <v>55944</v>
      </c>
      <c r="G526" s="6" t="s">
        <v>203</v>
      </c>
      <c r="H526" s="10">
        <v>45667</v>
      </c>
      <c r="I526" s="10">
        <v>45667</v>
      </c>
      <c r="J526" s="4">
        <v>45667.510416666664</v>
      </c>
      <c r="K526" s="4">
        <v>45667.80914351852</v>
      </c>
      <c r="L526" s="11">
        <v>45667.801504629628</v>
      </c>
      <c r="M526" s="10">
        <v>45667</v>
      </c>
      <c r="N526" s="6" t="s">
        <v>109</v>
      </c>
      <c r="O526" t="s">
        <v>118</v>
      </c>
      <c r="P526" s="6" t="s">
        <v>150</v>
      </c>
      <c r="Q526" t="s">
        <v>265</v>
      </c>
      <c r="R526" t="s">
        <v>73</v>
      </c>
      <c r="S526" s="6">
        <v>703172</v>
      </c>
      <c r="T526" s="6" t="s">
        <v>111</v>
      </c>
      <c r="U526">
        <v>296</v>
      </c>
      <c r="V526" s="6">
        <v>18.2</v>
      </c>
      <c r="W526" s="6">
        <v>29.8</v>
      </c>
      <c r="X526" s="6">
        <v>292.7</v>
      </c>
      <c r="Y526" s="6">
        <v>340.7</v>
      </c>
      <c r="Z526" s="6" t="s">
        <v>112</v>
      </c>
      <c r="AA526" t="s">
        <v>630</v>
      </c>
      <c r="AB526" s="6" t="s">
        <v>75</v>
      </c>
      <c r="AC526" t="s">
        <v>154</v>
      </c>
      <c r="AD526" t="s">
        <v>67</v>
      </c>
      <c r="AE526">
        <v>-11</v>
      </c>
      <c r="AF526">
        <v>16</v>
      </c>
      <c r="AG526">
        <v>0</v>
      </c>
      <c r="AH526" s="6">
        <v>50.2</v>
      </c>
      <c r="AI526" s="6">
        <v>0</v>
      </c>
      <c r="AJ526" s="6">
        <v>0.77</v>
      </c>
      <c r="AK526" s="6">
        <v>0.53300000000000003</v>
      </c>
      <c r="AL526" s="8">
        <v>13735.82</v>
      </c>
      <c r="AM526" s="6" t="s">
        <v>114</v>
      </c>
      <c r="AN526" s="6">
        <v>1</v>
      </c>
      <c r="AO526" s="6">
        <v>1</v>
      </c>
      <c r="AP526" s="6">
        <v>0</v>
      </c>
      <c r="AQ526" s="6">
        <v>1</v>
      </c>
      <c r="AR526" s="6">
        <v>0</v>
      </c>
      <c r="AS526" s="6">
        <v>1</v>
      </c>
      <c r="AT526" s="6">
        <v>0</v>
      </c>
      <c r="AU526" s="6">
        <v>2.54</v>
      </c>
      <c r="AV526" s="6">
        <v>1.81</v>
      </c>
      <c r="AW526" s="6">
        <v>235.7</v>
      </c>
      <c r="AX526" s="6">
        <v>62.45</v>
      </c>
      <c r="AY526" s="6">
        <v>231.84</v>
      </c>
      <c r="AZ526" s="6">
        <v>13.1</v>
      </c>
      <c r="BA526" s="6">
        <v>64.099999999999994</v>
      </c>
    </row>
    <row r="527" spans="1:53" x14ac:dyDescent="0.3">
      <c r="A527" s="6">
        <v>238460786</v>
      </c>
      <c r="B527" s="6">
        <v>358607</v>
      </c>
      <c r="C527" s="6">
        <v>5727085</v>
      </c>
      <c r="D527" s="6">
        <v>6864</v>
      </c>
      <c r="E527" s="6" t="s">
        <v>84</v>
      </c>
      <c r="F527" s="6">
        <v>57126</v>
      </c>
      <c r="G527" s="6" t="s">
        <v>164</v>
      </c>
      <c r="H527" s="10">
        <v>45798</v>
      </c>
      <c r="I527" s="10">
        <v>45798</v>
      </c>
      <c r="J527" s="4">
        <v>45798.413194444445</v>
      </c>
      <c r="K527" s="4">
        <v>45798.648865740739</v>
      </c>
      <c r="L527" s="11">
        <v>45798.629421296297</v>
      </c>
      <c r="M527" s="10">
        <v>45798</v>
      </c>
      <c r="N527" s="6" t="s">
        <v>109</v>
      </c>
      <c r="O527" t="s">
        <v>161</v>
      </c>
      <c r="P527" s="6" t="s">
        <v>103</v>
      </c>
      <c r="Q527" t="s">
        <v>285</v>
      </c>
      <c r="R527" t="s">
        <v>73</v>
      </c>
      <c r="S527" s="6">
        <v>714585</v>
      </c>
      <c r="T527" s="6" t="s">
        <v>1</v>
      </c>
      <c r="U527">
        <v>240</v>
      </c>
      <c r="V527" s="6">
        <v>9.5</v>
      </c>
      <c r="W527" s="6">
        <v>2.1</v>
      </c>
      <c r="X527" s="6">
        <v>240.7</v>
      </c>
      <c r="Y527" s="6">
        <v>252.3</v>
      </c>
      <c r="Z527" s="6" t="s">
        <v>63</v>
      </c>
      <c r="AA527" t="s">
        <v>424</v>
      </c>
      <c r="AB527" s="6" t="s">
        <v>97</v>
      </c>
      <c r="AC527" t="s">
        <v>125</v>
      </c>
      <c r="AD527" t="s">
        <v>67</v>
      </c>
      <c r="AE527">
        <v>-28</v>
      </c>
      <c r="AF527">
        <v>0</v>
      </c>
      <c r="AG527">
        <v>0</v>
      </c>
      <c r="AH527" s="6">
        <v>50.2</v>
      </c>
      <c r="AI527" s="6">
        <v>0</v>
      </c>
      <c r="AJ527" s="6">
        <v>0.65500000000000003</v>
      </c>
      <c r="AK527" s="6">
        <v>0.66800000000000004</v>
      </c>
      <c r="AL527" s="8">
        <v>1716.08</v>
      </c>
      <c r="AM527" s="6" t="s">
        <v>68</v>
      </c>
      <c r="AN527" s="6">
        <v>1</v>
      </c>
      <c r="AO527" s="6">
        <v>1</v>
      </c>
      <c r="AP527" s="6">
        <v>0</v>
      </c>
      <c r="AQ527" s="6">
        <v>1</v>
      </c>
      <c r="AR527" s="6">
        <v>0</v>
      </c>
      <c r="AS527" s="6">
        <v>1</v>
      </c>
      <c r="AT527" s="6">
        <v>0</v>
      </c>
      <c r="AU527" s="6">
        <v>2.08</v>
      </c>
      <c r="AV527" s="6">
        <v>1.32</v>
      </c>
      <c r="AW527" s="6">
        <v>216.69</v>
      </c>
      <c r="AX527" s="6">
        <v>51.11</v>
      </c>
      <c r="AY527" s="6">
        <v>161.18</v>
      </c>
      <c r="AZ527" s="6">
        <v>7.3</v>
      </c>
      <c r="BA527" s="6">
        <v>53.5</v>
      </c>
    </row>
    <row r="528" spans="1:53" x14ac:dyDescent="0.3">
      <c r="A528" s="6">
        <v>738920648</v>
      </c>
      <c r="B528" s="6">
        <v>731262</v>
      </c>
      <c r="C528" s="6">
        <v>4594297</v>
      </c>
      <c r="D528" s="6">
        <v>3558</v>
      </c>
      <c r="E528" s="6" t="s">
        <v>126</v>
      </c>
      <c r="F528" s="6">
        <v>50480</v>
      </c>
      <c r="G528" s="6" t="s">
        <v>149</v>
      </c>
      <c r="H528" s="10">
        <v>45709</v>
      </c>
      <c r="I528" s="10">
        <v>45709</v>
      </c>
      <c r="J528" s="4">
        <v>45709.513888888891</v>
      </c>
      <c r="K528" s="4">
        <v>45710.247199074074</v>
      </c>
      <c r="L528" s="11">
        <v>45710.24858796296</v>
      </c>
      <c r="M528" s="10">
        <v>45710</v>
      </c>
      <c r="N528" s="6" t="s">
        <v>59</v>
      </c>
      <c r="O528" t="s">
        <v>61</v>
      </c>
      <c r="P528" s="6" t="s">
        <v>132</v>
      </c>
      <c r="Q528" t="s">
        <v>181</v>
      </c>
      <c r="R528" t="s">
        <v>62</v>
      </c>
      <c r="S528" s="6">
        <v>774922</v>
      </c>
      <c r="T528" s="6" t="s">
        <v>140</v>
      </c>
      <c r="U528">
        <v>1036</v>
      </c>
      <c r="V528" s="6">
        <v>36.4</v>
      </c>
      <c r="W528" s="6">
        <v>24.4</v>
      </c>
      <c r="X528" s="6">
        <v>1030.4000000000001</v>
      </c>
      <c r="Y528" s="6">
        <v>1091.2</v>
      </c>
      <c r="Z528" s="6" t="s">
        <v>2</v>
      </c>
      <c r="AA528" t="s">
        <v>631</v>
      </c>
      <c r="AB528" s="6" t="s">
        <v>75</v>
      </c>
      <c r="AC528" t="s">
        <v>154</v>
      </c>
      <c r="AD528" t="s">
        <v>67</v>
      </c>
      <c r="AE528">
        <v>2</v>
      </c>
      <c r="AF528">
        <v>0</v>
      </c>
      <c r="AG528">
        <v>0</v>
      </c>
      <c r="AH528" s="6">
        <v>47.7</v>
      </c>
      <c r="AI528" s="6">
        <v>0</v>
      </c>
      <c r="AJ528" s="6">
        <v>0.50600000000000001</v>
      </c>
      <c r="AK528" s="6">
        <v>0.69299999999999995</v>
      </c>
      <c r="AL528" s="8">
        <v>2425.06</v>
      </c>
      <c r="AM528" s="6" t="s">
        <v>68</v>
      </c>
      <c r="AN528" s="6">
        <v>1</v>
      </c>
      <c r="AO528" s="6">
        <v>1</v>
      </c>
      <c r="AP528" s="6">
        <v>0</v>
      </c>
      <c r="AQ528" s="6">
        <v>1</v>
      </c>
      <c r="AR528" s="6">
        <v>0</v>
      </c>
      <c r="AS528" s="6">
        <v>1</v>
      </c>
      <c r="AT528" s="6">
        <v>0</v>
      </c>
      <c r="AU528" s="6">
        <v>2.2000000000000002</v>
      </c>
      <c r="AV528" s="6">
        <v>1.58</v>
      </c>
      <c r="AW528" s="6">
        <v>945.72</v>
      </c>
      <c r="AX528" s="6">
        <v>214.8</v>
      </c>
      <c r="AY528" s="6">
        <v>759.2</v>
      </c>
      <c r="AZ528" s="6">
        <v>10</v>
      </c>
      <c r="BA528" s="6">
        <v>81.8</v>
      </c>
    </row>
    <row r="529" spans="1:53" x14ac:dyDescent="0.3">
      <c r="A529" s="6">
        <v>861104727</v>
      </c>
      <c r="B529" s="6">
        <v>665492</v>
      </c>
      <c r="C529" s="6">
        <v>5960271</v>
      </c>
      <c r="D529" s="6">
        <v>7015</v>
      </c>
      <c r="E529" s="6" t="s">
        <v>84</v>
      </c>
      <c r="F529" s="6">
        <v>55263</v>
      </c>
      <c r="G529" s="6" t="s">
        <v>127</v>
      </c>
      <c r="H529" s="10">
        <v>45917</v>
      </c>
      <c r="I529" s="10">
        <v>45917</v>
      </c>
      <c r="J529" s="4">
        <v>45917.461805555555</v>
      </c>
      <c r="K529" s="4">
        <v>45918.0075462963</v>
      </c>
      <c r="L529" s="11">
        <v>45918.004074074073</v>
      </c>
      <c r="M529" s="10">
        <v>45918</v>
      </c>
      <c r="N529" s="6" t="s">
        <v>170</v>
      </c>
      <c r="O529" t="s">
        <v>189</v>
      </c>
      <c r="P529" s="6" t="s">
        <v>121</v>
      </c>
      <c r="Q529" t="s">
        <v>195</v>
      </c>
      <c r="R529" t="s">
        <v>123</v>
      </c>
      <c r="S529" s="6">
        <v>739953</v>
      </c>
      <c r="T529" s="6" t="s">
        <v>140</v>
      </c>
      <c r="U529">
        <v>668</v>
      </c>
      <c r="V529" s="6">
        <v>48.3</v>
      </c>
      <c r="W529" s="6">
        <v>22.9</v>
      </c>
      <c r="X529" s="6">
        <v>658.3</v>
      </c>
      <c r="Y529" s="6">
        <v>729.5</v>
      </c>
      <c r="Z529" s="6" t="s">
        <v>63</v>
      </c>
      <c r="AA529" t="s">
        <v>632</v>
      </c>
      <c r="AB529" s="6" t="s">
        <v>75</v>
      </c>
      <c r="AC529" t="s">
        <v>125</v>
      </c>
      <c r="AD529" t="s">
        <v>67</v>
      </c>
      <c r="AE529">
        <v>-5</v>
      </c>
      <c r="AF529">
        <v>0</v>
      </c>
      <c r="AG529">
        <v>0</v>
      </c>
      <c r="AH529" s="6">
        <v>75.2</v>
      </c>
      <c r="AI529" s="6">
        <v>0</v>
      </c>
      <c r="AJ529" s="6">
        <v>0.59699999999999998</v>
      </c>
      <c r="AK529" s="6">
        <v>0.52200000000000002</v>
      </c>
      <c r="AL529" s="8">
        <v>3811.37</v>
      </c>
      <c r="AM529" s="6" t="s">
        <v>68</v>
      </c>
      <c r="AN529" s="6">
        <v>1</v>
      </c>
      <c r="AO529" s="6">
        <v>1</v>
      </c>
      <c r="AP529" s="6">
        <v>0</v>
      </c>
      <c r="AQ529" s="6">
        <v>1</v>
      </c>
      <c r="AR529" s="6">
        <v>0</v>
      </c>
      <c r="AS529" s="6">
        <v>1</v>
      </c>
      <c r="AT529" s="6">
        <v>0</v>
      </c>
      <c r="AU529" s="6">
        <v>2.41</v>
      </c>
      <c r="AV529" s="6">
        <v>1.57</v>
      </c>
      <c r="AW529" s="6">
        <v>552.14</v>
      </c>
      <c r="AX529" s="6">
        <v>111.34</v>
      </c>
      <c r="AY529" s="6">
        <v>397.94</v>
      </c>
      <c r="AZ529" s="6">
        <v>5.6</v>
      </c>
      <c r="BA529" s="6">
        <v>1.9</v>
      </c>
    </row>
    <row r="530" spans="1:53" x14ac:dyDescent="0.3">
      <c r="A530" s="6">
        <v>190966348</v>
      </c>
      <c r="B530" s="6">
        <v>207175</v>
      </c>
      <c r="C530" s="6">
        <v>8077999</v>
      </c>
      <c r="D530" s="6">
        <v>4152</v>
      </c>
      <c r="E530" s="6" t="s">
        <v>142</v>
      </c>
      <c r="F530" s="6">
        <v>54094</v>
      </c>
      <c r="G530" s="6" t="s">
        <v>115</v>
      </c>
      <c r="H530" s="10">
        <v>45899</v>
      </c>
      <c r="I530" s="10">
        <v>45899</v>
      </c>
      <c r="J530" s="4">
        <v>45899.958333333336</v>
      </c>
      <c r="K530" s="4">
        <v>45900.020833333336</v>
      </c>
      <c r="L530" s="11">
        <v>45900.01666666667</v>
      </c>
      <c r="M530" s="10">
        <v>45900</v>
      </c>
      <c r="N530" s="6" t="s">
        <v>109</v>
      </c>
      <c r="O530" t="s">
        <v>161</v>
      </c>
      <c r="P530" s="6" t="s">
        <v>200</v>
      </c>
      <c r="Q530" t="s">
        <v>171</v>
      </c>
      <c r="R530" t="s">
        <v>62</v>
      </c>
      <c r="S530" s="6">
        <v>786969</v>
      </c>
      <c r="T530" s="6" t="s">
        <v>3</v>
      </c>
      <c r="U530">
        <v>30</v>
      </c>
      <c r="V530" s="6">
        <v>43.6</v>
      </c>
      <c r="W530" s="6">
        <v>1.2</v>
      </c>
      <c r="X530" s="6">
        <v>36.200000000000003</v>
      </c>
      <c r="Y530" s="6">
        <v>81</v>
      </c>
      <c r="Z530" s="6" t="s">
        <v>112</v>
      </c>
      <c r="AA530" t="s">
        <v>633</v>
      </c>
      <c r="AB530" s="6" t="s">
        <v>65</v>
      </c>
      <c r="AC530" t="s">
        <v>76</v>
      </c>
      <c r="AD530" t="s">
        <v>67</v>
      </c>
      <c r="AE530">
        <v>-6</v>
      </c>
      <c r="AF530">
        <v>0</v>
      </c>
      <c r="AG530">
        <v>0</v>
      </c>
      <c r="AH530" s="6">
        <v>61.2</v>
      </c>
      <c r="AI530" s="6">
        <v>0</v>
      </c>
      <c r="AJ530" s="6">
        <v>0.626</v>
      </c>
      <c r="AK530" s="6">
        <v>0.48099999999999998</v>
      </c>
      <c r="AL530" s="8">
        <v>4051.27</v>
      </c>
      <c r="AM530" s="6" t="s">
        <v>68</v>
      </c>
      <c r="AN530" s="6">
        <v>1</v>
      </c>
      <c r="AO530" s="6">
        <v>1</v>
      </c>
      <c r="AP530" s="6">
        <v>0</v>
      </c>
      <c r="AQ530" s="6">
        <v>1</v>
      </c>
      <c r="AR530" s="6">
        <v>0</v>
      </c>
      <c r="AS530" s="6">
        <v>1</v>
      </c>
      <c r="AT530" s="6">
        <v>0</v>
      </c>
      <c r="AU530" s="6">
        <v>2.23</v>
      </c>
      <c r="AV530" s="6">
        <v>1.46</v>
      </c>
      <c r="AW530" s="6">
        <v>61.56</v>
      </c>
      <c r="AX530" s="6">
        <v>14.43</v>
      </c>
      <c r="AY530" s="6">
        <v>43.17</v>
      </c>
      <c r="AZ530" s="6">
        <v>16.8</v>
      </c>
      <c r="BA530" s="6">
        <v>0.6</v>
      </c>
    </row>
    <row r="531" spans="1:53" x14ac:dyDescent="0.3">
      <c r="A531" s="6">
        <v>432411019</v>
      </c>
      <c r="B531" s="6">
        <v>260265</v>
      </c>
      <c r="C531" s="6">
        <v>8175395</v>
      </c>
      <c r="D531" s="6">
        <v>8280</v>
      </c>
      <c r="E531" s="6" t="s">
        <v>142</v>
      </c>
      <c r="F531" s="6">
        <v>56167</v>
      </c>
      <c r="G531" s="6" t="s">
        <v>146</v>
      </c>
      <c r="H531" s="10">
        <v>45674</v>
      </c>
      <c r="I531" s="10">
        <v>45674</v>
      </c>
      <c r="J531" s="4">
        <v>45674.881944444445</v>
      </c>
      <c r="K531" s="4">
        <v>45675.093402777777</v>
      </c>
      <c r="L531" s="11">
        <v>45675.194791666669</v>
      </c>
      <c r="M531" s="10">
        <v>45675</v>
      </c>
      <c r="N531" s="6" t="s">
        <v>78</v>
      </c>
      <c r="O531" t="s">
        <v>79</v>
      </c>
      <c r="P531" s="6" t="s">
        <v>86</v>
      </c>
      <c r="Q531" t="s">
        <v>268</v>
      </c>
      <c r="R531" t="s">
        <v>88</v>
      </c>
      <c r="S531" s="6">
        <v>702981</v>
      </c>
      <c r="T531" s="6" t="s">
        <v>1</v>
      </c>
      <c r="U531">
        <v>227</v>
      </c>
      <c r="V531" s="6">
        <v>12</v>
      </c>
      <c r="W531" s="6">
        <v>18.5</v>
      </c>
      <c r="X531" s="6">
        <v>223.1</v>
      </c>
      <c r="Y531" s="6">
        <v>253.6</v>
      </c>
      <c r="Z531" s="6" t="s">
        <v>112</v>
      </c>
      <c r="AA531" t="s">
        <v>634</v>
      </c>
      <c r="AB531" s="6" t="s">
        <v>65</v>
      </c>
      <c r="AC531" t="s">
        <v>154</v>
      </c>
      <c r="AD531" t="s">
        <v>206</v>
      </c>
      <c r="AE531">
        <v>146</v>
      </c>
      <c r="AF531">
        <v>195</v>
      </c>
      <c r="AG531">
        <v>0</v>
      </c>
      <c r="AH531" s="6">
        <v>48</v>
      </c>
      <c r="AI531" s="6">
        <v>0</v>
      </c>
      <c r="AJ531" s="6">
        <v>0.76100000000000001</v>
      </c>
      <c r="AK531" s="6">
        <v>0.2</v>
      </c>
      <c r="AL531" s="8">
        <v>828.69</v>
      </c>
      <c r="AM531" s="6" t="s">
        <v>68</v>
      </c>
      <c r="AN531" s="6">
        <v>1</v>
      </c>
      <c r="AO531" s="6">
        <v>0</v>
      </c>
      <c r="AP531" s="6">
        <v>1</v>
      </c>
      <c r="AQ531" s="6">
        <v>0</v>
      </c>
      <c r="AR531" s="6">
        <v>1</v>
      </c>
      <c r="AS531" s="6">
        <v>0</v>
      </c>
      <c r="AT531" s="6">
        <v>1</v>
      </c>
      <c r="AU531" s="6">
        <v>2.42</v>
      </c>
      <c r="AV531" s="6">
        <v>1.54</v>
      </c>
      <c r="AW531" s="6">
        <v>216.65</v>
      </c>
      <c r="AX531" s="6">
        <v>30.29</v>
      </c>
      <c r="AY531" s="6">
        <v>125.9</v>
      </c>
      <c r="AZ531" s="6">
        <v>14.2</v>
      </c>
      <c r="BA531" s="6">
        <v>47.4</v>
      </c>
    </row>
    <row r="532" spans="1:53" x14ac:dyDescent="0.3">
      <c r="A532" s="6">
        <v>700138002</v>
      </c>
      <c r="B532" s="6">
        <v>145561</v>
      </c>
      <c r="C532" s="6">
        <v>2564689</v>
      </c>
      <c r="D532" s="6">
        <v>1161</v>
      </c>
      <c r="E532" s="6" t="s">
        <v>101</v>
      </c>
      <c r="F532" s="6">
        <v>52793</v>
      </c>
      <c r="G532" s="6" t="s">
        <v>203</v>
      </c>
      <c r="H532" s="10">
        <v>45963</v>
      </c>
      <c r="I532" s="10">
        <v>45963</v>
      </c>
      <c r="J532" s="4">
        <v>45963.621527777781</v>
      </c>
      <c r="K532" s="4">
        <v>45963.725081018521</v>
      </c>
      <c r="L532" s="11">
        <v>45963.727164351854</v>
      </c>
      <c r="M532" s="10">
        <v>45963</v>
      </c>
      <c r="N532" s="6" t="s">
        <v>170</v>
      </c>
      <c r="O532" t="s">
        <v>189</v>
      </c>
      <c r="P532" s="6" t="s">
        <v>116</v>
      </c>
      <c r="Q532" t="s">
        <v>117</v>
      </c>
      <c r="R532" t="s">
        <v>123</v>
      </c>
      <c r="S532" s="6">
        <v>714728</v>
      </c>
      <c r="T532" s="6" t="s">
        <v>3</v>
      </c>
      <c r="U532">
        <v>101</v>
      </c>
      <c r="V532" s="6">
        <v>44.7</v>
      </c>
      <c r="W532" s="6">
        <v>17.100000000000001</v>
      </c>
      <c r="X532" s="6">
        <v>92.6</v>
      </c>
      <c r="Y532" s="6">
        <v>154.4</v>
      </c>
      <c r="Z532" s="6" t="s">
        <v>63</v>
      </c>
      <c r="AA532" t="s">
        <v>635</v>
      </c>
      <c r="AB532" s="6" t="s">
        <v>90</v>
      </c>
      <c r="AC532" t="s">
        <v>91</v>
      </c>
      <c r="AD532" t="s">
        <v>67</v>
      </c>
      <c r="AE532">
        <v>3</v>
      </c>
      <c r="AF532">
        <v>0</v>
      </c>
      <c r="AG532">
        <v>0</v>
      </c>
      <c r="AH532" s="6">
        <v>51.7</v>
      </c>
      <c r="AI532" s="6">
        <v>0</v>
      </c>
      <c r="AJ532" s="6">
        <v>0.35099999999999998</v>
      </c>
      <c r="AK532" s="6">
        <v>0.36699999999999999</v>
      </c>
      <c r="AL532" s="8">
        <v>2815.92</v>
      </c>
      <c r="AM532" s="6" t="s">
        <v>68</v>
      </c>
      <c r="AN532" s="6">
        <v>1</v>
      </c>
      <c r="AO532" s="6">
        <v>1</v>
      </c>
      <c r="AP532" s="6">
        <v>0</v>
      </c>
      <c r="AQ532" s="6">
        <v>1</v>
      </c>
      <c r="AR532" s="6">
        <v>0</v>
      </c>
      <c r="AS532" s="6">
        <v>1</v>
      </c>
      <c r="AT532" s="6">
        <v>0</v>
      </c>
      <c r="AU532" s="6">
        <v>2.14</v>
      </c>
      <c r="AV532" s="6">
        <v>1.44</v>
      </c>
      <c r="AW532" s="6">
        <v>131.46</v>
      </c>
      <c r="AX532" s="6">
        <v>28.32</v>
      </c>
      <c r="AY532" s="6">
        <v>96.05</v>
      </c>
      <c r="AZ532" s="6">
        <v>5.6</v>
      </c>
      <c r="BA532" s="6">
        <v>0</v>
      </c>
    </row>
    <row r="533" spans="1:53" x14ac:dyDescent="0.3">
      <c r="A533" s="6">
        <v>504456327</v>
      </c>
      <c r="B533" s="6">
        <v>220116</v>
      </c>
      <c r="C533" s="6">
        <v>6933742</v>
      </c>
      <c r="D533" s="6">
        <v>5218</v>
      </c>
      <c r="E533" s="6" t="s">
        <v>57</v>
      </c>
      <c r="F533" s="6">
        <v>52892</v>
      </c>
      <c r="G533" s="6" t="s">
        <v>127</v>
      </c>
      <c r="H533" s="10">
        <v>45748</v>
      </c>
      <c r="I533" s="10">
        <v>45748</v>
      </c>
      <c r="J533" s="4">
        <v>45748.420138888891</v>
      </c>
      <c r="K533" s="4">
        <v>45748.630057870374</v>
      </c>
      <c r="L533" s="11">
        <v>45748.607835648145</v>
      </c>
      <c r="M533" s="10">
        <v>45748</v>
      </c>
      <c r="N533" s="6" t="s">
        <v>150</v>
      </c>
      <c r="O533" t="s">
        <v>151</v>
      </c>
      <c r="P533" s="6" t="s">
        <v>170</v>
      </c>
      <c r="Q533" t="s">
        <v>183</v>
      </c>
      <c r="R533" t="s">
        <v>62</v>
      </c>
      <c r="S533" s="6">
        <v>769048</v>
      </c>
      <c r="T533" s="6" t="s">
        <v>1</v>
      </c>
      <c r="U533">
        <v>273</v>
      </c>
      <c r="V533" s="6">
        <v>-18.5</v>
      </c>
      <c r="W533" s="6">
        <v>34.5</v>
      </c>
      <c r="X533" s="6">
        <v>266.3</v>
      </c>
      <c r="Y533" s="6">
        <v>300.8</v>
      </c>
      <c r="Z533" s="6" t="s">
        <v>63</v>
      </c>
      <c r="AA533" t="s">
        <v>408</v>
      </c>
      <c r="AB533" s="6" t="s">
        <v>75</v>
      </c>
      <c r="AC533" t="s">
        <v>66</v>
      </c>
      <c r="AD533" t="s">
        <v>67</v>
      </c>
      <c r="AE533">
        <v>-32</v>
      </c>
      <c r="AF533">
        <v>0</v>
      </c>
      <c r="AG533">
        <v>0</v>
      </c>
      <c r="AH533" s="6">
        <v>37.700000000000003</v>
      </c>
      <c r="AI533" s="6">
        <v>0</v>
      </c>
      <c r="AJ533" s="6">
        <v>0.496</v>
      </c>
      <c r="AK533" s="6">
        <v>0.56599999999999995</v>
      </c>
      <c r="AL533" s="8">
        <v>1205.3699999999999</v>
      </c>
      <c r="AM533" s="6" t="s">
        <v>68</v>
      </c>
      <c r="AN533" s="6">
        <v>1</v>
      </c>
      <c r="AO533" s="6">
        <v>1</v>
      </c>
      <c r="AP533" s="6">
        <v>0</v>
      </c>
      <c r="AQ533" s="6">
        <v>1</v>
      </c>
      <c r="AR533" s="6">
        <v>0</v>
      </c>
      <c r="AS533" s="6">
        <v>1</v>
      </c>
      <c r="AT533" s="6">
        <v>0</v>
      </c>
      <c r="AU533" s="6">
        <v>1.91</v>
      </c>
      <c r="AV533" s="6">
        <v>1.18</v>
      </c>
      <c r="AW533" s="6">
        <v>264.69</v>
      </c>
      <c r="AX533" s="6">
        <v>56.46</v>
      </c>
      <c r="AY533" s="6">
        <v>180.22</v>
      </c>
      <c r="AZ533" s="6">
        <v>31.9</v>
      </c>
      <c r="BA533" s="6">
        <v>26.7</v>
      </c>
    </row>
    <row r="534" spans="1:53" x14ac:dyDescent="0.3">
      <c r="A534" s="6">
        <v>790945624</v>
      </c>
      <c r="B534" s="6">
        <v>287330</v>
      </c>
      <c r="C534" s="6">
        <v>4348276</v>
      </c>
      <c r="D534" s="6">
        <v>9338</v>
      </c>
      <c r="E534" s="6" t="s">
        <v>101</v>
      </c>
      <c r="F534" s="6">
        <v>51198</v>
      </c>
      <c r="G534" s="6" t="s">
        <v>164</v>
      </c>
      <c r="H534" s="10">
        <v>45815</v>
      </c>
      <c r="I534" s="10">
        <v>45815</v>
      </c>
      <c r="J534" s="4">
        <v>45815.569444444445</v>
      </c>
      <c r="K534" s="4">
        <v>45815.773379629631</v>
      </c>
      <c r="L534" s="11">
        <v>45815.861574074072</v>
      </c>
      <c r="M534" s="10">
        <v>45815</v>
      </c>
      <c r="N534" s="6" t="s">
        <v>93</v>
      </c>
      <c r="O534" t="s">
        <v>94</v>
      </c>
      <c r="P534" s="6" t="s">
        <v>132</v>
      </c>
      <c r="Q534" t="s">
        <v>328</v>
      </c>
      <c r="R534" t="s">
        <v>62</v>
      </c>
      <c r="S534" s="6">
        <v>747876</v>
      </c>
      <c r="T534" s="6" t="s">
        <v>1</v>
      </c>
      <c r="U534">
        <v>238</v>
      </c>
      <c r="V534" s="6">
        <v>11.7</v>
      </c>
      <c r="W534" s="6">
        <v>9.1999999999999993</v>
      </c>
      <c r="X534" s="6">
        <v>237.4</v>
      </c>
      <c r="Y534" s="6">
        <v>258.3</v>
      </c>
      <c r="Z534" s="6" t="s">
        <v>2</v>
      </c>
      <c r="AA534" t="s">
        <v>636</v>
      </c>
      <c r="AB534" s="6" t="s">
        <v>75</v>
      </c>
      <c r="AC534" t="s">
        <v>76</v>
      </c>
      <c r="AD534" t="s">
        <v>188</v>
      </c>
      <c r="AE534">
        <v>127</v>
      </c>
      <c r="AF534">
        <v>0</v>
      </c>
      <c r="AG534">
        <v>3.3</v>
      </c>
      <c r="AH534" s="6">
        <v>48.6</v>
      </c>
      <c r="AI534" s="6">
        <v>0</v>
      </c>
      <c r="AJ534" s="6">
        <v>0.68</v>
      </c>
      <c r="AK534" s="6">
        <v>0.76800000000000002</v>
      </c>
      <c r="AL534" s="8">
        <v>20199.93</v>
      </c>
      <c r="AM534" s="6" t="s">
        <v>114</v>
      </c>
      <c r="AN534" s="6">
        <v>1</v>
      </c>
      <c r="AO534" s="6">
        <v>0</v>
      </c>
      <c r="AP534" s="6">
        <v>1</v>
      </c>
      <c r="AQ534" s="6">
        <v>0</v>
      </c>
      <c r="AR534" s="6">
        <v>1</v>
      </c>
      <c r="AS534" s="6">
        <v>0</v>
      </c>
      <c r="AT534" s="6">
        <v>1</v>
      </c>
      <c r="AU534" s="6">
        <v>2.63</v>
      </c>
      <c r="AV534" s="6">
        <v>1.71</v>
      </c>
      <c r="AW534" s="6">
        <v>210.17</v>
      </c>
      <c r="AX534" s="6">
        <v>50.67</v>
      </c>
      <c r="AY534" s="6">
        <v>174.22</v>
      </c>
      <c r="AZ534" s="6">
        <v>17.5</v>
      </c>
      <c r="BA534" s="6">
        <v>70.8</v>
      </c>
    </row>
    <row r="535" spans="1:53" x14ac:dyDescent="0.3">
      <c r="A535" s="6">
        <v>950040559</v>
      </c>
      <c r="B535" s="6">
        <v>500156</v>
      </c>
      <c r="C535" s="6">
        <v>3138181</v>
      </c>
      <c r="D535" s="6">
        <v>7528</v>
      </c>
      <c r="E535" s="6" t="s">
        <v>57</v>
      </c>
      <c r="F535" s="6">
        <v>58011</v>
      </c>
      <c r="G535" s="6" t="s">
        <v>102</v>
      </c>
      <c r="H535" s="10">
        <v>45901</v>
      </c>
      <c r="I535" s="10">
        <v>45901</v>
      </c>
      <c r="J535" s="4">
        <v>45901.621527777781</v>
      </c>
      <c r="K535" s="4">
        <v>45902.180358796293</v>
      </c>
      <c r="L535" s="11">
        <v>45902.196331018517</v>
      </c>
      <c r="M535" s="10">
        <v>45902</v>
      </c>
      <c r="N535" s="6" t="s">
        <v>132</v>
      </c>
      <c r="O535" t="s">
        <v>181</v>
      </c>
      <c r="P535" s="6" t="s">
        <v>150</v>
      </c>
      <c r="Q535" t="s">
        <v>311</v>
      </c>
      <c r="R535" t="s">
        <v>73</v>
      </c>
      <c r="S535" s="6">
        <v>712046</v>
      </c>
      <c r="T535" s="6" t="s">
        <v>140</v>
      </c>
      <c r="U535">
        <v>659</v>
      </c>
      <c r="V535" s="6">
        <v>67.900000000000006</v>
      </c>
      <c r="W535" s="6">
        <v>20.8</v>
      </c>
      <c r="X535" s="6">
        <v>668.5</v>
      </c>
      <c r="Y535" s="6">
        <v>757.2</v>
      </c>
      <c r="Z535" s="6" t="s">
        <v>63</v>
      </c>
      <c r="AA535" t="s">
        <v>637</v>
      </c>
      <c r="AB535" s="6" t="s">
        <v>90</v>
      </c>
      <c r="AC535" t="s">
        <v>83</v>
      </c>
      <c r="AD535" t="s">
        <v>67</v>
      </c>
      <c r="AE535">
        <v>23</v>
      </c>
      <c r="AF535">
        <v>47</v>
      </c>
      <c r="AG535">
        <v>0</v>
      </c>
      <c r="AH535" s="6">
        <v>52</v>
      </c>
      <c r="AI535" s="6">
        <v>0</v>
      </c>
      <c r="AJ535" s="6">
        <v>0.78200000000000003</v>
      </c>
      <c r="AK535" s="6">
        <v>0.754</v>
      </c>
      <c r="AL535" s="8">
        <v>88789.25</v>
      </c>
      <c r="AM535" s="6" t="s">
        <v>155</v>
      </c>
      <c r="AN535" s="6">
        <v>1</v>
      </c>
      <c r="AO535" s="6">
        <v>0</v>
      </c>
      <c r="AP535" s="6">
        <v>1</v>
      </c>
      <c r="AQ535" s="6">
        <v>0</v>
      </c>
      <c r="AR535" s="6">
        <v>1</v>
      </c>
      <c r="AS535" s="6">
        <v>0</v>
      </c>
      <c r="AT535" s="6">
        <v>1</v>
      </c>
      <c r="AU535" s="6">
        <v>2.14</v>
      </c>
      <c r="AV535" s="6">
        <v>1.61</v>
      </c>
      <c r="AW535" s="6">
        <v>511.69</v>
      </c>
      <c r="AX535" s="6">
        <v>150.01</v>
      </c>
      <c r="AY535" s="6">
        <v>450.92</v>
      </c>
      <c r="AZ535" s="6">
        <v>24.1</v>
      </c>
      <c r="BA535" s="6">
        <v>37.799999999999997</v>
      </c>
    </row>
    <row r="536" spans="1:53" x14ac:dyDescent="0.3">
      <c r="A536" s="6">
        <v>452699013</v>
      </c>
      <c r="B536" s="6">
        <v>549245</v>
      </c>
      <c r="C536" s="6">
        <v>5213115</v>
      </c>
      <c r="D536" s="6">
        <v>1663</v>
      </c>
      <c r="E536" s="6" t="s">
        <v>225</v>
      </c>
      <c r="F536" s="6">
        <v>52372</v>
      </c>
      <c r="G536" s="6" t="s">
        <v>102</v>
      </c>
      <c r="H536" s="10">
        <v>45814</v>
      </c>
      <c r="I536" s="10">
        <v>45814</v>
      </c>
      <c r="J536" s="4">
        <v>45814.385416666664</v>
      </c>
      <c r="K536" s="4">
        <v>45814.723460648151</v>
      </c>
      <c r="L536" s="11">
        <v>45814.703321759262</v>
      </c>
      <c r="M536" s="10">
        <v>45814</v>
      </c>
      <c r="N536" s="6" t="s">
        <v>59</v>
      </c>
      <c r="O536" t="s">
        <v>61</v>
      </c>
      <c r="P536" s="6" t="s">
        <v>70</v>
      </c>
      <c r="Q536" t="s">
        <v>322</v>
      </c>
      <c r="R536" t="s">
        <v>73</v>
      </c>
      <c r="S536" s="6">
        <v>736170</v>
      </c>
      <c r="T536" s="6" t="s">
        <v>111</v>
      </c>
      <c r="U536">
        <v>414</v>
      </c>
      <c r="V536" s="6">
        <v>28.6</v>
      </c>
      <c r="W536" s="6">
        <v>31.4</v>
      </c>
      <c r="X536" s="6">
        <v>413.2</v>
      </c>
      <c r="Y536" s="6">
        <v>473.2</v>
      </c>
      <c r="Z536" s="6" t="s">
        <v>2</v>
      </c>
      <c r="AA536" t="s">
        <v>100</v>
      </c>
      <c r="AB536" s="6" t="s">
        <v>97</v>
      </c>
      <c r="AC536" t="s">
        <v>154</v>
      </c>
      <c r="AD536" t="s">
        <v>67</v>
      </c>
      <c r="AE536">
        <v>-29</v>
      </c>
      <c r="AF536">
        <v>0</v>
      </c>
      <c r="AG536">
        <v>0</v>
      </c>
      <c r="AH536" s="6">
        <v>46.4</v>
      </c>
      <c r="AI536" s="6">
        <v>0</v>
      </c>
      <c r="AJ536" s="6">
        <v>0.68300000000000005</v>
      </c>
      <c r="AK536" s="6">
        <v>0.72899999999999998</v>
      </c>
      <c r="AL536" s="8">
        <v>9294.57</v>
      </c>
      <c r="AM536" s="6" t="s">
        <v>114</v>
      </c>
      <c r="AN536" s="6">
        <v>1</v>
      </c>
      <c r="AO536" s="6">
        <v>1</v>
      </c>
      <c r="AP536" s="6">
        <v>0</v>
      </c>
      <c r="AQ536" s="6">
        <v>1</v>
      </c>
      <c r="AR536" s="6">
        <v>0</v>
      </c>
      <c r="AS536" s="6">
        <v>1</v>
      </c>
      <c r="AT536" s="6">
        <v>0</v>
      </c>
      <c r="AU536" s="6">
        <v>2.19</v>
      </c>
      <c r="AV536" s="6">
        <v>1.37</v>
      </c>
      <c r="AW536" s="6">
        <v>371.42</v>
      </c>
      <c r="AX536" s="6">
        <v>72.3</v>
      </c>
      <c r="AY536" s="6">
        <v>250.22</v>
      </c>
      <c r="AZ536" s="6">
        <v>7.6</v>
      </c>
      <c r="BA536" s="6">
        <v>37.5</v>
      </c>
    </row>
    <row r="537" spans="1:53" x14ac:dyDescent="0.3">
      <c r="A537" s="6">
        <v>973150512</v>
      </c>
      <c r="B537" s="6">
        <v>955662</v>
      </c>
      <c r="C537" s="6">
        <v>8315831</v>
      </c>
      <c r="D537" s="6">
        <v>9445</v>
      </c>
      <c r="E537" s="6" t="s">
        <v>84</v>
      </c>
      <c r="F537" s="6">
        <v>51892</v>
      </c>
      <c r="G537" s="6" t="s">
        <v>203</v>
      </c>
      <c r="H537" s="10">
        <v>45819</v>
      </c>
      <c r="I537" s="10">
        <v>45819</v>
      </c>
      <c r="J537" s="4">
        <v>45819.402777777781</v>
      </c>
      <c r="K537" s="4">
        <v>45819.465277777781</v>
      </c>
      <c r="L537" s="11">
        <v>45819.475694444445</v>
      </c>
      <c r="M537" s="10">
        <v>45819</v>
      </c>
      <c r="N537" s="6" t="s">
        <v>78</v>
      </c>
      <c r="O537" t="s">
        <v>79</v>
      </c>
      <c r="P537" s="6" t="s">
        <v>170</v>
      </c>
      <c r="Q537" t="s">
        <v>183</v>
      </c>
      <c r="R537" t="s">
        <v>62</v>
      </c>
      <c r="S537" s="6">
        <v>705882</v>
      </c>
      <c r="T537" s="6" t="s">
        <v>3</v>
      </c>
      <c r="U537">
        <v>28</v>
      </c>
      <c r="V537" s="6">
        <v>52.1</v>
      </c>
      <c r="W537" s="6">
        <v>41</v>
      </c>
      <c r="X537" s="6">
        <v>31.5</v>
      </c>
      <c r="Y537" s="6">
        <v>124.6</v>
      </c>
      <c r="Z537" s="6" t="s">
        <v>80</v>
      </c>
      <c r="AA537" t="s">
        <v>518</v>
      </c>
      <c r="AB537" s="6" t="s">
        <v>97</v>
      </c>
      <c r="AC537" t="s">
        <v>125</v>
      </c>
      <c r="AD537" t="s">
        <v>188</v>
      </c>
      <c r="AE537">
        <v>15</v>
      </c>
      <c r="AF537">
        <v>0</v>
      </c>
      <c r="AG537">
        <v>3.7</v>
      </c>
      <c r="AH537" s="6">
        <v>24.7</v>
      </c>
      <c r="AI537" s="6">
        <v>0</v>
      </c>
      <c r="AJ537" s="6">
        <v>0.63300000000000001</v>
      </c>
      <c r="AK537" s="6">
        <v>0.62</v>
      </c>
      <c r="AL537" s="8">
        <v>114242.56</v>
      </c>
      <c r="AM537" s="6" t="s">
        <v>155</v>
      </c>
      <c r="AN537" s="6">
        <v>1</v>
      </c>
      <c r="AO537" s="6">
        <v>1</v>
      </c>
      <c r="AP537" s="6">
        <v>0</v>
      </c>
      <c r="AQ537" s="6">
        <v>1</v>
      </c>
      <c r="AR537" s="6">
        <v>0</v>
      </c>
      <c r="AS537" s="6">
        <v>1</v>
      </c>
      <c r="AT537" s="6">
        <v>0</v>
      </c>
      <c r="AU537" s="6">
        <v>1.93</v>
      </c>
      <c r="AV537" s="6">
        <v>1.52</v>
      </c>
      <c r="AW537" s="6">
        <v>91.55</v>
      </c>
      <c r="AX537" s="6">
        <v>25.97</v>
      </c>
      <c r="AY537" s="6">
        <v>84.02</v>
      </c>
      <c r="AZ537" s="6">
        <v>18.100000000000001</v>
      </c>
      <c r="BA537" s="6">
        <v>40.6</v>
      </c>
    </row>
    <row r="538" spans="1:53" x14ac:dyDescent="0.3">
      <c r="A538" s="6">
        <v>237217505</v>
      </c>
      <c r="B538" s="6">
        <v>198246</v>
      </c>
      <c r="C538" s="6">
        <v>9626108</v>
      </c>
      <c r="D538" s="6">
        <v>5555</v>
      </c>
      <c r="E538" s="6" t="s">
        <v>57</v>
      </c>
      <c r="F538" s="6">
        <v>55790</v>
      </c>
      <c r="G538" s="6" t="s">
        <v>69</v>
      </c>
      <c r="H538" s="10">
        <v>45681</v>
      </c>
      <c r="I538" s="10">
        <v>45681</v>
      </c>
      <c r="J538" s="4">
        <v>45681.038194444445</v>
      </c>
      <c r="K538" s="4">
        <v>45681.136840277781</v>
      </c>
      <c r="L538" s="11">
        <v>45681.1403125</v>
      </c>
      <c r="M538" s="10">
        <v>45681</v>
      </c>
      <c r="N538" s="6" t="s">
        <v>132</v>
      </c>
      <c r="O538" t="s">
        <v>328</v>
      </c>
      <c r="P538" s="6" t="s">
        <v>116</v>
      </c>
      <c r="Q538" t="s">
        <v>128</v>
      </c>
      <c r="R538" t="s">
        <v>123</v>
      </c>
      <c r="S538" s="6">
        <v>742039</v>
      </c>
      <c r="T538" s="6" t="s">
        <v>3</v>
      </c>
      <c r="U538">
        <v>81</v>
      </c>
      <c r="V538" s="6">
        <v>25.1</v>
      </c>
      <c r="W538" s="6">
        <v>18.2</v>
      </c>
      <c r="X538" s="6">
        <v>78.7</v>
      </c>
      <c r="Y538" s="6">
        <v>122</v>
      </c>
      <c r="Z538" s="6" t="s">
        <v>80</v>
      </c>
      <c r="AA538" t="s">
        <v>479</v>
      </c>
      <c r="AB538" s="6" t="s">
        <v>82</v>
      </c>
      <c r="AC538" t="s">
        <v>154</v>
      </c>
      <c r="AD538" t="s">
        <v>67</v>
      </c>
      <c r="AE538">
        <v>5</v>
      </c>
      <c r="AF538">
        <v>0</v>
      </c>
      <c r="AG538">
        <v>0</v>
      </c>
      <c r="AH538" s="6">
        <v>54.5</v>
      </c>
      <c r="AI538" s="6">
        <v>0</v>
      </c>
      <c r="AJ538" s="6">
        <v>0.63300000000000001</v>
      </c>
      <c r="AK538" s="6">
        <v>0.52700000000000002</v>
      </c>
      <c r="AL538" s="8">
        <v>116076.11</v>
      </c>
      <c r="AM538" s="6" t="s">
        <v>155</v>
      </c>
      <c r="AN538" s="6">
        <v>1</v>
      </c>
      <c r="AO538" s="6">
        <v>1</v>
      </c>
      <c r="AP538" s="6">
        <v>0</v>
      </c>
      <c r="AQ538" s="6">
        <v>1</v>
      </c>
      <c r="AR538" s="6">
        <v>0</v>
      </c>
      <c r="AS538" s="6">
        <v>1</v>
      </c>
      <c r="AT538" s="6">
        <v>0</v>
      </c>
      <c r="AU538" s="6">
        <v>2.42</v>
      </c>
      <c r="AV538" s="6">
        <v>1.67</v>
      </c>
      <c r="AW538" s="6">
        <v>76.63</v>
      </c>
      <c r="AX538" s="6">
        <v>26.56</v>
      </c>
      <c r="AY538" s="6">
        <v>71.900000000000006</v>
      </c>
      <c r="AZ538" s="6">
        <v>11.5</v>
      </c>
      <c r="BA538" s="6">
        <v>0</v>
      </c>
    </row>
    <row r="539" spans="1:53" x14ac:dyDescent="0.3">
      <c r="A539" s="6">
        <v>819532005</v>
      </c>
      <c r="B539" s="6">
        <v>838797</v>
      </c>
      <c r="C539" s="6">
        <v>5785687</v>
      </c>
      <c r="D539" s="6">
        <v>9571</v>
      </c>
      <c r="E539" s="6" t="s">
        <v>101</v>
      </c>
      <c r="F539" s="6">
        <v>51883</v>
      </c>
      <c r="G539" s="6" t="s">
        <v>127</v>
      </c>
      <c r="H539" s="10">
        <v>45804</v>
      </c>
      <c r="I539" s="10">
        <v>45804</v>
      </c>
      <c r="J539" s="4">
        <v>45804.159722222219</v>
      </c>
      <c r="K539" s="4">
        <v>45804.443101851852</v>
      </c>
      <c r="L539" s="11">
        <v>45804.551435185182</v>
      </c>
      <c r="M539" s="10">
        <v>45804</v>
      </c>
      <c r="N539" s="6" t="s">
        <v>200</v>
      </c>
      <c r="O539" t="s">
        <v>171</v>
      </c>
      <c r="P539" s="6" t="s">
        <v>176</v>
      </c>
      <c r="Q539" t="s">
        <v>355</v>
      </c>
      <c r="R539" t="s">
        <v>88</v>
      </c>
      <c r="S539" s="6">
        <v>749362</v>
      </c>
      <c r="T539" s="6" t="s">
        <v>1</v>
      </c>
      <c r="U539">
        <v>260</v>
      </c>
      <c r="V539" s="6">
        <v>36.5</v>
      </c>
      <c r="W539" s="6">
        <v>25.7</v>
      </c>
      <c r="X539" s="6">
        <v>261.10000000000002</v>
      </c>
      <c r="Y539" s="6">
        <v>323.3</v>
      </c>
      <c r="Z539" s="6" t="s">
        <v>63</v>
      </c>
      <c r="AA539" t="s">
        <v>638</v>
      </c>
      <c r="AB539" s="6" t="s">
        <v>82</v>
      </c>
      <c r="AC539" t="s">
        <v>66</v>
      </c>
      <c r="AD539" t="s">
        <v>192</v>
      </c>
      <c r="AE539">
        <v>156</v>
      </c>
      <c r="AF539">
        <v>0</v>
      </c>
      <c r="AG539">
        <v>0</v>
      </c>
      <c r="AH539" s="6">
        <v>68.900000000000006</v>
      </c>
      <c r="AI539" s="6">
        <v>0</v>
      </c>
      <c r="AJ539" s="6">
        <v>0.70699999999999996</v>
      </c>
      <c r="AK539" s="6">
        <v>0.77400000000000002</v>
      </c>
      <c r="AL539" s="8">
        <v>2540.29</v>
      </c>
      <c r="AM539" s="6" t="s">
        <v>68</v>
      </c>
      <c r="AN539" s="6">
        <v>1</v>
      </c>
      <c r="AO539" s="6">
        <v>0</v>
      </c>
      <c r="AP539" s="6">
        <v>1</v>
      </c>
      <c r="AQ539" s="6">
        <v>0</v>
      </c>
      <c r="AR539" s="6">
        <v>1</v>
      </c>
      <c r="AS539" s="6">
        <v>0</v>
      </c>
      <c r="AT539" s="6">
        <v>1</v>
      </c>
      <c r="AU539" s="6">
        <v>2.56</v>
      </c>
      <c r="AV539" s="6">
        <v>1.55</v>
      </c>
      <c r="AW539" s="6">
        <v>219.5</v>
      </c>
      <c r="AX539" s="6">
        <v>70.27</v>
      </c>
      <c r="AY539" s="6">
        <v>229.35</v>
      </c>
      <c r="AZ539" s="6">
        <v>12.8</v>
      </c>
      <c r="BA539" s="6">
        <v>89.7</v>
      </c>
    </row>
    <row r="540" spans="1:53" x14ac:dyDescent="0.3">
      <c r="A540" s="6">
        <v>854658900</v>
      </c>
      <c r="B540" s="6">
        <v>145561</v>
      </c>
      <c r="C540" s="6">
        <v>2564689</v>
      </c>
      <c r="D540" s="6">
        <v>1161</v>
      </c>
      <c r="E540" s="6" t="s">
        <v>101</v>
      </c>
      <c r="F540" s="6">
        <v>55467</v>
      </c>
      <c r="G540" s="6" t="s">
        <v>164</v>
      </c>
      <c r="H540" s="10">
        <v>45937</v>
      </c>
      <c r="I540" s="10">
        <v>45937</v>
      </c>
      <c r="J540" s="4">
        <v>45937.291666666664</v>
      </c>
      <c r="K540" s="4">
        <v>45937.662453703706</v>
      </c>
      <c r="L540" s="11">
        <v>45937.646481481483</v>
      </c>
      <c r="M540" s="10">
        <v>45937</v>
      </c>
      <c r="N540" s="6" t="s">
        <v>93</v>
      </c>
      <c r="O540" t="s">
        <v>144</v>
      </c>
      <c r="P540" s="6" t="s">
        <v>78</v>
      </c>
      <c r="Q540" t="s">
        <v>79</v>
      </c>
      <c r="R540" t="s">
        <v>88</v>
      </c>
      <c r="S540" s="6">
        <v>761759</v>
      </c>
      <c r="T540" s="6" t="s">
        <v>1</v>
      </c>
      <c r="U540">
        <v>312</v>
      </c>
      <c r="V540" s="6">
        <v>40.5</v>
      </c>
      <c r="W540" s="6">
        <v>30.9</v>
      </c>
      <c r="X540" s="6">
        <v>310.8</v>
      </c>
      <c r="Y540" s="6">
        <v>382.2</v>
      </c>
      <c r="Z540" s="6" t="s">
        <v>63</v>
      </c>
      <c r="AA540" t="s">
        <v>639</v>
      </c>
      <c r="AB540" s="6" t="s">
        <v>97</v>
      </c>
      <c r="AC540" t="s">
        <v>66</v>
      </c>
      <c r="AD540" t="s">
        <v>67</v>
      </c>
      <c r="AE540">
        <v>-23</v>
      </c>
      <c r="AF540">
        <v>0</v>
      </c>
      <c r="AG540">
        <v>1.9</v>
      </c>
      <c r="AH540" s="6">
        <v>48.3</v>
      </c>
      <c r="AI540" s="6">
        <v>0</v>
      </c>
      <c r="AJ540" s="6">
        <v>0.39900000000000002</v>
      </c>
      <c r="AK540" s="6">
        <v>0.94899999999999995</v>
      </c>
      <c r="AL540" s="8">
        <v>1479.19</v>
      </c>
      <c r="AM540" s="6" t="s">
        <v>68</v>
      </c>
      <c r="AN540" s="6">
        <v>1</v>
      </c>
      <c r="AO540" s="6">
        <v>1</v>
      </c>
      <c r="AP540" s="6">
        <v>0</v>
      </c>
      <c r="AQ540" s="6">
        <v>1</v>
      </c>
      <c r="AR540" s="6">
        <v>0</v>
      </c>
      <c r="AS540" s="6">
        <v>1</v>
      </c>
      <c r="AT540" s="6">
        <v>0</v>
      </c>
      <c r="AU540" s="6">
        <v>2.0099999999999998</v>
      </c>
      <c r="AV540" s="6">
        <v>1.58</v>
      </c>
      <c r="AW540" s="6">
        <v>260.54000000000002</v>
      </c>
      <c r="AX540" s="6">
        <v>65.09</v>
      </c>
      <c r="AY540" s="6">
        <v>232.48</v>
      </c>
      <c r="AZ540" s="6">
        <v>5.6</v>
      </c>
      <c r="BA540" s="6">
        <v>0.3</v>
      </c>
    </row>
    <row r="541" spans="1:53" x14ac:dyDescent="0.3">
      <c r="A541" s="6">
        <v>990087914</v>
      </c>
      <c r="B541" s="6">
        <v>781446</v>
      </c>
      <c r="C541" s="6">
        <v>6098175</v>
      </c>
      <c r="D541" s="6">
        <v>2693</v>
      </c>
      <c r="E541" s="6" t="s">
        <v>211</v>
      </c>
      <c r="F541" s="6">
        <v>50797</v>
      </c>
      <c r="G541" s="6" t="s">
        <v>127</v>
      </c>
      <c r="H541" s="10">
        <v>45992</v>
      </c>
      <c r="I541" s="10">
        <v>45992</v>
      </c>
      <c r="J541" s="4">
        <v>45992.520833333336</v>
      </c>
      <c r="K541" s="4">
        <v>45992.678252314814</v>
      </c>
      <c r="L541" s="11">
        <v>45992.63380787037</v>
      </c>
      <c r="M541" s="10">
        <v>45992</v>
      </c>
      <c r="N541" s="6" t="s">
        <v>86</v>
      </c>
      <c r="O541" t="s">
        <v>243</v>
      </c>
      <c r="P541" s="6" t="s">
        <v>86</v>
      </c>
      <c r="Q541" t="s">
        <v>87</v>
      </c>
      <c r="R541" t="s">
        <v>88</v>
      </c>
      <c r="S541" s="6">
        <v>742558</v>
      </c>
      <c r="T541" s="6" t="s">
        <v>1</v>
      </c>
      <c r="U541">
        <v>160</v>
      </c>
      <c r="V541" s="6">
        <v>16.899999999999999</v>
      </c>
      <c r="W541" s="6">
        <v>29.5</v>
      </c>
      <c r="X541" s="6">
        <v>163.4</v>
      </c>
      <c r="Y541" s="6">
        <v>209.8</v>
      </c>
      <c r="Z541" s="6" t="s">
        <v>80</v>
      </c>
      <c r="AA541" t="s">
        <v>428</v>
      </c>
      <c r="AB541" s="6" t="s">
        <v>75</v>
      </c>
      <c r="AC541" t="s">
        <v>83</v>
      </c>
      <c r="AD541" t="s">
        <v>67</v>
      </c>
      <c r="AE541">
        <v>-64</v>
      </c>
      <c r="AF541">
        <v>0</v>
      </c>
      <c r="AG541">
        <v>0</v>
      </c>
      <c r="AH541" s="6">
        <v>93.7</v>
      </c>
      <c r="AI541" s="6">
        <v>0</v>
      </c>
      <c r="AJ541" s="6">
        <v>0.72299999999999998</v>
      </c>
      <c r="AK541" s="6">
        <v>0.66</v>
      </c>
      <c r="AL541" s="8">
        <v>1394.58</v>
      </c>
      <c r="AM541" s="6" t="s">
        <v>68</v>
      </c>
      <c r="AN541" s="6">
        <v>1</v>
      </c>
      <c r="AO541" s="6">
        <v>1</v>
      </c>
      <c r="AP541" s="6">
        <v>0</v>
      </c>
      <c r="AQ541" s="6">
        <v>1</v>
      </c>
      <c r="AR541" s="6">
        <v>0</v>
      </c>
      <c r="AS541" s="6">
        <v>1</v>
      </c>
      <c r="AT541" s="6">
        <v>0</v>
      </c>
      <c r="AU541" s="6">
        <v>2.0099999999999998</v>
      </c>
      <c r="AV541" s="6">
        <v>1.37</v>
      </c>
      <c r="AW541" s="6">
        <v>135.26</v>
      </c>
      <c r="AX541" s="6">
        <v>35.07</v>
      </c>
      <c r="AY541" s="6">
        <v>106.58</v>
      </c>
      <c r="AZ541" s="6">
        <v>13.3</v>
      </c>
      <c r="BA541" s="6">
        <v>15.8</v>
      </c>
    </row>
    <row r="542" spans="1:53" x14ac:dyDescent="0.3">
      <c r="A542" s="6">
        <v>893253262</v>
      </c>
      <c r="B542" s="6">
        <v>472528</v>
      </c>
      <c r="C542" s="6">
        <v>4117625</v>
      </c>
      <c r="D542" s="6">
        <v>7278</v>
      </c>
      <c r="E542" s="6" t="s">
        <v>101</v>
      </c>
      <c r="F542" s="6">
        <v>58209</v>
      </c>
      <c r="G542" s="6" t="s">
        <v>149</v>
      </c>
      <c r="H542" s="10">
        <v>45808</v>
      </c>
      <c r="I542" s="10">
        <v>45808</v>
      </c>
      <c r="J542" s="4">
        <v>45808.715277777781</v>
      </c>
      <c r="K542" s="4">
        <v>45809.195393518516</v>
      </c>
      <c r="L542" s="11">
        <v>45809.182199074072</v>
      </c>
      <c r="M542" s="10">
        <v>45809</v>
      </c>
      <c r="N542" s="6" t="s">
        <v>176</v>
      </c>
      <c r="O542" t="s">
        <v>355</v>
      </c>
      <c r="P542" s="6" t="s">
        <v>116</v>
      </c>
      <c r="Q542" t="s">
        <v>117</v>
      </c>
      <c r="R542" t="s">
        <v>123</v>
      </c>
      <c r="S542" s="6">
        <v>774899</v>
      </c>
      <c r="T542" s="6" t="s">
        <v>140</v>
      </c>
      <c r="U542">
        <v>490</v>
      </c>
      <c r="V542" s="6">
        <v>28.2</v>
      </c>
      <c r="W542" s="6">
        <v>3.2</v>
      </c>
      <c r="X542" s="6">
        <v>483.2</v>
      </c>
      <c r="Y542" s="6">
        <v>514.6</v>
      </c>
      <c r="Z542" s="6" t="s">
        <v>63</v>
      </c>
      <c r="AA542" t="s">
        <v>640</v>
      </c>
      <c r="AB542" s="6" t="s">
        <v>90</v>
      </c>
      <c r="AC542" t="s">
        <v>76</v>
      </c>
      <c r="AD542" t="s">
        <v>67</v>
      </c>
      <c r="AE542">
        <v>-19</v>
      </c>
      <c r="AF542">
        <v>0</v>
      </c>
      <c r="AG542">
        <v>0</v>
      </c>
      <c r="AH542" s="6">
        <v>67.7</v>
      </c>
      <c r="AI542" s="6">
        <v>0</v>
      </c>
      <c r="AJ542" s="6">
        <v>0.753</v>
      </c>
      <c r="AK542" s="6">
        <v>0.92500000000000004</v>
      </c>
      <c r="AL542" s="8">
        <v>5171.75</v>
      </c>
      <c r="AM542" s="6" t="s">
        <v>68</v>
      </c>
      <c r="AN542" s="6">
        <v>1</v>
      </c>
      <c r="AO542" s="6">
        <v>1</v>
      </c>
      <c r="AP542" s="6">
        <v>0</v>
      </c>
      <c r="AQ542" s="6">
        <v>1</v>
      </c>
      <c r="AR542" s="6">
        <v>0</v>
      </c>
      <c r="AS542" s="6">
        <v>1</v>
      </c>
      <c r="AT542" s="6">
        <v>0</v>
      </c>
      <c r="AU542" s="6">
        <v>2.33</v>
      </c>
      <c r="AV542" s="6">
        <v>1.64</v>
      </c>
      <c r="AW542" s="6">
        <v>389.04</v>
      </c>
      <c r="AX542" s="6">
        <v>79.7</v>
      </c>
      <c r="AY542" s="6">
        <v>352.11</v>
      </c>
      <c r="AZ542" s="6">
        <v>20.5</v>
      </c>
      <c r="BA542" s="6">
        <v>74.7</v>
      </c>
    </row>
    <row r="543" spans="1:53" x14ac:dyDescent="0.3">
      <c r="A543" s="6">
        <v>835958147</v>
      </c>
      <c r="B543" s="6">
        <v>379786</v>
      </c>
      <c r="C543" s="6">
        <v>3726327</v>
      </c>
      <c r="D543" s="6">
        <v>9004</v>
      </c>
      <c r="E543" s="6" t="s">
        <v>126</v>
      </c>
      <c r="F543" s="6">
        <v>58235</v>
      </c>
      <c r="G543" s="6" t="s">
        <v>77</v>
      </c>
      <c r="H543" s="10">
        <v>45812</v>
      </c>
      <c r="I543" s="10">
        <v>45812</v>
      </c>
      <c r="J543" s="4">
        <v>45812.430555555555</v>
      </c>
      <c r="K543" s="4">
        <v>45813.083668981482</v>
      </c>
      <c r="L543" s="11">
        <v>45813.103113425925</v>
      </c>
      <c r="M543" s="10">
        <v>45813</v>
      </c>
      <c r="N543" s="6" t="s">
        <v>59</v>
      </c>
      <c r="O543" t="s">
        <v>167</v>
      </c>
      <c r="P543" s="6" t="s">
        <v>200</v>
      </c>
      <c r="Q543" t="s">
        <v>201</v>
      </c>
      <c r="R543" t="s">
        <v>62</v>
      </c>
      <c r="S543" s="6">
        <v>771620</v>
      </c>
      <c r="T543" s="6" t="s">
        <v>140</v>
      </c>
      <c r="U543">
        <v>790</v>
      </c>
      <c r="V543" s="6">
        <v>38.799999999999997</v>
      </c>
      <c r="W543" s="6">
        <v>25</v>
      </c>
      <c r="X543" s="6">
        <v>790.5</v>
      </c>
      <c r="Y543" s="6">
        <v>854.3</v>
      </c>
      <c r="Z543" s="6" t="s">
        <v>63</v>
      </c>
      <c r="AA543" t="s">
        <v>641</v>
      </c>
      <c r="AB543" s="6" t="s">
        <v>75</v>
      </c>
      <c r="AC543" t="s">
        <v>125</v>
      </c>
      <c r="AD543" t="s">
        <v>67</v>
      </c>
      <c r="AE543">
        <v>28</v>
      </c>
      <c r="AF543">
        <v>0</v>
      </c>
      <c r="AG543">
        <v>0</v>
      </c>
      <c r="AH543" s="6">
        <v>70.7</v>
      </c>
      <c r="AI543" s="6">
        <v>0</v>
      </c>
      <c r="AJ543" s="6">
        <v>0.53500000000000003</v>
      </c>
      <c r="AK543" s="6">
        <v>0.54100000000000004</v>
      </c>
      <c r="AL543" s="8">
        <v>66997.960000000006</v>
      </c>
      <c r="AM543" s="6" t="s">
        <v>155</v>
      </c>
      <c r="AN543" s="6">
        <v>1</v>
      </c>
      <c r="AO543" s="6">
        <v>0</v>
      </c>
      <c r="AP543" s="6">
        <v>1</v>
      </c>
      <c r="AQ543" s="6">
        <v>0</v>
      </c>
      <c r="AR543" s="6">
        <v>1</v>
      </c>
      <c r="AS543" s="6">
        <v>0</v>
      </c>
      <c r="AT543" s="6">
        <v>1</v>
      </c>
      <c r="AU543" s="6">
        <v>1.89</v>
      </c>
      <c r="AV543" s="6">
        <v>1.17</v>
      </c>
      <c r="AW543" s="6">
        <v>659.87</v>
      </c>
      <c r="AX543" s="6">
        <v>116.16</v>
      </c>
      <c r="AY543" s="6">
        <v>590.16999999999996</v>
      </c>
      <c r="AZ543" s="6">
        <v>55.8</v>
      </c>
      <c r="BA543" s="6">
        <v>41.1</v>
      </c>
    </row>
    <row r="544" spans="1:53" x14ac:dyDescent="0.3">
      <c r="A544" s="6">
        <v>665210546</v>
      </c>
      <c r="B544" s="6">
        <v>724834</v>
      </c>
      <c r="C544" s="6">
        <v>1701771</v>
      </c>
      <c r="D544" s="6">
        <v>6249</v>
      </c>
      <c r="E544" s="6" t="s">
        <v>142</v>
      </c>
      <c r="F544" s="6">
        <v>50154</v>
      </c>
      <c r="G544" s="6" t="s">
        <v>69</v>
      </c>
      <c r="H544" s="10">
        <v>45914</v>
      </c>
      <c r="I544" s="10">
        <v>45914</v>
      </c>
      <c r="J544" s="4">
        <v>45914.302083333336</v>
      </c>
      <c r="K544" s="4">
        <v>45914.511076388888</v>
      </c>
      <c r="L544" s="11">
        <v>45914.583298611113</v>
      </c>
      <c r="M544" s="10">
        <v>45914</v>
      </c>
      <c r="N544" s="6" t="s">
        <v>59</v>
      </c>
      <c r="O544" t="s">
        <v>167</v>
      </c>
      <c r="P544" s="6" t="s">
        <v>70</v>
      </c>
      <c r="Q544" t="s">
        <v>322</v>
      </c>
      <c r="R544" t="s">
        <v>73</v>
      </c>
      <c r="S544" s="6">
        <v>736170</v>
      </c>
      <c r="T544" s="6" t="s">
        <v>1</v>
      </c>
      <c r="U544">
        <v>256</v>
      </c>
      <c r="V544" s="6">
        <v>37</v>
      </c>
      <c r="W544" s="6">
        <v>41.1</v>
      </c>
      <c r="X544" s="6">
        <v>256.89999999999998</v>
      </c>
      <c r="Y544" s="6">
        <v>335</v>
      </c>
      <c r="Z544" s="6" t="s">
        <v>2</v>
      </c>
      <c r="AA544" t="s">
        <v>439</v>
      </c>
      <c r="AB544" s="6" t="s">
        <v>97</v>
      </c>
      <c r="AC544" t="s">
        <v>91</v>
      </c>
      <c r="AD544" t="s">
        <v>192</v>
      </c>
      <c r="AE544">
        <v>104</v>
      </c>
      <c r="AF544">
        <v>0</v>
      </c>
      <c r="AG544">
        <v>0</v>
      </c>
      <c r="AH544" s="6">
        <v>52.4</v>
      </c>
      <c r="AI544" s="6">
        <v>0</v>
      </c>
      <c r="AJ544" s="6">
        <v>0.51700000000000002</v>
      </c>
      <c r="AK544" s="6">
        <v>0.441</v>
      </c>
      <c r="AL544" s="8">
        <v>1985.07</v>
      </c>
      <c r="AM544" s="6" t="s">
        <v>68</v>
      </c>
      <c r="AN544" s="6">
        <v>1</v>
      </c>
      <c r="AO544" s="6">
        <v>0</v>
      </c>
      <c r="AP544" s="6">
        <v>1</v>
      </c>
      <c r="AQ544" s="6">
        <v>0</v>
      </c>
      <c r="AR544" s="6">
        <v>1</v>
      </c>
      <c r="AS544" s="6">
        <v>0</v>
      </c>
      <c r="AT544" s="6">
        <v>1</v>
      </c>
      <c r="AU544" s="6">
        <v>2.2599999999999998</v>
      </c>
      <c r="AV544" s="6">
        <v>1.48</v>
      </c>
      <c r="AW544" s="6">
        <v>241.87</v>
      </c>
      <c r="AX544" s="6">
        <v>46.92</v>
      </c>
      <c r="AY544" s="6">
        <v>196.61</v>
      </c>
      <c r="AZ544" s="6">
        <v>4.4000000000000004</v>
      </c>
      <c r="BA544" s="6">
        <v>7</v>
      </c>
    </row>
    <row r="545" spans="1:53" x14ac:dyDescent="0.3">
      <c r="A545" s="6">
        <v>200344359</v>
      </c>
      <c r="B545" s="6">
        <v>733052</v>
      </c>
      <c r="C545" s="6">
        <v>2642635</v>
      </c>
      <c r="D545" s="6">
        <v>8989</v>
      </c>
      <c r="E545" s="6" t="s">
        <v>84</v>
      </c>
      <c r="F545" s="6">
        <v>54962</v>
      </c>
      <c r="G545" s="6" t="s">
        <v>175</v>
      </c>
      <c r="H545" s="10">
        <v>46002</v>
      </c>
      <c r="I545" s="10">
        <v>46002</v>
      </c>
      <c r="J545" s="4">
        <v>46002.25</v>
      </c>
      <c r="K545" s="4">
        <v>46003.106608796297</v>
      </c>
      <c r="L545" s="11">
        <v>46003.316331018519</v>
      </c>
      <c r="M545" s="10">
        <v>46003</v>
      </c>
      <c r="N545" s="6" t="s">
        <v>132</v>
      </c>
      <c r="O545" t="s">
        <v>328</v>
      </c>
      <c r="P545" s="6" t="s">
        <v>121</v>
      </c>
      <c r="Q545" t="s">
        <v>143</v>
      </c>
      <c r="R545" t="s">
        <v>123</v>
      </c>
      <c r="S545" s="6">
        <v>788047</v>
      </c>
      <c r="T545" s="6" t="s">
        <v>140</v>
      </c>
      <c r="U545">
        <v>930</v>
      </c>
      <c r="V545" s="6">
        <v>19.2</v>
      </c>
      <c r="W545" s="6">
        <v>17.899999999999999</v>
      </c>
      <c r="X545" s="6">
        <v>932.4</v>
      </c>
      <c r="Y545" s="6">
        <v>969.5</v>
      </c>
      <c r="Z545" s="6" t="s">
        <v>2</v>
      </c>
      <c r="AA545" t="s">
        <v>642</v>
      </c>
      <c r="AB545" s="6" t="s">
        <v>97</v>
      </c>
      <c r="AC545" t="s">
        <v>137</v>
      </c>
      <c r="AD545" t="s">
        <v>188</v>
      </c>
      <c r="AE545">
        <v>302</v>
      </c>
      <c r="AF545">
        <v>0</v>
      </c>
      <c r="AG545">
        <v>3.3</v>
      </c>
      <c r="AH545" s="6">
        <v>60.4</v>
      </c>
      <c r="AI545" s="6">
        <v>0</v>
      </c>
      <c r="AJ545" s="6">
        <v>0.60299999999999998</v>
      </c>
      <c r="AK545" s="6">
        <v>0.77</v>
      </c>
      <c r="AL545" s="8">
        <v>23200.52</v>
      </c>
      <c r="AM545" s="6" t="s">
        <v>114</v>
      </c>
      <c r="AN545" s="6">
        <v>1</v>
      </c>
      <c r="AO545" s="6">
        <v>0</v>
      </c>
      <c r="AP545" s="6">
        <v>1</v>
      </c>
      <c r="AQ545" s="6">
        <v>0</v>
      </c>
      <c r="AR545" s="6">
        <v>1</v>
      </c>
      <c r="AS545" s="6">
        <v>0</v>
      </c>
      <c r="AT545" s="6">
        <v>1</v>
      </c>
      <c r="AU545" s="6">
        <v>2.89</v>
      </c>
      <c r="AV545" s="6">
        <v>2.12</v>
      </c>
      <c r="AW545" s="6">
        <v>721.02</v>
      </c>
      <c r="AX545" s="6">
        <v>122.05</v>
      </c>
      <c r="AY545" s="6">
        <v>471.41</v>
      </c>
      <c r="AZ545" s="6">
        <v>11.9</v>
      </c>
      <c r="BA545" s="6">
        <v>16.2</v>
      </c>
    </row>
    <row r="546" spans="1:53" x14ac:dyDescent="0.3">
      <c r="A546" s="6">
        <v>793663866</v>
      </c>
      <c r="B546" s="6">
        <v>946335</v>
      </c>
      <c r="C546" s="6">
        <v>1247595</v>
      </c>
      <c r="D546" s="6">
        <v>6675</v>
      </c>
      <c r="E546" s="6" t="s">
        <v>84</v>
      </c>
      <c r="F546" s="6">
        <v>54080</v>
      </c>
      <c r="G546" s="6" t="s">
        <v>77</v>
      </c>
      <c r="H546" s="10">
        <v>45755</v>
      </c>
      <c r="I546" s="10">
        <v>45755</v>
      </c>
      <c r="J546" s="4">
        <v>45755.430555555555</v>
      </c>
      <c r="K546" s="4">
        <v>45755.564317129632</v>
      </c>
      <c r="L546" s="11">
        <v>45755.71570601852</v>
      </c>
      <c r="M546" s="10">
        <v>45755</v>
      </c>
      <c r="N546" s="6" t="s">
        <v>176</v>
      </c>
      <c r="O546" t="s">
        <v>292</v>
      </c>
      <c r="P546" s="6" t="s">
        <v>176</v>
      </c>
      <c r="Q546" t="s">
        <v>292</v>
      </c>
      <c r="R546" t="s">
        <v>88</v>
      </c>
      <c r="S546" s="6">
        <v>745653</v>
      </c>
      <c r="T546" s="6" t="s">
        <v>1</v>
      </c>
      <c r="U546">
        <v>146</v>
      </c>
      <c r="V546" s="6">
        <v>32.799999999999997</v>
      </c>
      <c r="W546" s="6">
        <v>23.8</v>
      </c>
      <c r="X546" s="6">
        <v>137.9</v>
      </c>
      <c r="Y546" s="6">
        <v>194.5</v>
      </c>
      <c r="Z546" s="6" t="s">
        <v>63</v>
      </c>
      <c r="AA546" t="s">
        <v>532</v>
      </c>
      <c r="AB546" s="6" t="s">
        <v>75</v>
      </c>
      <c r="AC546" t="s">
        <v>66</v>
      </c>
      <c r="AD546" t="s">
        <v>206</v>
      </c>
      <c r="AE546">
        <v>218</v>
      </c>
      <c r="AF546">
        <v>376</v>
      </c>
      <c r="AG546">
        <v>0</v>
      </c>
      <c r="AH546" s="6">
        <v>70.099999999999994</v>
      </c>
      <c r="AI546" s="6">
        <v>0</v>
      </c>
      <c r="AJ546" s="6">
        <v>0.67300000000000004</v>
      </c>
      <c r="AK546" s="6">
        <v>0.26600000000000001</v>
      </c>
      <c r="AL546" s="8">
        <v>15483.8</v>
      </c>
      <c r="AM546" s="6" t="s">
        <v>114</v>
      </c>
      <c r="AN546" s="6">
        <v>1</v>
      </c>
      <c r="AO546" s="6">
        <v>0</v>
      </c>
      <c r="AP546" s="6">
        <v>1</v>
      </c>
      <c r="AQ546" s="6">
        <v>0</v>
      </c>
      <c r="AR546" s="6">
        <v>1</v>
      </c>
      <c r="AS546" s="6">
        <v>0</v>
      </c>
      <c r="AT546" s="6">
        <v>1</v>
      </c>
      <c r="AU546" s="6">
        <v>2.09</v>
      </c>
      <c r="AV546" s="6">
        <v>1.27</v>
      </c>
      <c r="AW546" s="6">
        <v>152.65</v>
      </c>
      <c r="AX546" s="6">
        <v>41.76</v>
      </c>
      <c r="AY546" s="6">
        <v>94.75</v>
      </c>
      <c r="AZ546" s="6">
        <v>32.6</v>
      </c>
      <c r="BA546" s="6">
        <v>6.5</v>
      </c>
    </row>
    <row r="547" spans="1:53" x14ac:dyDescent="0.3">
      <c r="A547" s="6">
        <v>819896690</v>
      </c>
      <c r="B547" s="6">
        <v>969693</v>
      </c>
      <c r="C547" s="6">
        <v>3762152</v>
      </c>
      <c r="D547" s="6">
        <v>8916</v>
      </c>
      <c r="E547" s="6" t="s">
        <v>101</v>
      </c>
      <c r="F547" s="6">
        <v>58050</v>
      </c>
      <c r="G547" s="6" t="s">
        <v>69</v>
      </c>
      <c r="H547" s="10">
        <v>45818</v>
      </c>
      <c r="I547" s="10">
        <v>45818</v>
      </c>
      <c r="J547" s="4">
        <v>45818.305555555555</v>
      </c>
      <c r="K547" s="4">
        <v>45818.589687500003</v>
      </c>
      <c r="L547" s="11">
        <v>45818.591770833336</v>
      </c>
      <c r="M547" s="10">
        <v>45818</v>
      </c>
      <c r="N547" s="6" t="s">
        <v>116</v>
      </c>
      <c r="O547" t="s">
        <v>128</v>
      </c>
      <c r="P547" s="6" t="s">
        <v>116</v>
      </c>
      <c r="Q547" t="s">
        <v>117</v>
      </c>
      <c r="R547" t="s">
        <v>123</v>
      </c>
      <c r="S547" s="6">
        <v>748114</v>
      </c>
      <c r="T547" s="6" t="s">
        <v>111</v>
      </c>
      <c r="U547">
        <v>350</v>
      </c>
      <c r="V547" s="6">
        <v>38.6</v>
      </c>
      <c r="W547" s="6">
        <v>35.200000000000003</v>
      </c>
      <c r="X547" s="6">
        <v>347.1</v>
      </c>
      <c r="Y547" s="6">
        <v>420.9</v>
      </c>
      <c r="Z547" s="6" t="s">
        <v>63</v>
      </c>
      <c r="AA547" t="s">
        <v>643</v>
      </c>
      <c r="AB547" s="6" t="s">
        <v>97</v>
      </c>
      <c r="AC547" t="s">
        <v>66</v>
      </c>
      <c r="AD547" t="s">
        <v>67</v>
      </c>
      <c r="AE547">
        <v>3</v>
      </c>
      <c r="AF547">
        <v>0</v>
      </c>
      <c r="AG547">
        <v>0</v>
      </c>
      <c r="AH547" s="6">
        <v>31.6</v>
      </c>
      <c r="AI547" s="6">
        <v>0</v>
      </c>
      <c r="AJ547" s="6">
        <v>0.89200000000000002</v>
      </c>
      <c r="AK547" s="6">
        <v>0.65100000000000002</v>
      </c>
      <c r="AL547" s="8">
        <v>89658.9</v>
      </c>
      <c r="AM547" s="6" t="s">
        <v>155</v>
      </c>
      <c r="AN547" s="6">
        <v>1</v>
      </c>
      <c r="AO547" s="6">
        <v>1</v>
      </c>
      <c r="AP547" s="6">
        <v>0</v>
      </c>
      <c r="AQ547" s="6">
        <v>1</v>
      </c>
      <c r="AR547" s="6">
        <v>0</v>
      </c>
      <c r="AS547" s="6">
        <v>1</v>
      </c>
      <c r="AT547" s="6">
        <v>0</v>
      </c>
      <c r="AU547" s="6">
        <v>2.5</v>
      </c>
      <c r="AV547" s="6">
        <v>1.76</v>
      </c>
      <c r="AW547" s="6">
        <v>276.17</v>
      </c>
      <c r="AX547" s="6">
        <v>73.400000000000006</v>
      </c>
      <c r="AY547" s="6">
        <v>237.5</v>
      </c>
      <c r="AZ547" s="6">
        <v>28.3</v>
      </c>
      <c r="BA547" s="6">
        <v>44.6</v>
      </c>
    </row>
    <row r="548" spans="1:53" x14ac:dyDescent="0.3">
      <c r="A548" s="6">
        <v>554629125</v>
      </c>
      <c r="B548" s="6">
        <v>816751</v>
      </c>
      <c r="C548" s="6">
        <v>3011363</v>
      </c>
      <c r="D548" s="6">
        <v>9996</v>
      </c>
      <c r="E548" s="6" t="s">
        <v>185</v>
      </c>
      <c r="F548" s="6">
        <v>55947</v>
      </c>
      <c r="G548" s="6" t="s">
        <v>175</v>
      </c>
      <c r="H548" s="10">
        <v>45948</v>
      </c>
      <c r="I548" s="10">
        <v>45948</v>
      </c>
      <c r="J548" s="4">
        <v>45948.493055555555</v>
      </c>
      <c r="K548" s="4">
        <v>45948.678090277775</v>
      </c>
      <c r="L548" s="11">
        <v>45948.694062499999</v>
      </c>
      <c r="M548" s="10">
        <v>45948</v>
      </c>
      <c r="N548" s="6" t="s">
        <v>200</v>
      </c>
      <c r="O548" t="s">
        <v>171</v>
      </c>
      <c r="P548" s="6" t="s">
        <v>93</v>
      </c>
      <c r="Q548" t="s">
        <v>144</v>
      </c>
      <c r="R548" t="s">
        <v>73</v>
      </c>
      <c r="S548" s="6">
        <v>754594</v>
      </c>
      <c r="T548" s="6" t="s">
        <v>1</v>
      </c>
      <c r="U548">
        <v>215</v>
      </c>
      <c r="V548" s="6">
        <v>9.6999999999999993</v>
      </c>
      <c r="W548" s="6">
        <v>15.3</v>
      </c>
      <c r="X548" s="6">
        <v>218.6</v>
      </c>
      <c r="Y548" s="6">
        <v>243.6</v>
      </c>
      <c r="Z548" s="6" t="s">
        <v>63</v>
      </c>
      <c r="AA548" t="s">
        <v>454</v>
      </c>
      <c r="AB548" s="6" t="s">
        <v>75</v>
      </c>
      <c r="AC548" t="s">
        <v>76</v>
      </c>
      <c r="AD548" t="s">
        <v>67</v>
      </c>
      <c r="AE548">
        <v>23</v>
      </c>
      <c r="AF548">
        <v>0</v>
      </c>
      <c r="AG548">
        <v>0</v>
      </c>
      <c r="AH548" s="6">
        <v>43.8</v>
      </c>
      <c r="AI548" s="6">
        <v>0</v>
      </c>
      <c r="AJ548" s="6">
        <v>0.59899999999999998</v>
      </c>
      <c r="AK548" s="6">
        <v>0.68899999999999995</v>
      </c>
      <c r="AL548" s="8">
        <v>19176.86</v>
      </c>
      <c r="AM548" s="6" t="s">
        <v>114</v>
      </c>
      <c r="AN548" s="6">
        <v>1</v>
      </c>
      <c r="AO548" s="6">
        <v>0</v>
      </c>
      <c r="AP548" s="6">
        <v>1</v>
      </c>
      <c r="AQ548" s="6">
        <v>0</v>
      </c>
      <c r="AR548" s="6">
        <v>1</v>
      </c>
      <c r="AS548" s="6">
        <v>0</v>
      </c>
      <c r="AT548" s="6">
        <v>1</v>
      </c>
      <c r="AU548" s="6">
        <v>2.14</v>
      </c>
      <c r="AV548" s="6">
        <v>1.57</v>
      </c>
      <c r="AW548" s="6">
        <v>192.12</v>
      </c>
      <c r="AX548" s="6">
        <v>51.68</v>
      </c>
      <c r="AY548" s="6">
        <v>158.80000000000001</v>
      </c>
      <c r="AZ548" s="6">
        <v>13.3</v>
      </c>
      <c r="BA548" s="6">
        <v>33.6</v>
      </c>
    </row>
    <row r="549" spans="1:53" x14ac:dyDescent="0.3">
      <c r="A549" s="6">
        <v>645985356</v>
      </c>
      <c r="B549" s="6">
        <v>946335</v>
      </c>
      <c r="C549" s="6">
        <v>1247595</v>
      </c>
      <c r="D549" s="6">
        <v>6675</v>
      </c>
      <c r="E549" s="6" t="s">
        <v>84</v>
      </c>
      <c r="F549" s="6">
        <v>59617</v>
      </c>
      <c r="G549" s="6" t="s">
        <v>98</v>
      </c>
      <c r="H549" s="10">
        <v>45880</v>
      </c>
      <c r="I549" s="10">
        <v>45880</v>
      </c>
      <c r="J549" s="4">
        <v>45880.930555555555</v>
      </c>
      <c r="K549" s="4">
        <v>45880.993055555555</v>
      </c>
      <c r="L549" s="11">
        <v>45880.99722222222</v>
      </c>
      <c r="M549" s="10">
        <v>45880</v>
      </c>
      <c r="N549" s="6" t="s">
        <v>59</v>
      </c>
      <c r="O549" t="s">
        <v>99</v>
      </c>
      <c r="P549" s="6" t="s">
        <v>200</v>
      </c>
      <c r="Q549" t="s">
        <v>201</v>
      </c>
      <c r="R549" t="s">
        <v>62</v>
      </c>
      <c r="S549" s="6">
        <v>771620</v>
      </c>
      <c r="T549" s="6" t="s">
        <v>3</v>
      </c>
      <c r="U549">
        <v>49</v>
      </c>
      <c r="V549" s="6">
        <v>6.1</v>
      </c>
      <c r="W549" s="6">
        <v>25</v>
      </c>
      <c r="X549" s="6">
        <v>50.4</v>
      </c>
      <c r="Y549" s="6">
        <v>81.5</v>
      </c>
      <c r="Z549" s="6" t="s">
        <v>63</v>
      </c>
      <c r="AA549" t="s">
        <v>386</v>
      </c>
      <c r="AB549" s="6" t="s">
        <v>65</v>
      </c>
      <c r="AC549" t="s">
        <v>83</v>
      </c>
      <c r="AD549" t="s">
        <v>67</v>
      </c>
      <c r="AE549">
        <v>6</v>
      </c>
      <c r="AF549">
        <v>0</v>
      </c>
      <c r="AG549">
        <v>0</v>
      </c>
      <c r="AH549" s="6">
        <v>59.2</v>
      </c>
      <c r="AI549" s="6">
        <v>0</v>
      </c>
      <c r="AJ549" s="6">
        <v>0.83</v>
      </c>
      <c r="AK549" s="6">
        <v>0.59299999999999997</v>
      </c>
      <c r="AL549" s="8">
        <v>5056.6099999999997</v>
      </c>
      <c r="AM549" s="6" t="s">
        <v>68</v>
      </c>
      <c r="AN549" s="6">
        <v>1</v>
      </c>
      <c r="AO549" s="6">
        <v>1</v>
      </c>
      <c r="AP549" s="6">
        <v>0</v>
      </c>
      <c r="AQ549" s="6">
        <v>1</v>
      </c>
      <c r="AR549" s="6">
        <v>0</v>
      </c>
      <c r="AS549" s="6">
        <v>1</v>
      </c>
      <c r="AT549" s="6">
        <v>0</v>
      </c>
      <c r="AU549" s="6">
        <v>1.77</v>
      </c>
      <c r="AV549" s="6">
        <v>1.03</v>
      </c>
      <c r="AW549" s="6">
        <v>67.89</v>
      </c>
      <c r="AX549" s="6">
        <v>11.94</v>
      </c>
      <c r="AY549" s="6">
        <v>45.6</v>
      </c>
      <c r="AZ549" s="6">
        <v>32.6</v>
      </c>
      <c r="BA549" s="6">
        <v>12.9</v>
      </c>
    </row>
    <row r="550" spans="1:53" x14ac:dyDescent="0.3">
      <c r="A550" s="6">
        <v>488509962</v>
      </c>
      <c r="B550" s="6">
        <v>216739</v>
      </c>
      <c r="C550" s="6">
        <v>8574680</v>
      </c>
      <c r="D550" s="6">
        <v>1860</v>
      </c>
      <c r="E550" s="6" t="s">
        <v>106</v>
      </c>
      <c r="F550" s="6">
        <v>54320</v>
      </c>
      <c r="G550" s="6" t="s">
        <v>102</v>
      </c>
      <c r="H550" s="10">
        <v>45698</v>
      </c>
      <c r="I550" s="10">
        <v>45698</v>
      </c>
      <c r="J550" s="4">
        <v>45698.326388888891</v>
      </c>
      <c r="K550" s="4">
        <v>45699.177546296298</v>
      </c>
      <c r="L550" s="11">
        <v>45699.163657407407</v>
      </c>
      <c r="M550" s="10">
        <v>45699</v>
      </c>
      <c r="N550" s="6" t="s">
        <v>78</v>
      </c>
      <c r="O550" t="s">
        <v>166</v>
      </c>
      <c r="P550" s="6" t="s">
        <v>86</v>
      </c>
      <c r="Q550" t="s">
        <v>87</v>
      </c>
      <c r="R550" t="s">
        <v>88</v>
      </c>
      <c r="S550" s="6">
        <v>702981</v>
      </c>
      <c r="T550" s="6" t="s">
        <v>140</v>
      </c>
      <c r="U550">
        <v>970</v>
      </c>
      <c r="V550" s="6">
        <v>13.4</v>
      </c>
      <c r="W550" s="6">
        <v>12.8</v>
      </c>
      <c r="X550" s="6">
        <v>980.4</v>
      </c>
      <c r="Y550" s="6">
        <v>1006.6</v>
      </c>
      <c r="Z550" s="6" t="s">
        <v>80</v>
      </c>
      <c r="AA550" t="s">
        <v>644</v>
      </c>
      <c r="AB550" s="6" t="s">
        <v>97</v>
      </c>
      <c r="AC550" t="s">
        <v>83</v>
      </c>
      <c r="AD550" t="s">
        <v>67</v>
      </c>
      <c r="AE550">
        <v>-20</v>
      </c>
      <c r="AF550">
        <v>0</v>
      </c>
      <c r="AG550">
        <v>0</v>
      </c>
      <c r="AH550" s="6">
        <v>46.7</v>
      </c>
      <c r="AI550" s="6">
        <v>0</v>
      </c>
      <c r="AJ550" s="6">
        <v>0.504</v>
      </c>
      <c r="AK550" s="6">
        <v>0.48</v>
      </c>
      <c r="AL550" s="8">
        <v>1194.19</v>
      </c>
      <c r="AM550" s="6" t="s">
        <v>68</v>
      </c>
      <c r="AN550" s="6">
        <v>1</v>
      </c>
      <c r="AO550" s="6">
        <v>1</v>
      </c>
      <c r="AP550" s="6">
        <v>0</v>
      </c>
      <c r="AQ550" s="6">
        <v>1</v>
      </c>
      <c r="AR550" s="6">
        <v>0</v>
      </c>
      <c r="AS550" s="6">
        <v>1</v>
      </c>
      <c r="AT550" s="6">
        <v>0</v>
      </c>
      <c r="AU550" s="6">
        <v>2.31</v>
      </c>
      <c r="AV550" s="6">
        <v>1.77</v>
      </c>
      <c r="AW550" s="6">
        <v>888.25</v>
      </c>
      <c r="AX550" s="6">
        <v>136.68</v>
      </c>
      <c r="AY550" s="6">
        <v>485.04</v>
      </c>
      <c r="AZ550" s="6">
        <v>14.3</v>
      </c>
      <c r="BA550" s="6">
        <v>14.8</v>
      </c>
    </row>
    <row r="551" spans="1:53" x14ac:dyDescent="0.3">
      <c r="A551" s="6">
        <v>119574893</v>
      </c>
      <c r="B551" s="6">
        <v>955662</v>
      </c>
      <c r="C551" s="6">
        <v>8315831</v>
      </c>
      <c r="D551" s="6">
        <v>9445</v>
      </c>
      <c r="E551" s="6" t="s">
        <v>84</v>
      </c>
      <c r="F551" s="6">
        <v>51892</v>
      </c>
      <c r="G551" s="6" t="s">
        <v>127</v>
      </c>
      <c r="H551" s="10">
        <v>45887</v>
      </c>
      <c r="I551" s="10">
        <v>45887</v>
      </c>
      <c r="J551" s="4">
        <v>45887.347222222219</v>
      </c>
      <c r="K551" s="4">
        <v>45887.565972222219</v>
      </c>
      <c r="L551" s="11">
        <v>45887.536111111112</v>
      </c>
      <c r="M551" s="10">
        <v>45887</v>
      </c>
      <c r="N551" s="6" t="s">
        <v>170</v>
      </c>
      <c r="O551" t="s">
        <v>183</v>
      </c>
      <c r="P551" s="6" t="s">
        <v>70</v>
      </c>
      <c r="Q551" t="s">
        <v>322</v>
      </c>
      <c r="R551" t="s">
        <v>73</v>
      </c>
      <c r="S551" s="6">
        <v>705699</v>
      </c>
      <c r="T551" s="6" t="s">
        <v>1</v>
      </c>
      <c r="U551">
        <v>206</v>
      </c>
      <c r="V551" s="6">
        <v>59.4</v>
      </c>
      <c r="W551" s="6">
        <v>21.4</v>
      </c>
      <c r="X551" s="6">
        <v>202.8</v>
      </c>
      <c r="Y551" s="6">
        <v>283.60000000000002</v>
      </c>
      <c r="Z551" s="6" t="s">
        <v>80</v>
      </c>
      <c r="AA551" t="s">
        <v>506</v>
      </c>
      <c r="AB551" s="6" t="s">
        <v>97</v>
      </c>
      <c r="AC551" t="s">
        <v>83</v>
      </c>
      <c r="AD551" t="s">
        <v>67</v>
      </c>
      <c r="AE551">
        <v>-43</v>
      </c>
      <c r="AF551">
        <v>0</v>
      </c>
      <c r="AG551">
        <v>0</v>
      </c>
      <c r="AH551" s="6">
        <v>37.799999999999997</v>
      </c>
      <c r="AI551" s="6">
        <v>0</v>
      </c>
      <c r="AJ551" s="6">
        <v>0.52800000000000002</v>
      </c>
      <c r="AK551" s="6">
        <v>0.64100000000000001</v>
      </c>
      <c r="AL551" s="8">
        <v>15183.88</v>
      </c>
      <c r="AM551" s="6" t="s">
        <v>114</v>
      </c>
      <c r="AN551" s="6">
        <v>1</v>
      </c>
      <c r="AO551" s="6">
        <v>1</v>
      </c>
      <c r="AP551" s="6">
        <v>0</v>
      </c>
      <c r="AQ551" s="6">
        <v>1</v>
      </c>
      <c r="AR551" s="6">
        <v>0</v>
      </c>
      <c r="AS551" s="6">
        <v>1</v>
      </c>
      <c r="AT551" s="6">
        <v>0</v>
      </c>
      <c r="AU551" s="6">
        <v>1.99</v>
      </c>
      <c r="AV551" s="6">
        <v>1.18</v>
      </c>
      <c r="AW551" s="6">
        <v>201.49</v>
      </c>
      <c r="AX551" s="6">
        <v>32.880000000000003</v>
      </c>
      <c r="AY551" s="6">
        <v>193.89</v>
      </c>
      <c r="AZ551" s="6">
        <v>18.100000000000001</v>
      </c>
      <c r="BA551" s="6">
        <v>27.9</v>
      </c>
    </row>
    <row r="552" spans="1:53" x14ac:dyDescent="0.3">
      <c r="A552" s="6">
        <v>489336282</v>
      </c>
      <c r="B552" s="6">
        <v>665492</v>
      </c>
      <c r="C552" s="6">
        <v>5960271</v>
      </c>
      <c r="D552" s="6">
        <v>7015</v>
      </c>
      <c r="E552" s="6" t="s">
        <v>84</v>
      </c>
      <c r="F552" s="6">
        <v>59089</v>
      </c>
      <c r="G552" s="6" t="s">
        <v>146</v>
      </c>
      <c r="H552" s="10">
        <v>45726</v>
      </c>
      <c r="I552" s="10">
        <v>45726</v>
      </c>
      <c r="J552" s="4">
        <v>45726.513888888891</v>
      </c>
      <c r="K552" s="4">
        <v>45726.880486111113</v>
      </c>
      <c r="L552" s="11">
        <v>45726.874236111114</v>
      </c>
      <c r="M552" s="10">
        <v>45726</v>
      </c>
      <c r="N552" s="6" t="s">
        <v>59</v>
      </c>
      <c r="O552" t="s">
        <v>167</v>
      </c>
      <c r="P552" s="6" t="s">
        <v>59</v>
      </c>
      <c r="Q552" t="s">
        <v>167</v>
      </c>
      <c r="R552" t="s">
        <v>62</v>
      </c>
      <c r="S552" s="6">
        <v>797593</v>
      </c>
      <c r="T552" s="6" t="s">
        <v>111</v>
      </c>
      <c r="U552">
        <v>473</v>
      </c>
      <c r="V552" s="6">
        <v>8.8000000000000007</v>
      </c>
      <c r="W552" s="6">
        <v>24.3</v>
      </c>
      <c r="X552" s="6">
        <v>461.1</v>
      </c>
      <c r="Y552" s="6">
        <v>494.2</v>
      </c>
      <c r="Z552" s="6" t="s">
        <v>63</v>
      </c>
      <c r="AA552" t="s">
        <v>645</v>
      </c>
      <c r="AB552" s="6" t="s">
        <v>75</v>
      </c>
      <c r="AC552" t="s">
        <v>83</v>
      </c>
      <c r="AD552" t="s">
        <v>67</v>
      </c>
      <c r="AE552">
        <v>-9</v>
      </c>
      <c r="AF552">
        <v>0</v>
      </c>
      <c r="AG552">
        <v>0</v>
      </c>
      <c r="AH552" s="6">
        <v>38.799999999999997</v>
      </c>
      <c r="AI552" s="6">
        <v>0</v>
      </c>
      <c r="AJ552" s="6">
        <v>0.66400000000000003</v>
      </c>
      <c r="AK552" s="6">
        <v>0.79800000000000004</v>
      </c>
      <c r="AL552" s="8">
        <v>90231.97</v>
      </c>
      <c r="AM552" s="6" t="s">
        <v>155</v>
      </c>
      <c r="AN552" s="6">
        <v>1</v>
      </c>
      <c r="AO552" s="6">
        <v>1</v>
      </c>
      <c r="AP552" s="6">
        <v>0</v>
      </c>
      <c r="AQ552" s="6">
        <v>1</v>
      </c>
      <c r="AR552" s="6">
        <v>0</v>
      </c>
      <c r="AS552" s="6">
        <v>1</v>
      </c>
      <c r="AT552" s="6">
        <v>0</v>
      </c>
      <c r="AU552" s="6">
        <v>2.41</v>
      </c>
      <c r="AV552" s="6">
        <v>1.53</v>
      </c>
      <c r="AW552" s="6">
        <v>417.21</v>
      </c>
      <c r="AX552" s="6">
        <v>67.23</v>
      </c>
      <c r="AY552" s="6">
        <v>352.12</v>
      </c>
      <c r="AZ552" s="6">
        <v>5.6</v>
      </c>
      <c r="BA552" s="6">
        <v>0</v>
      </c>
    </row>
    <row r="553" spans="1:53" x14ac:dyDescent="0.3">
      <c r="A553" s="6">
        <v>431642423</v>
      </c>
      <c r="B553" s="6">
        <v>183667</v>
      </c>
      <c r="C553" s="6">
        <v>1981186</v>
      </c>
      <c r="D553" s="6">
        <v>3568</v>
      </c>
      <c r="E553" s="6" t="s">
        <v>142</v>
      </c>
      <c r="F553" s="6">
        <v>53424</v>
      </c>
      <c r="G553" s="6" t="s">
        <v>175</v>
      </c>
      <c r="H553" s="10">
        <v>45844</v>
      </c>
      <c r="I553" s="10">
        <v>45844</v>
      </c>
      <c r="J553" s="4">
        <v>45844.802083333336</v>
      </c>
      <c r="K553" s="4">
        <v>45844.97693287037</v>
      </c>
      <c r="L553" s="11">
        <v>45844.961655092593</v>
      </c>
      <c r="M553" s="10">
        <v>45844</v>
      </c>
      <c r="N553" s="6" t="s">
        <v>86</v>
      </c>
      <c r="O553" t="s">
        <v>243</v>
      </c>
      <c r="P553" s="6" t="s">
        <v>103</v>
      </c>
      <c r="Q553" t="s">
        <v>232</v>
      </c>
      <c r="R553" t="s">
        <v>73</v>
      </c>
      <c r="S553" s="6">
        <v>700025</v>
      </c>
      <c r="T553" s="6" t="s">
        <v>1</v>
      </c>
      <c r="U553">
        <v>229</v>
      </c>
      <c r="V553" s="6">
        <v>47.5</v>
      </c>
      <c r="W553" s="6">
        <v>26.3</v>
      </c>
      <c r="X553" s="6">
        <v>226.2</v>
      </c>
      <c r="Y553" s="6">
        <v>300</v>
      </c>
      <c r="Z553" s="6" t="s">
        <v>80</v>
      </c>
      <c r="AA553" t="s">
        <v>646</v>
      </c>
      <c r="AB553" s="6" t="s">
        <v>65</v>
      </c>
      <c r="AC553" t="s">
        <v>91</v>
      </c>
      <c r="AD553" t="s">
        <v>67</v>
      </c>
      <c r="AE553">
        <v>-22</v>
      </c>
      <c r="AF553">
        <v>0</v>
      </c>
      <c r="AG553">
        <v>1.9</v>
      </c>
      <c r="AH553" s="6">
        <v>53.7</v>
      </c>
      <c r="AI553" s="6">
        <v>0</v>
      </c>
      <c r="AJ553" s="6">
        <v>0.70899999999999996</v>
      </c>
      <c r="AK553" s="6">
        <v>0.42599999999999999</v>
      </c>
      <c r="AL553" s="8">
        <v>7369.93</v>
      </c>
      <c r="AM553" s="6" t="s">
        <v>114</v>
      </c>
      <c r="AN553" s="6">
        <v>1</v>
      </c>
      <c r="AO553" s="6">
        <v>1</v>
      </c>
      <c r="AP553" s="6">
        <v>0</v>
      </c>
      <c r="AQ553" s="6">
        <v>1</v>
      </c>
      <c r="AR553" s="6">
        <v>0</v>
      </c>
      <c r="AS553" s="6">
        <v>1</v>
      </c>
      <c r="AT553" s="6">
        <v>0</v>
      </c>
      <c r="AU553" s="6">
        <v>2.09</v>
      </c>
      <c r="AV553" s="6">
        <v>1.66</v>
      </c>
      <c r="AW553" s="6">
        <v>240.54</v>
      </c>
      <c r="AX553" s="6">
        <v>62.05</v>
      </c>
      <c r="AY553" s="6">
        <v>168.94</v>
      </c>
      <c r="AZ553" s="6">
        <v>21.8</v>
      </c>
      <c r="BA553" s="6">
        <v>18.8</v>
      </c>
    </row>
    <row r="554" spans="1:53" x14ac:dyDescent="0.3">
      <c r="A554" s="6">
        <v>293555835</v>
      </c>
      <c r="B554" s="6">
        <v>910620</v>
      </c>
      <c r="C554" s="6">
        <v>5977931</v>
      </c>
      <c r="D554" s="6">
        <v>1064</v>
      </c>
      <c r="E554" s="6" t="s">
        <v>101</v>
      </c>
      <c r="F554" s="6">
        <v>59450</v>
      </c>
      <c r="G554" s="6" t="s">
        <v>127</v>
      </c>
      <c r="H554" s="10">
        <v>45851</v>
      </c>
      <c r="I554" s="10">
        <v>45851</v>
      </c>
      <c r="J554" s="4">
        <v>45851.670138888891</v>
      </c>
      <c r="K554" s="4">
        <v>45851.778634259259</v>
      </c>
      <c r="L554" s="11">
        <v>45851.777245370373</v>
      </c>
      <c r="M554" s="10">
        <v>45851</v>
      </c>
      <c r="N554" s="6" t="s">
        <v>93</v>
      </c>
      <c r="O554" t="s">
        <v>95</v>
      </c>
      <c r="P554" s="6" t="s">
        <v>129</v>
      </c>
      <c r="Q554" t="s">
        <v>241</v>
      </c>
      <c r="R554" t="s">
        <v>123</v>
      </c>
      <c r="S554" s="6">
        <v>798350</v>
      </c>
      <c r="T554" s="6" t="s">
        <v>3</v>
      </c>
      <c r="U554">
        <v>89</v>
      </c>
      <c r="V554" s="6">
        <v>18.3</v>
      </c>
      <c r="W554" s="6">
        <v>17.100000000000001</v>
      </c>
      <c r="X554" s="6">
        <v>73</v>
      </c>
      <c r="Y554" s="6">
        <v>108.4</v>
      </c>
      <c r="Z554" s="6" t="s">
        <v>63</v>
      </c>
      <c r="AA554" t="s">
        <v>647</v>
      </c>
      <c r="AB554" s="6" t="s">
        <v>90</v>
      </c>
      <c r="AC554" t="s">
        <v>91</v>
      </c>
      <c r="AD554" t="s">
        <v>67</v>
      </c>
      <c r="AE554">
        <v>-2</v>
      </c>
      <c r="AF554">
        <v>0</v>
      </c>
      <c r="AG554">
        <v>0</v>
      </c>
      <c r="AH554" s="6">
        <v>31.7</v>
      </c>
      <c r="AI554" s="6">
        <v>0</v>
      </c>
      <c r="AJ554" s="6">
        <v>0.73699999999999999</v>
      </c>
      <c r="AK554" s="6">
        <v>0.81100000000000005</v>
      </c>
      <c r="AL554" s="8">
        <v>9558.41</v>
      </c>
      <c r="AM554" s="6" t="s">
        <v>114</v>
      </c>
      <c r="AN554" s="6">
        <v>1</v>
      </c>
      <c r="AO554" s="6">
        <v>1</v>
      </c>
      <c r="AP554" s="6">
        <v>0</v>
      </c>
      <c r="AQ554" s="6">
        <v>1</v>
      </c>
      <c r="AR554" s="6">
        <v>0</v>
      </c>
      <c r="AS554" s="6">
        <v>1</v>
      </c>
      <c r="AT554" s="6">
        <v>0</v>
      </c>
      <c r="AU554" s="6">
        <v>2.27</v>
      </c>
      <c r="AV554" s="6">
        <v>1.36</v>
      </c>
      <c r="AW554" s="6">
        <v>83.56</v>
      </c>
      <c r="AX554" s="6">
        <v>18.41</v>
      </c>
      <c r="AY554" s="6">
        <v>53.93</v>
      </c>
      <c r="AZ554" s="6">
        <v>7</v>
      </c>
      <c r="BA554" s="6">
        <v>51.1</v>
      </c>
    </row>
    <row r="555" spans="1:53" x14ac:dyDescent="0.3">
      <c r="A555" s="6">
        <v>329987621</v>
      </c>
      <c r="B555" s="6">
        <v>770487</v>
      </c>
      <c r="C555" s="6">
        <v>9683481</v>
      </c>
      <c r="D555" s="6">
        <v>8270</v>
      </c>
      <c r="E555" s="6" t="s">
        <v>211</v>
      </c>
      <c r="F555" s="6">
        <v>52015</v>
      </c>
      <c r="G555" s="6" t="s">
        <v>115</v>
      </c>
      <c r="H555" s="10">
        <v>45977</v>
      </c>
      <c r="I555" s="10">
        <v>45977</v>
      </c>
      <c r="J555" s="4">
        <v>45977.954861111109</v>
      </c>
      <c r="K555" s="4">
        <v>45978.017361111109</v>
      </c>
      <c r="L555" s="11">
        <v>45978.09097222222</v>
      </c>
      <c r="M555" s="10">
        <v>45978</v>
      </c>
      <c r="N555" s="6" t="s">
        <v>86</v>
      </c>
      <c r="O555" t="s">
        <v>268</v>
      </c>
      <c r="P555" s="6" t="s">
        <v>86</v>
      </c>
      <c r="Q555" t="s">
        <v>108</v>
      </c>
      <c r="R555" t="s">
        <v>88</v>
      </c>
      <c r="S555" s="6">
        <v>742558</v>
      </c>
      <c r="T555" s="6" t="s">
        <v>3</v>
      </c>
      <c r="U555">
        <v>49</v>
      </c>
      <c r="V555" s="6">
        <v>41.8</v>
      </c>
      <c r="W555" s="6">
        <v>16.3</v>
      </c>
      <c r="X555" s="6">
        <v>53.2</v>
      </c>
      <c r="Y555" s="6">
        <v>111.3</v>
      </c>
      <c r="Z555" s="6" t="s">
        <v>215</v>
      </c>
      <c r="AA555" t="s">
        <v>450</v>
      </c>
      <c r="AB555" s="6" t="s">
        <v>65</v>
      </c>
      <c r="AC555" t="s">
        <v>91</v>
      </c>
      <c r="AD555" t="s">
        <v>188</v>
      </c>
      <c r="AE555">
        <v>106</v>
      </c>
      <c r="AF555">
        <v>0</v>
      </c>
      <c r="AG555">
        <v>3.3</v>
      </c>
      <c r="AH555" s="6">
        <v>50.2</v>
      </c>
      <c r="AI555" s="6">
        <v>0</v>
      </c>
      <c r="AJ555" s="6">
        <v>0.57199999999999995</v>
      </c>
      <c r="AK555" s="6">
        <v>0.56200000000000006</v>
      </c>
      <c r="AL555" s="8">
        <v>2858.24</v>
      </c>
      <c r="AM555" s="6" t="s">
        <v>68</v>
      </c>
      <c r="AN555" s="6">
        <v>1</v>
      </c>
      <c r="AO555" s="6">
        <v>0</v>
      </c>
      <c r="AP555" s="6">
        <v>1</v>
      </c>
      <c r="AQ555" s="6">
        <v>0</v>
      </c>
      <c r="AR555" s="6">
        <v>1</v>
      </c>
      <c r="AS555" s="6">
        <v>0</v>
      </c>
      <c r="AT555" s="6">
        <v>1</v>
      </c>
      <c r="AU555" s="6">
        <v>2.63</v>
      </c>
      <c r="AV555" s="6">
        <v>2</v>
      </c>
      <c r="AW555" s="6">
        <v>99.71</v>
      </c>
      <c r="AX555" s="6">
        <v>17.170000000000002</v>
      </c>
      <c r="AY555" s="6">
        <v>61.21</v>
      </c>
      <c r="AZ555" s="6">
        <v>20</v>
      </c>
      <c r="BA555" s="6">
        <v>0</v>
      </c>
    </row>
    <row r="556" spans="1:53" x14ac:dyDescent="0.3">
      <c r="A556" s="6">
        <v>466932310</v>
      </c>
      <c r="B556" s="6">
        <v>724834</v>
      </c>
      <c r="C556" s="6">
        <v>1701771</v>
      </c>
      <c r="D556" s="6">
        <v>6249</v>
      </c>
      <c r="E556" s="6" t="s">
        <v>142</v>
      </c>
      <c r="F556" s="6">
        <v>56673</v>
      </c>
      <c r="G556" s="6" t="s">
        <v>107</v>
      </c>
      <c r="H556" s="10">
        <v>45826</v>
      </c>
      <c r="I556" s="10">
        <v>45826</v>
      </c>
      <c r="J556" s="4">
        <v>45826.253472222219</v>
      </c>
      <c r="K556" s="4">
        <v>45826.471608796295</v>
      </c>
      <c r="L556" s="11">
        <v>45826.454247685186</v>
      </c>
      <c r="M556" s="10">
        <v>45826</v>
      </c>
      <c r="N556" s="6" t="s">
        <v>132</v>
      </c>
      <c r="O556" t="s">
        <v>328</v>
      </c>
      <c r="P556" s="6" t="s">
        <v>132</v>
      </c>
      <c r="Q556" t="s">
        <v>328</v>
      </c>
      <c r="R556" t="s">
        <v>62</v>
      </c>
      <c r="S556" s="6">
        <v>711807</v>
      </c>
      <c r="T556" s="6" t="s">
        <v>1</v>
      </c>
      <c r="U556">
        <v>283</v>
      </c>
      <c r="V556" s="6">
        <v>32.5</v>
      </c>
      <c r="W556" s="6">
        <v>17.7</v>
      </c>
      <c r="X556" s="6">
        <v>283</v>
      </c>
      <c r="Y556" s="6">
        <v>333.2</v>
      </c>
      <c r="Z556" s="6" t="s">
        <v>2</v>
      </c>
      <c r="AA556" t="s">
        <v>454</v>
      </c>
      <c r="AB556" s="6" t="s">
        <v>97</v>
      </c>
      <c r="AC556" t="s">
        <v>125</v>
      </c>
      <c r="AD556" t="s">
        <v>67</v>
      </c>
      <c r="AE556">
        <v>-25</v>
      </c>
      <c r="AF556">
        <v>0</v>
      </c>
      <c r="AG556">
        <v>0</v>
      </c>
      <c r="AH556" s="6">
        <v>61.1</v>
      </c>
      <c r="AI556" s="6">
        <v>0</v>
      </c>
      <c r="AJ556" s="6">
        <v>0.79800000000000004</v>
      </c>
      <c r="AK556" s="6">
        <v>0.86899999999999999</v>
      </c>
      <c r="AL556" s="8">
        <v>6944.15</v>
      </c>
      <c r="AM556" s="6" t="s">
        <v>68</v>
      </c>
      <c r="AN556" s="6">
        <v>1</v>
      </c>
      <c r="AO556" s="6">
        <v>1</v>
      </c>
      <c r="AP556" s="6">
        <v>0</v>
      </c>
      <c r="AQ556" s="6">
        <v>1</v>
      </c>
      <c r="AR556" s="6">
        <v>0</v>
      </c>
      <c r="AS556" s="6">
        <v>1</v>
      </c>
      <c r="AT556" s="6">
        <v>0</v>
      </c>
      <c r="AU556" s="6">
        <v>2.42</v>
      </c>
      <c r="AV556" s="6">
        <v>1.75</v>
      </c>
      <c r="AW556" s="6">
        <v>268.56</v>
      </c>
      <c r="AX556" s="6">
        <v>56.04</v>
      </c>
      <c r="AY556" s="6">
        <v>223.83</v>
      </c>
      <c r="AZ556" s="6">
        <v>4.4000000000000004</v>
      </c>
      <c r="BA556" s="6">
        <v>1.1000000000000001</v>
      </c>
    </row>
    <row r="557" spans="1:53" x14ac:dyDescent="0.3">
      <c r="A557" s="6">
        <v>922653967</v>
      </c>
      <c r="B557" s="6">
        <v>728038</v>
      </c>
      <c r="C557" s="6">
        <v>1463060</v>
      </c>
      <c r="D557" s="6">
        <v>7287</v>
      </c>
      <c r="E557" s="6" t="s">
        <v>57</v>
      </c>
      <c r="F557" s="6">
        <v>56032</v>
      </c>
      <c r="G557" s="6" t="s">
        <v>127</v>
      </c>
      <c r="H557" s="10">
        <v>45759</v>
      </c>
      <c r="I557" s="10">
        <v>45759</v>
      </c>
      <c r="J557" s="4">
        <v>45759.826388888891</v>
      </c>
      <c r="K557" s="4">
        <v>45760.149178240739</v>
      </c>
      <c r="L557" s="11">
        <v>45760.136678240742</v>
      </c>
      <c r="M557" s="10">
        <v>45760</v>
      </c>
      <c r="N557" s="6" t="s">
        <v>59</v>
      </c>
      <c r="O557" t="s">
        <v>85</v>
      </c>
      <c r="P557" s="6" t="s">
        <v>86</v>
      </c>
      <c r="Q557" t="s">
        <v>243</v>
      </c>
      <c r="R557" t="s">
        <v>88</v>
      </c>
      <c r="S557" s="6">
        <v>759297</v>
      </c>
      <c r="T557" s="6" t="s">
        <v>111</v>
      </c>
      <c r="U557">
        <v>353</v>
      </c>
      <c r="V557" s="6">
        <v>59.8</v>
      </c>
      <c r="W557" s="6">
        <v>25.4</v>
      </c>
      <c r="X557" s="6">
        <v>355.4</v>
      </c>
      <c r="Y557" s="6">
        <v>440.6</v>
      </c>
      <c r="Z557" s="6" t="s">
        <v>63</v>
      </c>
      <c r="AA557" t="s">
        <v>648</v>
      </c>
      <c r="AB557" s="6" t="s">
        <v>65</v>
      </c>
      <c r="AC557" t="s">
        <v>76</v>
      </c>
      <c r="AD557" t="s">
        <v>67</v>
      </c>
      <c r="AE557">
        <v>-18</v>
      </c>
      <c r="AF557">
        <v>0</v>
      </c>
      <c r="AG557">
        <v>0</v>
      </c>
      <c r="AH557" s="6">
        <v>41.5</v>
      </c>
      <c r="AI557" s="6">
        <v>0</v>
      </c>
      <c r="AJ557" s="6">
        <v>0.68799999999999994</v>
      </c>
      <c r="AK557" s="6">
        <v>0.54800000000000004</v>
      </c>
      <c r="AL557" s="8">
        <v>105362.07</v>
      </c>
      <c r="AM557" s="6" t="s">
        <v>155</v>
      </c>
      <c r="AN557" s="6">
        <v>1</v>
      </c>
      <c r="AO557" s="6">
        <v>1</v>
      </c>
      <c r="AP557" s="6">
        <v>0</v>
      </c>
      <c r="AQ557" s="6">
        <v>1</v>
      </c>
      <c r="AR557" s="6">
        <v>0</v>
      </c>
      <c r="AS557" s="6">
        <v>1</v>
      </c>
      <c r="AT557" s="6">
        <v>0</v>
      </c>
      <c r="AU557" s="6">
        <v>1.84</v>
      </c>
      <c r="AV557" s="6">
        <v>1.31</v>
      </c>
      <c r="AW557" s="6">
        <v>321.56</v>
      </c>
      <c r="AX557" s="6">
        <v>91.26</v>
      </c>
      <c r="AY557" s="6">
        <v>268.83</v>
      </c>
      <c r="AZ557" s="6">
        <v>13.6</v>
      </c>
      <c r="BA557" s="6">
        <v>25.4</v>
      </c>
    </row>
    <row r="558" spans="1:53" x14ac:dyDescent="0.3">
      <c r="A558" s="6">
        <v>622129427</v>
      </c>
      <c r="B558" s="6">
        <v>944962</v>
      </c>
      <c r="C558" s="6">
        <v>2016911</v>
      </c>
      <c r="D558" s="6">
        <v>9792</v>
      </c>
      <c r="E558" s="6" t="s">
        <v>185</v>
      </c>
      <c r="F558" s="6">
        <v>54833</v>
      </c>
      <c r="G558" s="6" t="s">
        <v>207</v>
      </c>
      <c r="H558" s="10">
        <v>45742</v>
      </c>
      <c r="I558" s="10">
        <v>45742</v>
      </c>
      <c r="J558" s="4">
        <v>45742.3125</v>
      </c>
      <c r="K558" s="4">
        <v>45742.525289351855</v>
      </c>
      <c r="L558" s="11">
        <v>45742.498206018521</v>
      </c>
      <c r="M558" s="10">
        <v>45742</v>
      </c>
      <c r="N558" s="6" t="s">
        <v>78</v>
      </c>
      <c r="O558" t="s">
        <v>222</v>
      </c>
      <c r="P558" s="6" t="s">
        <v>109</v>
      </c>
      <c r="Q558" t="s">
        <v>161</v>
      </c>
      <c r="R558" t="s">
        <v>88</v>
      </c>
      <c r="S558" s="6">
        <v>728940</v>
      </c>
      <c r="T558" s="6" t="s">
        <v>1</v>
      </c>
      <c r="U558">
        <v>222</v>
      </c>
      <c r="V558" s="6">
        <v>48</v>
      </c>
      <c r="W558" s="6">
        <v>14</v>
      </c>
      <c r="X558" s="6">
        <v>225.3</v>
      </c>
      <c r="Y558" s="6">
        <v>287.3</v>
      </c>
      <c r="Z558" s="6" t="s">
        <v>63</v>
      </c>
      <c r="AA558" t="s">
        <v>649</v>
      </c>
      <c r="AB558" s="6" t="s">
        <v>97</v>
      </c>
      <c r="AC558" t="s">
        <v>125</v>
      </c>
      <c r="AD558" t="s">
        <v>67</v>
      </c>
      <c r="AE558">
        <v>-39</v>
      </c>
      <c r="AF558">
        <v>0</v>
      </c>
      <c r="AG558">
        <v>0</v>
      </c>
      <c r="AH558" s="6">
        <v>19.899999999999999</v>
      </c>
      <c r="AI558" s="6">
        <v>0</v>
      </c>
      <c r="AJ558" s="6">
        <v>0.54900000000000004</v>
      </c>
      <c r="AK558" s="6">
        <v>0.77200000000000002</v>
      </c>
      <c r="AL558" s="8">
        <v>4866.9399999999996</v>
      </c>
      <c r="AM558" s="6" t="s">
        <v>68</v>
      </c>
      <c r="AN558" s="6">
        <v>1</v>
      </c>
      <c r="AO558" s="6">
        <v>1</v>
      </c>
      <c r="AP558" s="6">
        <v>0</v>
      </c>
      <c r="AQ558" s="6">
        <v>1</v>
      </c>
      <c r="AR558" s="6">
        <v>0</v>
      </c>
      <c r="AS558" s="6">
        <v>1</v>
      </c>
      <c r="AT558" s="6">
        <v>0</v>
      </c>
      <c r="AU558" s="6">
        <v>2.34</v>
      </c>
      <c r="AV558" s="6">
        <v>1.66</v>
      </c>
      <c r="AW558" s="6">
        <v>239.57</v>
      </c>
      <c r="AX558" s="6">
        <v>35.380000000000003</v>
      </c>
      <c r="AY558" s="6">
        <v>164.38</v>
      </c>
      <c r="AZ558" s="6">
        <v>11.5</v>
      </c>
      <c r="BA558" s="6">
        <v>18.5</v>
      </c>
    </row>
    <row r="559" spans="1:53" x14ac:dyDescent="0.3">
      <c r="A559" s="6">
        <v>306164050</v>
      </c>
      <c r="B559" s="6">
        <v>263032</v>
      </c>
      <c r="C559" s="6">
        <v>4191175</v>
      </c>
      <c r="D559" s="6">
        <v>6486</v>
      </c>
      <c r="E559" s="6" t="s">
        <v>225</v>
      </c>
      <c r="F559" s="6">
        <v>59894</v>
      </c>
      <c r="G559" s="6" t="s">
        <v>77</v>
      </c>
      <c r="H559" s="10">
        <v>45977</v>
      </c>
      <c r="I559" s="10">
        <v>45977</v>
      </c>
      <c r="J559" s="4">
        <v>45977.03125</v>
      </c>
      <c r="K559" s="4">
        <v>45977.301319444443</v>
      </c>
      <c r="L559" s="11">
        <v>45977.289513888885</v>
      </c>
      <c r="M559" s="10">
        <v>45977</v>
      </c>
      <c r="N559" s="6" t="s">
        <v>121</v>
      </c>
      <c r="O559" t="s">
        <v>122</v>
      </c>
      <c r="P559" s="6" t="s">
        <v>134</v>
      </c>
      <c r="Q559" t="s">
        <v>172</v>
      </c>
      <c r="R559" t="s">
        <v>73</v>
      </c>
      <c r="S559" s="6">
        <v>734898</v>
      </c>
      <c r="T559" s="6" t="s">
        <v>111</v>
      </c>
      <c r="U559">
        <v>339</v>
      </c>
      <c r="V559" s="6">
        <v>25.8</v>
      </c>
      <c r="W559" s="6">
        <v>0.5</v>
      </c>
      <c r="X559" s="6">
        <v>345.2</v>
      </c>
      <c r="Y559" s="6">
        <v>371.5</v>
      </c>
      <c r="Z559" s="6" t="s">
        <v>215</v>
      </c>
      <c r="AA559" t="s">
        <v>650</v>
      </c>
      <c r="AB559" s="6" t="s">
        <v>82</v>
      </c>
      <c r="AC559" t="s">
        <v>91</v>
      </c>
      <c r="AD559" t="s">
        <v>67</v>
      </c>
      <c r="AE559">
        <v>-17</v>
      </c>
      <c r="AF559">
        <v>10</v>
      </c>
      <c r="AG559">
        <v>0</v>
      </c>
      <c r="AH559" s="6">
        <v>38.799999999999997</v>
      </c>
      <c r="AI559" s="6">
        <v>0</v>
      </c>
      <c r="AJ559" s="6">
        <v>0.747</v>
      </c>
      <c r="AK559" s="6">
        <v>0.78200000000000003</v>
      </c>
      <c r="AL559" s="8">
        <v>5949.44</v>
      </c>
      <c r="AM559" s="6" t="s">
        <v>68</v>
      </c>
      <c r="AN559" s="6">
        <v>1</v>
      </c>
      <c r="AO559" s="6">
        <v>1</v>
      </c>
      <c r="AP559" s="6">
        <v>0</v>
      </c>
      <c r="AQ559" s="6">
        <v>1</v>
      </c>
      <c r="AR559" s="6">
        <v>0</v>
      </c>
      <c r="AS559" s="6">
        <v>1</v>
      </c>
      <c r="AT559" s="6">
        <v>0</v>
      </c>
      <c r="AU559" s="6">
        <v>2.54</v>
      </c>
      <c r="AV559" s="6">
        <v>1.57</v>
      </c>
      <c r="AW559" s="6">
        <v>337.31</v>
      </c>
      <c r="AX559" s="6">
        <v>80.2</v>
      </c>
      <c r="AY559" s="6">
        <v>208.12</v>
      </c>
      <c r="AZ559" s="6">
        <v>13.2</v>
      </c>
      <c r="BA559" s="6">
        <v>20.2</v>
      </c>
    </row>
    <row r="560" spans="1:53" x14ac:dyDescent="0.3">
      <c r="A560" s="6">
        <v>343248743</v>
      </c>
      <c r="B560" s="6">
        <v>982554</v>
      </c>
      <c r="C560" s="6">
        <v>4740036</v>
      </c>
      <c r="D560" s="6">
        <v>3976</v>
      </c>
      <c r="E560" s="6" t="s">
        <v>84</v>
      </c>
      <c r="F560" s="6">
        <v>59065</v>
      </c>
      <c r="G560" s="6" t="s">
        <v>77</v>
      </c>
      <c r="H560" s="10">
        <v>45720</v>
      </c>
      <c r="I560" s="10">
        <v>45720</v>
      </c>
      <c r="J560" s="4">
        <v>45720.597222222219</v>
      </c>
      <c r="K560" s="4">
        <v>45721.026782407411</v>
      </c>
      <c r="L560" s="11">
        <v>45721.026087962964</v>
      </c>
      <c r="M560" s="10">
        <v>45721</v>
      </c>
      <c r="N560" s="6" t="s">
        <v>93</v>
      </c>
      <c r="O560" t="s">
        <v>290</v>
      </c>
      <c r="P560" s="6" t="s">
        <v>93</v>
      </c>
      <c r="Q560" t="s">
        <v>95</v>
      </c>
      <c r="R560" t="s">
        <v>73</v>
      </c>
      <c r="S560" s="6">
        <v>758654</v>
      </c>
      <c r="T560" s="6" t="s">
        <v>111</v>
      </c>
      <c r="U560">
        <v>399</v>
      </c>
      <c r="V560" s="6">
        <v>27.6</v>
      </c>
      <c r="W560" s="6">
        <v>33.700000000000003</v>
      </c>
      <c r="X560" s="6">
        <v>383.5</v>
      </c>
      <c r="Y560" s="6">
        <v>444.8</v>
      </c>
      <c r="Z560" s="6" t="s">
        <v>63</v>
      </c>
      <c r="AA560" t="s">
        <v>651</v>
      </c>
      <c r="AB560" s="6" t="s">
        <v>90</v>
      </c>
      <c r="AC560" t="s">
        <v>66</v>
      </c>
      <c r="AD560" t="s">
        <v>67</v>
      </c>
      <c r="AE560">
        <v>-1</v>
      </c>
      <c r="AF560">
        <v>0</v>
      </c>
      <c r="AG560">
        <v>0</v>
      </c>
      <c r="AH560" s="6">
        <v>45.8</v>
      </c>
      <c r="AI560" s="6">
        <v>0</v>
      </c>
      <c r="AJ560" s="6">
        <v>0.80400000000000005</v>
      </c>
      <c r="AK560" s="6">
        <v>0.65900000000000003</v>
      </c>
      <c r="AL560" s="8">
        <v>2061.81</v>
      </c>
      <c r="AM560" s="6" t="s">
        <v>68</v>
      </c>
      <c r="AN560" s="6">
        <v>1</v>
      </c>
      <c r="AO560" s="6">
        <v>1</v>
      </c>
      <c r="AP560" s="6">
        <v>0</v>
      </c>
      <c r="AQ560" s="6">
        <v>1</v>
      </c>
      <c r="AR560" s="6">
        <v>0</v>
      </c>
      <c r="AS560" s="6">
        <v>1</v>
      </c>
      <c r="AT560" s="6">
        <v>0</v>
      </c>
      <c r="AU560" s="6">
        <v>2.15</v>
      </c>
      <c r="AV560" s="6">
        <v>1.56</v>
      </c>
      <c r="AW560" s="6">
        <v>398.3</v>
      </c>
      <c r="AX560" s="6">
        <v>80.040000000000006</v>
      </c>
      <c r="AY560" s="6">
        <v>225.82</v>
      </c>
      <c r="AZ560" s="6">
        <v>44.5</v>
      </c>
      <c r="BA560" s="6">
        <v>14.9</v>
      </c>
    </row>
    <row r="561" spans="1:53" x14ac:dyDescent="0.3">
      <c r="A561" s="6">
        <v>247709679</v>
      </c>
      <c r="B561" s="6">
        <v>549245</v>
      </c>
      <c r="C561" s="6">
        <v>5213115</v>
      </c>
      <c r="D561" s="6">
        <v>1663</v>
      </c>
      <c r="E561" s="6" t="s">
        <v>225</v>
      </c>
      <c r="F561" s="6">
        <v>50565</v>
      </c>
      <c r="G561" s="6" t="s">
        <v>127</v>
      </c>
      <c r="H561" s="10">
        <v>45813</v>
      </c>
      <c r="I561" s="10">
        <v>45813</v>
      </c>
      <c r="J561" s="4">
        <v>45813.958333333336</v>
      </c>
      <c r="K561" s="4">
        <v>45814.190405092595</v>
      </c>
      <c r="L561" s="11">
        <v>45814.495266203703</v>
      </c>
      <c r="M561" s="10">
        <v>45814</v>
      </c>
      <c r="N561" s="6" t="s">
        <v>109</v>
      </c>
      <c r="O561" t="s">
        <v>193</v>
      </c>
      <c r="P561" s="6" t="s">
        <v>170</v>
      </c>
      <c r="Q561" t="s">
        <v>189</v>
      </c>
      <c r="R561" t="s">
        <v>62</v>
      </c>
      <c r="S561" s="6">
        <v>706463</v>
      </c>
      <c r="T561" s="6" t="s">
        <v>111</v>
      </c>
      <c r="U561">
        <v>363</v>
      </c>
      <c r="V561" s="6">
        <v>34.200000000000003</v>
      </c>
      <c r="W561" s="6">
        <v>38.700000000000003</v>
      </c>
      <c r="X561" s="6">
        <v>350.7</v>
      </c>
      <c r="Y561" s="6">
        <v>423.6</v>
      </c>
      <c r="Z561" s="6" t="s">
        <v>2</v>
      </c>
      <c r="AA561" t="s">
        <v>652</v>
      </c>
      <c r="AB561" s="6" t="s">
        <v>65</v>
      </c>
      <c r="AC561" t="s">
        <v>137</v>
      </c>
      <c r="AD561" t="s">
        <v>188</v>
      </c>
      <c r="AE561">
        <v>439</v>
      </c>
      <c r="AF561">
        <v>33</v>
      </c>
      <c r="AG561">
        <v>3.5</v>
      </c>
      <c r="AH561" s="6">
        <v>28.6</v>
      </c>
      <c r="AI561" s="6">
        <v>0</v>
      </c>
      <c r="AJ561" s="6">
        <v>0.76200000000000001</v>
      </c>
      <c r="AK561" s="6">
        <v>0.89900000000000002</v>
      </c>
      <c r="AL561" s="8">
        <v>15200.91</v>
      </c>
      <c r="AM561" s="6" t="s">
        <v>114</v>
      </c>
      <c r="AN561" s="6">
        <v>1</v>
      </c>
      <c r="AO561" s="6">
        <v>0</v>
      </c>
      <c r="AP561" s="6">
        <v>1</v>
      </c>
      <c r="AQ561" s="6">
        <v>0</v>
      </c>
      <c r="AR561" s="6">
        <v>1</v>
      </c>
      <c r="AS561" s="6">
        <v>0</v>
      </c>
      <c r="AT561" s="6">
        <v>1</v>
      </c>
      <c r="AU561" s="6">
        <v>2.4300000000000002</v>
      </c>
      <c r="AV561" s="6">
        <v>1.92</v>
      </c>
      <c r="AW561" s="6">
        <v>387.2</v>
      </c>
      <c r="AX561" s="6">
        <v>85.84</v>
      </c>
      <c r="AY561" s="6">
        <v>237.84</v>
      </c>
      <c r="AZ561" s="6">
        <v>7.6</v>
      </c>
      <c r="BA561" s="6">
        <v>40.1</v>
      </c>
    </row>
    <row r="562" spans="1:53" x14ac:dyDescent="0.3">
      <c r="A562" s="6">
        <v>266371119</v>
      </c>
      <c r="B562" s="6">
        <v>872246</v>
      </c>
      <c r="C562" s="6">
        <v>4860684</v>
      </c>
      <c r="D562" s="6">
        <v>6578</v>
      </c>
      <c r="E562" s="6" t="s">
        <v>126</v>
      </c>
      <c r="F562" s="6">
        <v>57412</v>
      </c>
      <c r="G562" s="6" t="s">
        <v>175</v>
      </c>
      <c r="H562" s="10">
        <v>45726</v>
      </c>
      <c r="I562" s="10">
        <v>45726</v>
      </c>
      <c r="J562" s="4">
        <v>45726.28125</v>
      </c>
      <c r="K562" s="4">
        <v>45726.411585648151</v>
      </c>
      <c r="L562" s="11">
        <v>45726.387974537036</v>
      </c>
      <c r="M562" s="10">
        <v>45726</v>
      </c>
      <c r="N562" s="6" t="s">
        <v>134</v>
      </c>
      <c r="O562" t="s">
        <v>282</v>
      </c>
      <c r="P562" s="6" t="s">
        <v>132</v>
      </c>
      <c r="Q562" t="s">
        <v>186</v>
      </c>
      <c r="R562" t="s">
        <v>62</v>
      </c>
      <c r="S562" s="6">
        <v>733483</v>
      </c>
      <c r="T562" s="6" t="s">
        <v>1</v>
      </c>
      <c r="U562">
        <v>162</v>
      </c>
      <c r="V562" s="6">
        <v>70.3</v>
      </c>
      <c r="W562" s="6">
        <v>15.5</v>
      </c>
      <c r="X562" s="6">
        <v>157.5</v>
      </c>
      <c r="Y562" s="6">
        <v>243.3</v>
      </c>
      <c r="Z562" s="6" t="s">
        <v>2</v>
      </c>
      <c r="AA562" t="s">
        <v>515</v>
      </c>
      <c r="AB562" s="6" t="s">
        <v>97</v>
      </c>
      <c r="AC562" t="s">
        <v>83</v>
      </c>
      <c r="AD562" t="s">
        <v>67</v>
      </c>
      <c r="AE562">
        <v>-34</v>
      </c>
      <c r="AF562">
        <v>0</v>
      </c>
      <c r="AG562">
        <v>0</v>
      </c>
      <c r="AH562" s="6">
        <v>48.6</v>
      </c>
      <c r="AI562" s="6">
        <v>0</v>
      </c>
      <c r="AJ562" s="6">
        <v>0.63300000000000001</v>
      </c>
      <c r="AK562" s="6">
        <v>0.51100000000000001</v>
      </c>
      <c r="AL562" s="8">
        <v>14470.74</v>
      </c>
      <c r="AM562" s="6" t="s">
        <v>114</v>
      </c>
      <c r="AN562" s="6">
        <v>1</v>
      </c>
      <c r="AO562" s="6">
        <v>1</v>
      </c>
      <c r="AP562" s="6">
        <v>0</v>
      </c>
      <c r="AQ562" s="6">
        <v>1</v>
      </c>
      <c r="AR562" s="6">
        <v>0</v>
      </c>
      <c r="AS562" s="6">
        <v>1</v>
      </c>
      <c r="AT562" s="6">
        <v>0</v>
      </c>
      <c r="AU562" s="6">
        <v>2.5099999999999998</v>
      </c>
      <c r="AV562" s="6">
        <v>1.5</v>
      </c>
      <c r="AW562" s="6">
        <v>157.79</v>
      </c>
      <c r="AX562" s="6">
        <v>39.67</v>
      </c>
      <c r="AY562" s="6">
        <v>144.22999999999999</v>
      </c>
      <c r="AZ562" s="6">
        <v>41.8</v>
      </c>
      <c r="BA562" s="6">
        <v>6.6</v>
      </c>
    </row>
    <row r="563" spans="1:53" x14ac:dyDescent="0.3">
      <c r="A563" s="6">
        <v>182855381</v>
      </c>
      <c r="B563" s="6">
        <v>479580</v>
      </c>
      <c r="C563" s="6">
        <v>8106422</v>
      </c>
      <c r="D563" s="6">
        <v>2495</v>
      </c>
      <c r="E563" s="6" t="s">
        <v>126</v>
      </c>
      <c r="F563" s="6">
        <v>52018</v>
      </c>
      <c r="G563" s="6" t="s">
        <v>69</v>
      </c>
      <c r="H563" s="10">
        <v>45940</v>
      </c>
      <c r="I563" s="10">
        <v>45940</v>
      </c>
      <c r="J563" s="4">
        <v>45940.3125</v>
      </c>
      <c r="K563" s="4">
        <v>45941.163495370369</v>
      </c>
      <c r="L563" s="11">
        <v>45941.164884259262</v>
      </c>
      <c r="M563" s="10">
        <v>45941</v>
      </c>
      <c r="N563" s="6" t="s">
        <v>129</v>
      </c>
      <c r="O563" t="s">
        <v>156</v>
      </c>
      <c r="P563" s="6" t="s">
        <v>129</v>
      </c>
      <c r="Q563" t="s">
        <v>157</v>
      </c>
      <c r="R563" t="s">
        <v>123</v>
      </c>
      <c r="S563" s="6">
        <v>739365</v>
      </c>
      <c r="T563" s="6" t="s">
        <v>140</v>
      </c>
      <c r="U563">
        <v>1031</v>
      </c>
      <c r="V563" s="6">
        <v>32.9</v>
      </c>
      <c r="W563" s="6">
        <v>23.4</v>
      </c>
      <c r="X563" s="6">
        <v>1029.2</v>
      </c>
      <c r="Y563" s="6">
        <v>1085.5</v>
      </c>
      <c r="Z563" s="6" t="s">
        <v>63</v>
      </c>
      <c r="AA563" t="s">
        <v>653</v>
      </c>
      <c r="AB563" s="6" t="s">
        <v>97</v>
      </c>
      <c r="AC563" t="s">
        <v>154</v>
      </c>
      <c r="AD563" t="s">
        <v>67</v>
      </c>
      <c r="AE563">
        <v>2</v>
      </c>
      <c r="AF563">
        <v>0</v>
      </c>
      <c r="AG563">
        <v>2.1</v>
      </c>
      <c r="AH563" s="6">
        <v>63.1</v>
      </c>
      <c r="AI563" s="6">
        <v>0</v>
      </c>
      <c r="AJ563" s="6">
        <v>0.79800000000000004</v>
      </c>
      <c r="AK563" s="6">
        <v>0.754</v>
      </c>
      <c r="AL563" s="8">
        <v>16863</v>
      </c>
      <c r="AM563" s="6" t="s">
        <v>114</v>
      </c>
      <c r="AN563" s="6">
        <v>1</v>
      </c>
      <c r="AO563" s="6">
        <v>1</v>
      </c>
      <c r="AP563" s="6">
        <v>0</v>
      </c>
      <c r="AQ563" s="6">
        <v>1</v>
      </c>
      <c r="AR563" s="6">
        <v>0</v>
      </c>
      <c r="AS563" s="6">
        <v>1</v>
      </c>
      <c r="AT563" s="6">
        <v>0</v>
      </c>
      <c r="AU563" s="6">
        <v>2.54</v>
      </c>
      <c r="AV563" s="6">
        <v>1.66</v>
      </c>
      <c r="AW563" s="6">
        <v>817.42</v>
      </c>
      <c r="AX563" s="6">
        <v>139.37</v>
      </c>
      <c r="AY563" s="6">
        <v>696.41</v>
      </c>
      <c r="AZ563" s="6">
        <v>9.6999999999999993</v>
      </c>
      <c r="BA563" s="6">
        <v>72</v>
      </c>
    </row>
    <row r="564" spans="1:53" x14ac:dyDescent="0.3">
      <c r="A564" s="6">
        <v>417604347</v>
      </c>
      <c r="B564" s="6">
        <v>705397</v>
      </c>
      <c r="C564" s="6">
        <v>5449368</v>
      </c>
      <c r="D564" s="6">
        <v>5859</v>
      </c>
      <c r="E564" s="6" t="s">
        <v>84</v>
      </c>
      <c r="F564" s="6">
        <v>52314</v>
      </c>
      <c r="G564" s="6" t="s">
        <v>146</v>
      </c>
      <c r="H564" s="10">
        <v>45831</v>
      </c>
      <c r="I564" s="10">
        <v>45831</v>
      </c>
      <c r="J564" s="4">
        <v>45831.243055555555</v>
      </c>
      <c r="K564" s="4">
        <v>45831.410231481481</v>
      </c>
      <c r="L564" s="11">
        <v>45831.420648148145</v>
      </c>
      <c r="M564" s="10">
        <v>45831</v>
      </c>
      <c r="N564" s="6" t="s">
        <v>109</v>
      </c>
      <c r="O564" t="s">
        <v>161</v>
      </c>
      <c r="P564" s="6" t="s">
        <v>93</v>
      </c>
      <c r="Q564" t="s">
        <v>94</v>
      </c>
      <c r="R564" t="s">
        <v>73</v>
      </c>
      <c r="S564" s="6">
        <v>730539</v>
      </c>
      <c r="T564" s="6" t="s">
        <v>1</v>
      </c>
      <c r="U564">
        <v>139</v>
      </c>
      <c r="V564" s="6">
        <v>1.3</v>
      </c>
      <c r="W564" s="6">
        <v>20.3</v>
      </c>
      <c r="X564" s="6">
        <v>140.19999999999999</v>
      </c>
      <c r="Y564" s="6">
        <v>161.80000000000001</v>
      </c>
      <c r="Z564" s="6" t="s">
        <v>2</v>
      </c>
      <c r="AA564" t="s">
        <v>654</v>
      </c>
      <c r="AB564" s="6" t="s">
        <v>82</v>
      </c>
      <c r="AC564" t="s">
        <v>83</v>
      </c>
      <c r="AD564" t="s">
        <v>188</v>
      </c>
      <c r="AE564">
        <v>15</v>
      </c>
      <c r="AF564">
        <v>0</v>
      </c>
      <c r="AG564">
        <v>3.7</v>
      </c>
      <c r="AH564" s="6">
        <v>69.599999999999994</v>
      </c>
      <c r="AI564" s="6">
        <v>0</v>
      </c>
      <c r="AJ564" s="6">
        <v>0.29899999999999999</v>
      </c>
      <c r="AK564" s="6">
        <v>0.66900000000000004</v>
      </c>
      <c r="AL564" s="8">
        <v>7272.73</v>
      </c>
      <c r="AM564" s="6" t="s">
        <v>68</v>
      </c>
      <c r="AN564" s="6">
        <v>1</v>
      </c>
      <c r="AO564" s="6">
        <v>1</v>
      </c>
      <c r="AP564" s="6">
        <v>0</v>
      </c>
      <c r="AQ564" s="6">
        <v>1</v>
      </c>
      <c r="AR564" s="6">
        <v>0</v>
      </c>
      <c r="AS564" s="6">
        <v>1</v>
      </c>
      <c r="AT564" s="6">
        <v>0</v>
      </c>
      <c r="AU564" s="6">
        <v>2.4700000000000002</v>
      </c>
      <c r="AV564" s="6">
        <v>1.69</v>
      </c>
      <c r="AW564" s="6">
        <v>121.32</v>
      </c>
      <c r="AX564" s="6">
        <v>27.2</v>
      </c>
      <c r="AY564" s="6">
        <v>87.84</v>
      </c>
      <c r="AZ564" s="6">
        <v>11.4</v>
      </c>
      <c r="BA564" s="6">
        <v>32.6</v>
      </c>
    </row>
    <row r="565" spans="1:53" x14ac:dyDescent="0.3">
      <c r="A565" s="6">
        <v>946237594</v>
      </c>
      <c r="B565" s="6">
        <v>766563</v>
      </c>
      <c r="C565" s="6">
        <v>9910817</v>
      </c>
      <c r="D565" s="6">
        <v>1391</v>
      </c>
      <c r="E565" s="6" t="s">
        <v>185</v>
      </c>
      <c r="F565" s="6">
        <v>54412</v>
      </c>
      <c r="G565" s="6" t="s">
        <v>102</v>
      </c>
      <c r="H565" s="10">
        <v>45786</v>
      </c>
      <c r="I565" s="10">
        <v>45786</v>
      </c>
      <c r="J565" s="4">
        <v>45786.256944444445</v>
      </c>
      <c r="K565" s="4">
        <v>45786.510300925926</v>
      </c>
      <c r="L565" s="11">
        <v>45786.497800925928</v>
      </c>
      <c r="M565" s="10">
        <v>45786</v>
      </c>
      <c r="N565" s="6" t="s">
        <v>129</v>
      </c>
      <c r="O565" t="s">
        <v>156</v>
      </c>
      <c r="P565" s="6" t="s">
        <v>78</v>
      </c>
      <c r="Q565" t="s">
        <v>147</v>
      </c>
      <c r="R565" t="s">
        <v>88</v>
      </c>
      <c r="S565" s="6">
        <v>768585</v>
      </c>
      <c r="T565" s="6" t="s">
        <v>1</v>
      </c>
      <c r="U565">
        <v>274</v>
      </c>
      <c r="V565" s="6">
        <v>26.4</v>
      </c>
      <c r="W565" s="6">
        <v>30.2</v>
      </c>
      <c r="X565" s="6">
        <v>274.7</v>
      </c>
      <c r="Y565" s="6">
        <v>331.3</v>
      </c>
      <c r="Z565" s="6" t="s">
        <v>80</v>
      </c>
      <c r="AA565" t="s">
        <v>655</v>
      </c>
      <c r="AB565" s="6" t="s">
        <v>97</v>
      </c>
      <c r="AC565" t="s">
        <v>154</v>
      </c>
      <c r="AD565" t="s">
        <v>67</v>
      </c>
      <c r="AE565">
        <v>-18</v>
      </c>
      <c r="AF565">
        <v>0</v>
      </c>
      <c r="AG565">
        <v>0</v>
      </c>
      <c r="AH565" s="6">
        <v>45</v>
      </c>
      <c r="AI565" s="6">
        <v>0</v>
      </c>
      <c r="AJ565" s="6">
        <v>0.88100000000000001</v>
      </c>
      <c r="AK565" s="6">
        <v>0.67700000000000005</v>
      </c>
      <c r="AL565" s="8">
        <v>3356.75</v>
      </c>
      <c r="AM565" s="6" t="s">
        <v>68</v>
      </c>
      <c r="AN565" s="6">
        <v>1</v>
      </c>
      <c r="AO565" s="6">
        <v>1</v>
      </c>
      <c r="AP565" s="6">
        <v>0</v>
      </c>
      <c r="AQ565" s="6">
        <v>1</v>
      </c>
      <c r="AR565" s="6">
        <v>0</v>
      </c>
      <c r="AS565" s="6">
        <v>1</v>
      </c>
      <c r="AT565" s="6">
        <v>0</v>
      </c>
      <c r="AU565" s="6">
        <v>1.74</v>
      </c>
      <c r="AV565" s="6">
        <v>1.1000000000000001</v>
      </c>
      <c r="AW565" s="6">
        <v>243.55</v>
      </c>
      <c r="AX565" s="6">
        <v>35.83</v>
      </c>
      <c r="AY565" s="6">
        <v>230.38</v>
      </c>
      <c r="AZ565" s="6">
        <v>10</v>
      </c>
      <c r="BA565" s="6">
        <v>29.7</v>
      </c>
    </row>
    <row r="566" spans="1:53" x14ac:dyDescent="0.3">
      <c r="A566" s="6">
        <v>208599066</v>
      </c>
      <c r="B566" s="6">
        <v>898975</v>
      </c>
      <c r="C566" s="6">
        <v>4731818</v>
      </c>
      <c r="D566" s="6">
        <v>2986</v>
      </c>
      <c r="E566" s="6" t="s">
        <v>84</v>
      </c>
      <c r="F566" s="6">
        <v>53883</v>
      </c>
      <c r="G566" s="6" t="s">
        <v>207</v>
      </c>
      <c r="H566" s="10">
        <v>45789</v>
      </c>
      <c r="I566" s="10">
        <v>45789</v>
      </c>
      <c r="J566" s="4">
        <v>45789.329861111109</v>
      </c>
      <c r="K566" s="4">
        <v>45789.576192129629</v>
      </c>
      <c r="L566" s="11">
        <v>45789.565081018518</v>
      </c>
      <c r="M566" s="10">
        <v>45789</v>
      </c>
      <c r="N566" s="6" t="s">
        <v>93</v>
      </c>
      <c r="O566" t="s">
        <v>95</v>
      </c>
      <c r="P566" s="6" t="s">
        <v>109</v>
      </c>
      <c r="Q566" t="s">
        <v>198</v>
      </c>
      <c r="R566" t="s">
        <v>88</v>
      </c>
      <c r="S566" s="6">
        <v>707094</v>
      </c>
      <c r="T566" s="6" t="s">
        <v>1</v>
      </c>
      <c r="U566">
        <v>316</v>
      </c>
      <c r="V566" s="6">
        <v>10.5</v>
      </c>
      <c r="W566" s="6">
        <v>29.5</v>
      </c>
      <c r="X566" s="6">
        <v>317.10000000000002</v>
      </c>
      <c r="Y566" s="6">
        <v>357.1</v>
      </c>
      <c r="Z566" s="6" t="s">
        <v>80</v>
      </c>
      <c r="AA566" t="s">
        <v>471</v>
      </c>
      <c r="AB566" s="6" t="s">
        <v>97</v>
      </c>
      <c r="AC566" t="s">
        <v>83</v>
      </c>
      <c r="AD566" t="s">
        <v>67</v>
      </c>
      <c r="AE566">
        <v>-16</v>
      </c>
      <c r="AF566">
        <v>0</v>
      </c>
      <c r="AG566">
        <v>0</v>
      </c>
      <c r="AH566" s="6">
        <v>50</v>
      </c>
      <c r="AI566" s="6">
        <v>0</v>
      </c>
      <c r="AJ566" s="6">
        <v>0.313</v>
      </c>
      <c r="AK566" s="6">
        <v>0.435</v>
      </c>
      <c r="AL566" s="8">
        <v>13864.51</v>
      </c>
      <c r="AM566" s="6" t="s">
        <v>114</v>
      </c>
      <c r="AN566" s="6">
        <v>1</v>
      </c>
      <c r="AO566" s="6">
        <v>1</v>
      </c>
      <c r="AP566" s="6">
        <v>0</v>
      </c>
      <c r="AQ566" s="6">
        <v>1</v>
      </c>
      <c r="AR566" s="6">
        <v>0</v>
      </c>
      <c r="AS566" s="6">
        <v>1</v>
      </c>
      <c r="AT566" s="6">
        <v>0</v>
      </c>
      <c r="AU566" s="6">
        <v>2.04</v>
      </c>
      <c r="AW566" s="6">
        <v>240.52</v>
      </c>
      <c r="AX566" s="6">
        <v>72.23</v>
      </c>
      <c r="AY566" s="6">
        <v>212.96</v>
      </c>
      <c r="AZ566" s="6">
        <v>7.4</v>
      </c>
      <c r="BA566" s="6">
        <v>45.9</v>
      </c>
    </row>
    <row r="567" spans="1:53" x14ac:dyDescent="0.3">
      <c r="A567" s="6">
        <v>645127678</v>
      </c>
      <c r="B567" s="6">
        <v>260263</v>
      </c>
      <c r="C567" s="6">
        <v>5674183</v>
      </c>
      <c r="D567" s="6">
        <v>5736</v>
      </c>
      <c r="E567" s="6" t="s">
        <v>185</v>
      </c>
      <c r="F567" s="6">
        <v>58216</v>
      </c>
      <c r="G567" s="6" t="s">
        <v>235</v>
      </c>
      <c r="H567" s="10">
        <v>45969</v>
      </c>
      <c r="I567" s="10">
        <v>45969</v>
      </c>
      <c r="J567" s="4">
        <v>45969.951388888891</v>
      </c>
      <c r="K567" s="4">
        <v>45970.036736111113</v>
      </c>
      <c r="L567" s="11">
        <v>45970.036736111113</v>
      </c>
      <c r="M567" s="10">
        <v>45970</v>
      </c>
      <c r="N567" s="6" t="s">
        <v>132</v>
      </c>
      <c r="O567" t="s">
        <v>133</v>
      </c>
      <c r="P567" s="6" t="s">
        <v>132</v>
      </c>
      <c r="Q567" t="s">
        <v>181</v>
      </c>
      <c r="R567" t="s">
        <v>62</v>
      </c>
      <c r="S567" s="6">
        <v>711807</v>
      </c>
      <c r="T567" s="6" t="s">
        <v>1</v>
      </c>
      <c r="U567">
        <v>109</v>
      </c>
      <c r="V567" s="6">
        <v>25.8</v>
      </c>
      <c r="W567" s="6">
        <v>35.5</v>
      </c>
      <c r="X567" s="6">
        <v>99.6</v>
      </c>
      <c r="Y567" s="6">
        <v>160.9</v>
      </c>
      <c r="Z567" s="6" t="s">
        <v>2</v>
      </c>
      <c r="AA567" t="s">
        <v>656</v>
      </c>
      <c r="AB567" s="6" t="s">
        <v>65</v>
      </c>
      <c r="AC567" t="s">
        <v>76</v>
      </c>
      <c r="AD567" t="s">
        <v>67</v>
      </c>
      <c r="AE567">
        <v>0</v>
      </c>
      <c r="AF567">
        <v>0</v>
      </c>
      <c r="AG567">
        <v>0</v>
      </c>
      <c r="AH567" s="6">
        <v>38.1</v>
      </c>
      <c r="AI567" s="6">
        <v>0</v>
      </c>
      <c r="AJ567" s="6">
        <v>0.85699999999999998</v>
      </c>
      <c r="AK567" s="6">
        <v>0.88100000000000001</v>
      </c>
      <c r="AL567" s="8">
        <v>82281.98</v>
      </c>
      <c r="AM567" s="6" t="s">
        <v>155</v>
      </c>
      <c r="AN567" s="6">
        <v>1</v>
      </c>
      <c r="AO567" s="6">
        <v>1</v>
      </c>
      <c r="AP567" s="6">
        <v>0</v>
      </c>
      <c r="AQ567" s="6">
        <v>1</v>
      </c>
      <c r="AR567" s="6">
        <v>0</v>
      </c>
      <c r="AS567" s="6">
        <v>1</v>
      </c>
      <c r="AT567" s="6">
        <v>0</v>
      </c>
      <c r="AU567" s="6">
        <v>2.1800000000000002</v>
      </c>
      <c r="AV567" s="6">
        <v>1.59</v>
      </c>
      <c r="AW567" s="6">
        <v>139.93</v>
      </c>
      <c r="AX567" s="6">
        <v>28.63</v>
      </c>
      <c r="AY567" s="6">
        <v>92.88</v>
      </c>
      <c r="AZ567" s="6">
        <v>30.8</v>
      </c>
      <c r="BA567" s="6">
        <v>26.2</v>
      </c>
    </row>
    <row r="568" spans="1:53" x14ac:dyDescent="0.3">
      <c r="A568" s="6">
        <v>927720428</v>
      </c>
      <c r="B568" s="6">
        <v>816751</v>
      </c>
      <c r="C568" s="6">
        <v>3011363</v>
      </c>
      <c r="D568" s="6">
        <v>9996</v>
      </c>
      <c r="E568" s="6" t="s">
        <v>185</v>
      </c>
      <c r="F568" s="6">
        <v>56739</v>
      </c>
      <c r="G568" s="6" t="s">
        <v>146</v>
      </c>
      <c r="H568" s="10">
        <v>45860</v>
      </c>
      <c r="I568" s="10">
        <v>45860</v>
      </c>
      <c r="J568" s="4">
        <v>45860.65625</v>
      </c>
      <c r="K568" s="4">
        <v>45860.751261574071</v>
      </c>
      <c r="L568" s="11">
        <v>45860.731122685182</v>
      </c>
      <c r="M568" s="10">
        <v>45860</v>
      </c>
      <c r="N568" s="6" t="s">
        <v>134</v>
      </c>
      <c r="O568" t="s">
        <v>172</v>
      </c>
      <c r="P568" s="6" t="s">
        <v>78</v>
      </c>
      <c r="Q568" t="s">
        <v>166</v>
      </c>
      <c r="R568" t="s">
        <v>88</v>
      </c>
      <c r="S568" s="6">
        <v>778944</v>
      </c>
      <c r="T568" s="6" t="s">
        <v>3</v>
      </c>
      <c r="U568">
        <v>82</v>
      </c>
      <c r="V568" s="6">
        <v>42.7</v>
      </c>
      <c r="W568" s="6">
        <v>14.7</v>
      </c>
      <c r="X568" s="6">
        <v>77.2</v>
      </c>
      <c r="Y568" s="6">
        <v>134.6</v>
      </c>
      <c r="Z568" s="6" t="s">
        <v>63</v>
      </c>
      <c r="AA568" t="s">
        <v>657</v>
      </c>
      <c r="AB568" s="6" t="s">
        <v>90</v>
      </c>
      <c r="AC568" t="s">
        <v>66</v>
      </c>
      <c r="AD568" t="s">
        <v>67</v>
      </c>
      <c r="AE568">
        <v>-29</v>
      </c>
      <c r="AF568">
        <v>0</v>
      </c>
      <c r="AG568">
        <v>1.2</v>
      </c>
      <c r="AH568" s="6">
        <v>39.4</v>
      </c>
      <c r="AI568" s="6">
        <v>0</v>
      </c>
      <c r="AJ568" s="6">
        <v>0.40200000000000002</v>
      </c>
      <c r="AK568" s="6">
        <v>0.81799999999999995</v>
      </c>
      <c r="AL568" s="8">
        <v>4660.87</v>
      </c>
      <c r="AM568" s="6" t="s">
        <v>68</v>
      </c>
      <c r="AN568" s="6">
        <v>1</v>
      </c>
      <c r="AO568" s="6">
        <v>1</v>
      </c>
      <c r="AP568" s="6">
        <v>0</v>
      </c>
      <c r="AQ568" s="6">
        <v>1</v>
      </c>
      <c r="AR568" s="6">
        <v>0</v>
      </c>
      <c r="AS568" s="6">
        <v>1</v>
      </c>
      <c r="AT568" s="6">
        <v>0</v>
      </c>
      <c r="AU568" s="6">
        <v>2.1800000000000002</v>
      </c>
      <c r="AV568" s="6">
        <v>1.32</v>
      </c>
      <c r="AW568" s="6">
        <v>110.63</v>
      </c>
      <c r="AX568" s="6">
        <v>18.03</v>
      </c>
      <c r="AY568" s="6">
        <v>83.8</v>
      </c>
      <c r="AZ568" s="6">
        <v>13.3</v>
      </c>
      <c r="BA568" s="6">
        <v>39.5</v>
      </c>
    </row>
    <row r="569" spans="1:53" x14ac:dyDescent="0.3">
      <c r="A569" s="6">
        <v>679574436</v>
      </c>
      <c r="B569" s="6">
        <v>377932</v>
      </c>
      <c r="C569" s="6">
        <v>9508103</v>
      </c>
      <c r="D569" s="6">
        <v>6699</v>
      </c>
      <c r="E569" s="6" t="s">
        <v>92</v>
      </c>
      <c r="F569" s="6">
        <v>59329</v>
      </c>
      <c r="G569" s="6" t="s">
        <v>164</v>
      </c>
      <c r="H569" s="10">
        <v>45920</v>
      </c>
      <c r="I569" s="10">
        <v>45920</v>
      </c>
      <c r="J569" s="4">
        <v>45920.736111111109</v>
      </c>
      <c r="K569" s="4">
        <v>45920.852708333332</v>
      </c>
      <c r="L569" s="11">
        <v>45920.843680555554</v>
      </c>
      <c r="M569" s="10">
        <v>45920</v>
      </c>
      <c r="N569" s="6" t="s">
        <v>132</v>
      </c>
      <c r="O569" t="s">
        <v>186</v>
      </c>
      <c r="P569" s="6" t="s">
        <v>176</v>
      </c>
      <c r="Q569" t="s">
        <v>355</v>
      </c>
      <c r="R569" t="s">
        <v>88</v>
      </c>
      <c r="S569" s="6">
        <v>722324</v>
      </c>
      <c r="T569" s="6" t="s">
        <v>1</v>
      </c>
      <c r="U569">
        <v>159</v>
      </c>
      <c r="V569" s="6">
        <v>31.1</v>
      </c>
      <c r="W569" s="6">
        <v>14.2</v>
      </c>
      <c r="X569" s="6">
        <v>157.1</v>
      </c>
      <c r="Y569" s="6">
        <v>202.4</v>
      </c>
      <c r="Z569" s="6" t="s">
        <v>112</v>
      </c>
      <c r="AA569" t="s">
        <v>315</v>
      </c>
      <c r="AB569" s="6" t="s">
        <v>90</v>
      </c>
      <c r="AC569" t="s">
        <v>76</v>
      </c>
      <c r="AD569" t="s">
        <v>67</v>
      </c>
      <c r="AE569">
        <v>-13</v>
      </c>
      <c r="AF569">
        <v>0</v>
      </c>
      <c r="AG569">
        <v>0</v>
      </c>
      <c r="AH569" s="6">
        <v>60.7</v>
      </c>
      <c r="AI569" s="6">
        <v>0</v>
      </c>
      <c r="AJ569" s="6">
        <v>0.64600000000000002</v>
      </c>
      <c r="AK569" s="6">
        <v>0.6</v>
      </c>
      <c r="AL569" s="8">
        <v>1846.76</v>
      </c>
      <c r="AM569" s="6" t="s">
        <v>68</v>
      </c>
      <c r="AN569" s="6">
        <v>1</v>
      </c>
      <c r="AO569" s="6">
        <v>1</v>
      </c>
      <c r="AP569" s="6">
        <v>0</v>
      </c>
      <c r="AQ569" s="6">
        <v>1</v>
      </c>
      <c r="AR569" s="6">
        <v>0</v>
      </c>
      <c r="AS569" s="6">
        <v>1</v>
      </c>
      <c r="AT569" s="6">
        <v>0</v>
      </c>
      <c r="AU569" s="6">
        <v>2.2400000000000002</v>
      </c>
      <c r="AV569" s="6">
        <v>1.58</v>
      </c>
      <c r="AW569" s="6">
        <v>162.28</v>
      </c>
      <c r="AX569" s="6">
        <v>26.91</v>
      </c>
      <c r="AY569" s="6">
        <v>105.29</v>
      </c>
      <c r="AZ569" s="6">
        <v>13.9</v>
      </c>
      <c r="BA569" s="6">
        <v>38.5</v>
      </c>
    </row>
    <row r="570" spans="1:53" x14ac:dyDescent="0.3">
      <c r="A570" s="6">
        <v>996703082</v>
      </c>
      <c r="B570" s="6">
        <v>816751</v>
      </c>
      <c r="C570" s="6">
        <v>3011363</v>
      </c>
      <c r="D570" s="6">
        <v>9996</v>
      </c>
      <c r="E570" s="6" t="s">
        <v>185</v>
      </c>
      <c r="F570" s="6">
        <v>57902</v>
      </c>
      <c r="G570" s="6" t="s">
        <v>235</v>
      </c>
      <c r="H570" s="10">
        <v>45985</v>
      </c>
      <c r="I570" s="10">
        <v>45985</v>
      </c>
      <c r="J570" s="4">
        <v>45985.586805555555</v>
      </c>
      <c r="K570" s="4">
        <v>45985.68340277778</v>
      </c>
      <c r="L570" s="11">
        <v>45985.687569444446</v>
      </c>
      <c r="M570" s="10">
        <v>45985</v>
      </c>
      <c r="N570" s="6" t="s">
        <v>170</v>
      </c>
      <c r="O570" t="s">
        <v>183</v>
      </c>
      <c r="P570" s="6" t="s">
        <v>59</v>
      </c>
      <c r="Q570" t="s">
        <v>99</v>
      </c>
      <c r="R570" t="s">
        <v>62</v>
      </c>
      <c r="S570" s="6">
        <v>762371</v>
      </c>
      <c r="T570" s="6" t="s">
        <v>1</v>
      </c>
      <c r="U570">
        <v>113</v>
      </c>
      <c r="V570" s="6">
        <v>11.3</v>
      </c>
      <c r="W570" s="6">
        <v>4.8</v>
      </c>
      <c r="X570" s="6">
        <v>112.1</v>
      </c>
      <c r="Y570" s="6">
        <v>128.19999999999999</v>
      </c>
      <c r="Z570" s="6" t="s">
        <v>63</v>
      </c>
      <c r="AA570" t="s">
        <v>658</v>
      </c>
      <c r="AB570" s="6" t="s">
        <v>90</v>
      </c>
      <c r="AC570" t="s">
        <v>83</v>
      </c>
      <c r="AD570" t="s">
        <v>67</v>
      </c>
      <c r="AE570">
        <v>6</v>
      </c>
      <c r="AF570">
        <v>0</v>
      </c>
      <c r="AG570">
        <v>0</v>
      </c>
      <c r="AH570" s="6">
        <v>43.8</v>
      </c>
      <c r="AI570" s="6">
        <v>0</v>
      </c>
      <c r="AJ570" s="6">
        <v>0.81699999999999995</v>
      </c>
      <c r="AK570" s="6">
        <v>0.59699999999999998</v>
      </c>
      <c r="AL570" s="8">
        <v>21389.75</v>
      </c>
      <c r="AM570" s="6" t="s">
        <v>114</v>
      </c>
      <c r="AN570" s="6">
        <v>1</v>
      </c>
      <c r="AO570" s="6">
        <v>1</v>
      </c>
      <c r="AP570" s="6">
        <v>0</v>
      </c>
      <c r="AQ570" s="6">
        <v>1</v>
      </c>
      <c r="AR570" s="6">
        <v>0</v>
      </c>
      <c r="AS570" s="6">
        <v>1</v>
      </c>
      <c r="AT570" s="6">
        <v>0</v>
      </c>
      <c r="AU570" s="6">
        <v>2.52</v>
      </c>
      <c r="AW570" s="6">
        <v>96.67</v>
      </c>
      <c r="AX570" s="6">
        <v>26.71</v>
      </c>
      <c r="AY570" s="6">
        <v>64.819999999999993</v>
      </c>
      <c r="AZ570" s="6">
        <v>13.3</v>
      </c>
      <c r="BA570" s="6">
        <v>17</v>
      </c>
    </row>
    <row r="571" spans="1:53" x14ac:dyDescent="0.3">
      <c r="A571" s="6">
        <v>893112954</v>
      </c>
      <c r="B571" s="6">
        <v>898975</v>
      </c>
      <c r="C571" s="6">
        <v>4731818</v>
      </c>
      <c r="D571" s="6">
        <v>2986</v>
      </c>
      <c r="E571" s="6" t="s">
        <v>84</v>
      </c>
      <c r="F571" s="6">
        <v>51189</v>
      </c>
      <c r="G571" s="6" t="s">
        <v>102</v>
      </c>
      <c r="H571" s="10">
        <v>45987</v>
      </c>
      <c r="I571" s="10">
        <v>45987</v>
      </c>
      <c r="J571" s="4">
        <v>45987.496527777781</v>
      </c>
      <c r="K571" s="4">
        <v>45987.722731481481</v>
      </c>
      <c r="L571" s="11">
        <v>45987.692870370367</v>
      </c>
      <c r="M571" s="10">
        <v>45987</v>
      </c>
      <c r="N571" s="6" t="s">
        <v>200</v>
      </c>
      <c r="O571" t="s">
        <v>161</v>
      </c>
      <c r="P571" s="6" t="s">
        <v>70</v>
      </c>
      <c r="Q571" t="s">
        <v>322</v>
      </c>
      <c r="R571" t="s">
        <v>73</v>
      </c>
      <c r="S571" s="6">
        <v>758407</v>
      </c>
      <c r="T571" s="6" t="s">
        <v>1</v>
      </c>
      <c r="U571">
        <v>191</v>
      </c>
      <c r="V571" s="6">
        <v>18.3</v>
      </c>
      <c r="W571" s="6">
        <v>8.4</v>
      </c>
      <c r="X571" s="6">
        <v>188</v>
      </c>
      <c r="Y571" s="6">
        <v>214.7</v>
      </c>
      <c r="Z571" s="6" t="s">
        <v>80</v>
      </c>
      <c r="AA571" t="s">
        <v>236</v>
      </c>
      <c r="AB571" s="6" t="s">
        <v>75</v>
      </c>
      <c r="AC571" t="s">
        <v>125</v>
      </c>
      <c r="AD571" t="s">
        <v>67</v>
      </c>
      <c r="AE571">
        <v>-43</v>
      </c>
      <c r="AF571">
        <v>0</v>
      </c>
      <c r="AG571">
        <v>0</v>
      </c>
      <c r="AH571" s="6">
        <v>62.9</v>
      </c>
      <c r="AI571" s="6">
        <v>0</v>
      </c>
      <c r="AJ571" s="6">
        <v>0.497</v>
      </c>
      <c r="AK571" s="6">
        <v>0.73799999999999999</v>
      </c>
      <c r="AL571" s="8">
        <v>1278.68</v>
      </c>
      <c r="AM571" s="6" t="s">
        <v>68</v>
      </c>
      <c r="AN571" s="6">
        <v>1</v>
      </c>
      <c r="AO571" s="6">
        <v>1</v>
      </c>
      <c r="AP571" s="6">
        <v>0</v>
      </c>
      <c r="AQ571" s="6">
        <v>1</v>
      </c>
      <c r="AR571" s="6">
        <v>0</v>
      </c>
      <c r="AS571" s="6">
        <v>1</v>
      </c>
      <c r="AT571" s="6">
        <v>0</v>
      </c>
      <c r="AU571" s="6">
        <v>1.8</v>
      </c>
      <c r="AV571" s="6">
        <v>1.1299999999999999</v>
      </c>
      <c r="AW571" s="6">
        <v>158.13999999999999</v>
      </c>
      <c r="AX571" s="6">
        <v>43.14</v>
      </c>
      <c r="AY571" s="6">
        <v>120.91</v>
      </c>
      <c r="AZ571" s="6">
        <v>7.4</v>
      </c>
      <c r="BA571" s="6">
        <v>40.6</v>
      </c>
    </row>
    <row r="572" spans="1:53" x14ac:dyDescent="0.3">
      <c r="A572" s="6">
        <v>665359037</v>
      </c>
      <c r="B572" s="6">
        <v>440035</v>
      </c>
      <c r="C572" s="6">
        <v>1156287</v>
      </c>
      <c r="D572" s="6">
        <v>8858</v>
      </c>
      <c r="E572" s="6" t="s">
        <v>57</v>
      </c>
      <c r="F572" s="6">
        <v>57156</v>
      </c>
      <c r="G572" s="6" t="s">
        <v>69</v>
      </c>
      <c r="H572" s="10">
        <v>45777</v>
      </c>
      <c r="I572" s="10">
        <v>45777</v>
      </c>
      <c r="J572" s="4">
        <v>45777.638888888891</v>
      </c>
      <c r="K572" s="4">
        <v>45778.075844907406</v>
      </c>
      <c r="L572" s="11">
        <v>45778.033483796295</v>
      </c>
      <c r="M572" s="10">
        <v>45778</v>
      </c>
      <c r="N572" s="6" t="s">
        <v>121</v>
      </c>
      <c r="O572" t="s">
        <v>143</v>
      </c>
      <c r="P572" s="6" t="s">
        <v>121</v>
      </c>
      <c r="Q572" t="s">
        <v>143</v>
      </c>
      <c r="R572" t="s">
        <v>123</v>
      </c>
      <c r="S572" s="6">
        <v>742838</v>
      </c>
      <c r="T572" s="6" t="s">
        <v>111</v>
      </c>
      <c r="U572">
        <v>505</v>
      </c>
      <c r="V572" s="6">
        <v>11.3</v>
      </c>
      <c r="W572" s="6">
        <v>24.3</v>
      </c>
      <c r="X572" s="6">
        <v>506.5</v>
      </c>
      <c r="Y572" s="6">
        <v>542.1</v>
      </c>
      <c r="Z572" s="6" t="s">
        <v>63</v>
      </c>
      <c r="AA572" t="s">
        <v>356</v>
      </c>
      <c r="AB572" s="6" t="s">
        <v>90</v>
      </c>
      <c r="AC572" t="s">
        <v>125</v>
      </c>
      <c r="AD572" t="s">
        <v>67</v>
      </c>
      <c r="AE572">
        <v>-61</v>
      </c>
      <c r="AF572">
        <v>0</v>
      </c>
      <c r="AG572">
        <v>0</v>
      </c>
      <c r="AH572" s="6">
        <v>59.2</v>
      </c>
      <c r="AI572" s="6">
        <v>0</v>
      </c>
      <c r="AJ572" s="6">
        <v>0.52800000000000002</v>
      </c>
      <c r="AK572" s="6">
        <v>0.38500000000000001</v>
      </c>
      <c r="AL572" s="8">
        <v>920.12</v>
      </c>
      <c r="AM572" s="6" t="s">
        <v>68</v>
      </c>
      <c r="AN572" s="6">
        <v>1</v>
      </c>
      <c r="AO572" s="6">
        <v>1</v>
      </c>
      <c r="AP572" s="6">
        <v>0</v>
      </c>
      <c r="AQ572" s="6">
        <v>1</v>
      </c>
      <c r="AR572" s="6">
        <v>0</v>
      </c>
      <c r="AS572" s="6">
        <v>1</v>
      </c>
      <c r="AT572" s="6">
        <v>0</v>
      </c>
      <c r="AU572" s="6">
        <v>2.35</v>
      </c>
      <c r="AV572" s="6">
        <v>1.8</v>
      </c>
      <c r="AW572" s="6">
        <v>464</v>
      </c>
      <c r="AX572" s="6">
        <v>103.85</v>
      </c>
      <c r="AY572" s="6">
        <v>265.39999999999998</v>
      </c>
      <c r="AZ572" s="6">
        <v>8.3000000000000007</v>
      </c>
      <c r="BA572" s="6">
        <v>24.1</v>
      </c>
    </row>
    <row r="573" spans="1:53" x14ac:dyDescent="0.3">
      <c r="A573" s="6">
        <v>140531056</v>
      </c>
      <c r="B573" s="6">
        <v>955662</v>
      </c>
      <c r="C573" s="6">
        <v>8315831</v>
      </c>
      <c r="D573" s="6">
        <v>9445</v>
      </c>
      <c r="E573" s="6" t="s">
        <v>84</v>
      </c>
      <c r="F573" s="6">
        <v>57342</v>
      </c>
      <c r="G573" s="6" t="s">
        <v>127</v>
      </c>
      <c r="H573" s="10">
        <v>46005</v>
      </c>
      <c r="I573" s="10">
        <v>46005</v>
      </c>
      <c r="J573" s="4">
        <v>46005.569444444445</v>
      </c>
      <c r="K573" s="4">
        <v>46005.725324074076</v>
      </c>
      <c r="L573" s="11">
        <v>46005.729490740741</v>
      </c>
      <c r="M573" s="10">
        <v>46005</v>
      </c>
      <c r="N573" s="6" t="s">
        <v>93</v>
      </c>
      <c r="O573" t="s">
        <v>94</v>
      </c>
      <c r="P573" s="6" t="s">
        <v>116</v>
      </c>
      <c r="Q573" t="s">
        <v>212</v>
      </c>
      <c r="R573" t="s">
        <v>123</v>
      </c>
      <c r="S573" s="6">
        <v>720446</v>
      </c>
      <c r="T573" s="6" t="s">
        <v>1</v>
      </c>
      <c r="U573">
        <v>107</v>
      </c>
      <c r="V573" s="6">
        <v>45</v>
      </c>
      <c r="W573" s="6">
        <v>33.5</v>
      </c>
      <c r="X573" s="6">
        <v>100.2</v>
      </c>
      <c r="Y573" s="6">
        <v>178.7</v>
      </c>
      <c r="Z573" s="6" t="s">
        <v>80</v>
      </c>
      <c r="AA573" t="s">
        <v>345</v>
      </c>
      <c r="AB573" s="6" t="s">
        <v>75</v>
      </c>
      <c r="AC573" t="s">
        <v>91</v>
      </c>
      <c r="AD573" t="s">
        <v>67</v>
      </c>
      <c r="AE573">
        <v>6</v>
      </c>
      <c r="AF573">
        <v>0</v>
      </c>
      <c r="AG573">
        <v>0</v>
      </c>
      <c r="AH573" s="6">
        <v>39.4</v>
      </c>
      <c r="AI573" s="6">
        <v>0</v>
      </c>
      <c r="AJ573" s="6">
        <v>0.60299999999999998</v>
      </c>
      <c r="AK573" s="6">
        <v>0.59199999999999997</v>
      </c>
      <c r="AL573" s="8">
        <v>2665.72</v>
      </c>
      <c r="AM573" s="6" t="s">
        <v>68</v>
      </c>
      <c r="AN573" s="6">
        <v>1</v>
      </c>
      <c r="AO573" s="6">
        <v>1</v>
      </c>
      <c r="AP573" s="6">
        <v>0</v>
      </c>
      <c r="AQ573" s="6">
        <v>1</v>
      </c>
      <c r="AR573" s="6">
        <v>0</v>
      </c>
      <c r="AS573" s="6">
        <v>1</v>
      </c>
      <c r="AT573" s="6">
        <v>0</v>
      </c>
      <c r="AU573" s="6">
        <v>2.19</v>
      </c>
      <c r="AV573" s="6">
        <v>1.3</v>
      </c>
      <c r="AW573" s="6">
        <v>139.04</v>
      </c>
      <c r="AX573" s="6">
        <v>26.76</v>
      </c>
      <c r="AY573" s="6">
        <v>101.97</v>
      </c>
      <c r="AZ573" s="6">
        <v>18.100000000000001</v>
      </c>
      <c r="BA573" s="6">
        <v>39.799999999999997</v>
      </c>
    </row>
    <row r="574" spans="1:53" x14ac:dyDescent="0.3">
      <c r="A574" s="6">
        <v>810741110</v>
      </c>
      <c r="B574" s="6">
        <v>897549</v>
      </c>
      <c r="C574" s="6">
        <v>9722815</v>
      </c>
      <c r="D574" s="6">
        <v>6592</v>
      </c>
      <c r="E574" s="6" t="s">
        <v>142</v>
      </c>
      <c r="F574" s="6">
        <v>56884</v>
      </c>
      <c r="G574" s="6" t="s">
        <v>98</v>
      </c>
      <c r="H574" s="10">
        <v>45667</v>
      </c>
      <c r="I574" s="10">
        <v>45667</v>
      </c>
      <c r="J574" s="4">
        <v>45667.402777777781</v>
      </c>
      <c r="K574" s="4">
        <v>45667.581261574072</v>
      </c>
      <c r="L574" s="11">
        <v>45667.553483796299</v>
      </c>
      <c r="M574" s="10">
        <v>45667</v>
      </c>
      <c r="N574" s="6" t="s">
        <v>78</v>
      </c>
      <c r="O574" t="s">
        <v>222</v>
      </c>
      <c r="P574" s="6" t="s">
        <v>150</v>
      </c>
      <c r="Q574" t="s">
        <v>311</v>
      </c>
      <c r="R574" t="s">
        <v>73</v>
      </c>
      <c r="S574" s="6">
        <v>707878</v>
      </c>
      <c r="T574" s="6" t="s">
        <v>1</v>
      </c>
      <c r="U574">
        <v>231</v>
      </c>
      <c r="V574" s="6">
        <v>36.799999999999997</v>
      </c>
      <c r="W574" s="6">
        <v>33.200000000000003</v>
      </c>
      <c r="X574" s="6">
        <v>228.1</v>
      </c>
      <c r="Y574" s="6">
        <v>298.10000000000002</v>
      </c>
      <c r="Z574" s="6" t="s">
        <v>63</v>
      </c>
      <c r="AA574" t="s">
        <v>429</v>
      </c>
      <c r="AB574" s="6" t="s">
        <v>97</v>
      </c>
      <c r="AC574" t="s">
        <v>154</v>
      </c>
      <c r="AD574" t="s">
        <v>67</v>
      </c>
      <c r="AE574">
        <v>-40</v>
      </c>
      <c r="AF574">
        <v>0</v>
      </c>
      <c r="AG574">
        <v>0</v>
      </c>
      <c r="AH574" s="6">
        <v>35.5</v>
      </c>
      <c r="AI574" s="6">
        <v>0</v>
      </c>
      <c r="AJ574" s="6">
        <v>0.52800000000000002</v>
      </c>
      <c r="AK574" s="6">
        <v>0.439</v>
      </c>
      <c r="AL574" s="8">
        <v>17222.96</v>
      </c>
      <c r="AM574" s="6" t="s">
        <v>114</v>
      </c>
      <c r="AN574" s="6">
        <v>1</v>
      </c>
      <c r="AO574" s="6">
        <v>1</v>
      </c>
      <c r="AP574" s="6">
        <v>0</v>
      </c>
      <c r="AQ574" s="6">
        <v>1</v>
      </c>
      <c r="AR574" s="6">
        <v>0</v>
      </c>
      <c r="AS574" s="6">
        <v>1</v>
      </c>
      <c r="AT574" s="6">
        <v>0</v>
      </c>
      <c r="AU574" s="6">
        <v>2.0699999999999998</v>
      </c>
      <c r="AV574" s="6">
        <v>1.41</v>
      </c>
      <c r="AW574" s="6">
        <v>239.16</v>
      </c>
      <c r="AX574" s="6">
        <v>61.02</v>
      </c>
      <c r="AY574" s="6">
        <v>191.13</v>
      </c>
      <c r="AZ574" s="6">
        <v>13.4</v>
      </c>
      <c r="BA574" s="6">
        <v>63.1</v>
      </c>
    </row>
    <row r="575" spans="1:53" x14ac:dyDescent="0.3">
      <c r="A575" s="6">
        <v>461597989</v>
      </c>
      <c r="B575" s="6">
        <v>198246</v>
      </c>
      <c r="C575" s="6">
        <v>9626108</v>
      </c>
      <c r="D575" s="6">
        <v>5555</v>
      </c>
      <c r="E575" s="6" t="s">
        <v>57</v>
      </c>
      <c r="F575" s="6">
        <v>53157</v>
      </c>
      <c r="G575" s="6" t="s">
        <v>164</v>
      </c>
      <c r="H575" s="10">
        <v>45795</v>
      </c>
      <c r="I575" s="10">
        <v>45795</v>
      </c>
      <c r="J575" s="4">
        <v>45795.503472222219</v>
      </c>
      <c r="K575" s="4">
        <v>45795.565972222219</v>
      </c>
      <c r="L575" s="11">
        <v>45795.699305555558</v>
      </c>
      <c r="M575" s="10">
        <v>45795</v>
      </c>
      <c r="N575" s="6" t="s">
        <v>70</v>
      </c>
      <c r="O575" t="s">
        <v>72</v>
      </c>
      <c r="P575" s="6" t="s">
        <v>109</v>
      </c>
      <c r="Q575" t="s">
        <v>161</v>
      </c>
      <c r="R575" t="s">
        <v>88</v>
      </c>
      <c r="S575" s="6">
        <v>795672</v>
      </c>
      <c r="T575" s="6" t="s">
        <v>3</v>
      </c>
      <c r="U575">
        <v>65</v>
      </c>
      <c r="V575" s="6">
        <v>2.4</v>
      </c>
      <c r="W575" s="6">
        <v>34.200000000000003</v>
      </c>
      <c r="X575" s="6">
        <v>68</v>
      </c>
      <c r="Y575" s="6">
        <v>104.6</v>
      </c>
      <c r="Z575" s="6" t="s">
        <v>80</v>
      </c>
      <c r="AA575" t="s">
        <v>382</v>
      </c>
      <c r="AB575" s="6" t="s">
        <v>75</v>
      </c>
      <c r="AC575" t="s">
        <v>91</v>
      </c>
      <c r="AD575" t="s">
        <v>206</v>
      </c>
      <c r="AE575">
        <v>192</v>
      </c>
      <c r="AF575">
        <v>210</v>
      </c>
      <c r="AG575">
        <v>0</v>
      </c>
      <c r="AH575" s="6">
        <v>91.5</v>
      </c>
      <c r="AI575" s="6">
        <v>0</v>
      </c>
      <c r="AJ575" s="6">
        <v>0.38800000000000001</v>
      </c>
      <c r="AK575" s="6">
        <v>0.79300000000000004</v>
      </c>
      <c r="AL575" s="8">
        <v>5885.99</v>
      </c>
      <c r="AM575" s="6" t="s">
        <v>68</v>
      </c>
      <c r="AN575" s="6">
        <v>1</v>
      </c>
      <c r="AO575" s="6">
        <v>0</v>
      </c>
      <c r="AP575" s="6">
        <v>1</v>
      </c>
      <c r="AQ575" s="6">
        <v>0</v>
      </c>
      <c r="AR575" s="6">
        <v>1</v>
      </c>
      <c r="AS575" s="6">
        <v>0</v>
      </c>
      <c r="AT575" s="6">
        <v>1</v>
      </c>
      <c r="AU575" s="6">
        <v>2.0499999999999998</v>
      </c>
      <c r="AW575" s="6">
        <v>67.989999999999995</v>
      </c>
      <c r="AX575" s="6">
        <v>13.56</v>
      </c>
      <c r="AY575" s="6">
        <v>70.599999999999994</v>
      </c>
      <c r="AZ575" s="6">
        <v>11.5</v>
      </c>
      <c r="BA575" s="6">
        <v>7.2</v>
      </c>
    </row>
    <row r="576" spans="1:53" x14ac:dyDescent="0.3">
      <c r="A576" s="6">
        <v>922816526</v>
      </c>
      <c r="B576" s="6">
        <v>598369</v>
      </c>
      <c r="C576" s="6">
        <v>6266630</v>
      </c>
      <c r="D576" s="6">
        <v>3869</v>
      </c>
      <c r="E576" s="6" t="s">
        <v>126</v>
      </c>
      <c r="F576" s="6">
        <v>55520</v>
      </c>
      <c r="G576" s="6" t="s">
        <v>102</v>
      </c>
      <c r="H576" s="10">
        <v>45984</v>
      </c>
      <c r="I576" s="10">
        <v>45984</v>
      </c>
      <c r="J576" s="4">
        <v>45984.520833333336</v>
      </c>
      <c r="K576" s="4">
        <v>45984.864525462966</v>
      </c>
      <c r="L576" s="11">
        <v>45984.881886574076</v>
      </c>
      <c r="M576" s="10">
        <v>45984</v>
      </c>
      <c r="N576" s="6" t="s">
        <v>150</v>
      </c>
      <c r="O576" t="s">
        <v>151</v>
      </c>
      <c r="P576" s="6" t="s">
        <v>150</v>
      </c>
      <c r="Q576" t="s">
        <v>265</v>
      </c>
      <c r="R576" t="s">
        <v>73</v>
      </c>
      <c r="S576" s="6">
        <v>710286</v>
      </c>
      <c r="T576" s="6" t="s">
        <v>111</v>
      </c>
      <c r="U576">
        <v>490</v>
      </c>
      <c r="V576" s="6">
        <v>67.400000000000006</v>
      </c>
      <c r="W576" s="6">
        <v>7.3</v>
      </c>
      <c r="X576" s="6">
        <v>491.2</v>
      </c>
      <c r="Y576" s="6">
        <v>565.9</v>
      </c>
      <c r="Z576" s="6" t="s">
        <v>63</v>
      </c>
      <c r="AA576" t="s">
        <v>659</v>
      </c>
      <c r="AB576" s="6" t="s">
        <v>75</v>
      </c>
      <c r="AC576" t="s">
        <v>91</v>
      </c>
      <c r="AD576" t="s">
        <v>67</v>
      </c>
      <c r="AE576">
        <v>25</v>
      </c>
      <c r="AF576">
        <v>0</v>
      </c>
      <c r="AG576">
        <v>0</v>
      </c>
      <c r="AH576" s="6">
        <v>46.2</v>
      </c>
      <c r="AI576" s="6">
        <v>0</v>
      </c>
      <c r="AJ576" s="6">
        <v>0.38500000000000001</v>
      </c>
      <c r="AK576" s="6">
        <v>0.68700000000000006</v>
      </c>
      <c r="AL576" s="8">
        <v>113410.52</v>
      </c>
      <c r="AM576" s="6" t="s">
        <v>155</v>
      </c>
      <c r="AN576" s="6">
        <v>1</v>
      </c>
      <c r="AO576" s="6">
        <v>0</v>
      </c>
      <c r="AP576" s="6">
        <v>1</v>
      </c>
      <c r="AQ576" s="6">
        <v>0</v>
      </c>
      <c r="AR576" s="6">
        <v>1</v>
      </c>
      <c r="AS576" s="6">
        <v>0</v>
      </c>
      <c r="AT576" s="6">
        <v>1</v>
      </c>
      <c r="AU576" s="6">
        <v>2.54</v>
      </c>
      <c r="AV576" s="6">
        <v>1.79</v>
      </c>
      <c r="AW576" s="6">
        <v>430.9</v>
      </c>
      <c r="AX576" s="6">
        <v>58.24</v>
      </c>
      <c r="AY576" s="6">
        <v>350.37</v>
      </c>
      <c r="AZ576" s="6">
        <v>26.1</v>
      </c>
      <c r="BA576" s="6">
        <v>53.5</v>
      </c>
    </row>
    <row r="577" spans="1:53" x14ac:dyDescent="0.3">
      <c r="A577" s="6">
        <v>763606238</v>
      </c>
      <c r="B577" s="6">
        <v>728038</v>
      </c>
      <c r="C577" s="6">
        <v>1463060</v>
      </c>
      <c r="D577" s="6">
        <v>7287</v>
      </c>
      <c r="E577" s="6" t="s">
        <v>57</v>
      </c>
      <c r="F577" s="6">
        <v>51741</v>
      </c>
      <c r="G577" s="6" t="s">
        <v>77</v>
      </c>
      <c r="H577" s="10">
        <v>45758</v>
      </c>
      <c r="I577" s="10">
        <v>45758</v>
      </c>
      <c r="J577" s="4">
        <v>45758.697916666664</v>
      </c>
      <c r="K577" s="4">
        <v>45758.788993055554</v>
      </c>
      <c r="L577" s="11">
        <v>45758.788993055554</v>
      </c>
      <c r="M577" s="10">
        <v>45758</v>
      </c>
      <c r="N577" s="6" t="s">
        <v>170</v>
      </c>
      <c r="O577" t="s">
        <v>269</v>
      </c>
      <c r="P577" s="6" t="s">
        <v>129</v>
      </c>
      <c r="Q577" t="s">
        <v>156</v>
      </c>
      <c r="R577" t="s">
        <v>123</v>
      </c>
      <c r="S577" s="6">
        <v>737226</v>
      </c>
      <c r="T577" s="6" t="s">
        <v>3</v>
      </c>
      <c r="U577">
        <v>27</v>
      </c>
      <c r="V577" s="6">
        <v>18.100000000000001</v>
      </c>
      <c r="W577" s="6">
        <v>7.3</v>
      </c>
      <c r="X577" s="6">
        <v>24.8</v>
      </c>
      <c r="Y577" s="6">
        <v>50.2</v>
      </c>
      <c r="Z577" s="6" t="s">
        <v>63</v>
      </c>
      <c r="AA577" t="s">
        <v>660</v>
      </c>
      <c r="AB577" s="6" t="s">
        <v>90</v>
      </c>
      <c r="AC577" t="s">
        <v>154</v>
      </c>
      <c r="AD577" t="s">
        <v>67</v>
      </c>
      <c r="AE577">
        <v>0</v>
      </c>
      <c r="AF577">
        <v>0</v>
      </c>
      <c r="AG577">
        <v>0</v>
      </c>
      <c r="AH577" s="6">
        <v>30.9</v>
      </c>
      <c r="AI577" s="6">
        <v>0</v>
      </c>
      <c r="AJ577" s="6">
        <v>0.81799999999999995</v>
      </c>
      <c r="AK577" s="6">
        <v>0.78600000000000003</v>
      </c>
      <c r="AL577" s="8">
        <v>4380.13</v>
      </c>
      <c r="AM577" s="6" t="s">
        <v>68</v>
      </c>
      <c r="AN577" s="6">
        <v>1</v>
      </c>
      <c r="AO577" s="6">
        <v>1</v>
      </c>
      <c r="AP577" s="6">
        <v>0</v>
      </c>
      <c r="AQ577" s="6">
        <v>1</v>
      </c>
      <c r="AR577" s="6">
        <v>0</v>
      </c>
      <c r="AS577" s="6">
        <v>1</v>
      </c>
      <c r="AT577" s="6">
        <v>0</v>
      </c>
      <c r="AU577" s="6">
        <v>2.34</v>
      </c>
      <c r="AV577" s="6">
        <v>1.46</v>
      </c>
      <c r="AW577" s="6">
        <v>33.090000000000003</v>
      </c>
      <c r="AX577" s="6">
        <v>7.63</v>
      </c>
      <c r="AY577" s="6">
        <v>32.43</v>
      </c>
      <c r="AZ577" s="6">
        <v>13.6</v>
      </c>
      <c r="BA577" s="6">
        <v>36.6</v>
      </c>
    </row>
    <row r="578" spans="1:53" x14ac:dyDescent="0.3">
      <c r="A578" s="6">
        <v>240712839</v>
      </c>
      <c r="B578" s="6">
        <v>982554</v>
      </c>
      <c r="C578" s="6">
        <v>4740036</v>
      </c>
      <c r="D578" s="6">
        <v>3976</v>
      </c>
      <c r="E578" s="6" t="s">
        <v>84</v>
      </c>
      <c r="F578" s="6">
        <v>53688</v>
      </c>
      <c r="G578" s="6" t="s">
        <v>115</v>
      </c>
      <c r="H578" s="10">
        <v>45757</v>
      </c>
      <c r="I578" s="10">
        <v>45757</v>
      </c>
      <c r="J578" s="4">
        <v>45757.875</v>
      </c>
      <c r="K578" s="4">
        <v>45758.084409722222</v>
      </c>
      <c r="L578" s="11">
        <v>45758.057326388887</v>
      </c>
      <c r="M578" s="10">
        <v>45758</v>
      </c>
      <c r="N578" s="6" t="s">
        <v>70</v>
      </c>
      <c r="O578" t="s">
        <v>152</v>
      </c>
      <c r="P578" s="6" t="s">
        <v>109</v>
      </c>
      <c r="Q578" t="s">
        <v>193</v>
      </c>
      <c r="R578" t="s">
        <v>88</v>
      </c>
      <c r="S578" s="6">
        <v>795672</v>
      </c>
      <c r="T578" s="6" t="s">
        <v>1</v>
      </c>
      <c r="U578">
        <v>251</v>
      </c>
      <c r="V578" s="6">
        <v>27.3</v>
      </c>
      <c r="W578" s="6">
        <v>22.8</v>
      </c>
      <c r="X578" s="6">
        <v>248.9</v>
      </c>
      <c r="Y578" s="6">
        <v>299</v>
      </c>
      <c r="Z578" s="6" t="s">
        <v>63</v>
      </c>
      <c r="AA578" t="s">
        <v>661</v>
      </c>
      <c r="AB578" s="6" t="s">
        <v>65</v>
      </c>
      <c r="AC578" t="s">
        <v>137</v>
      </c>
      <c r="AD578" t="s">
        <v>67</v>
      </c>
      <c r="AE578">
        <v>-39</v>
      </c>
      <c r="AF578">
        <v>0</v>
      </c>
      <c r="AG578">
        <v>1.5</v>
      </c>
      <c r="AH578" s="6">
        <v>27.5</v>
      </c>
      <c r="AI578" s="6">
        <v>0</v>
      </c>
      <c r="AJ578" s="6">
        <v>0.45100000000000001</v>
      </c>
      <c r="AK578" s="6">
        <v>0.49399999999999999</v>
      </c>
      <c r="AL578" s="8">
        <v>3070.04</v>
      </c>
      <c r="AM578" s="6" t="s">
        <v>68</v>
      </c>
      <c r="AN578" s="6">
        <v>1</v>
      </c>
      <c r="AO578" s="6">
        <v>1</v>
      </c>
      <c r="AP578" s="6">
        <v>0</v>
      </c>
      <c r="AQ578" s="6">
        <v>1</v>
      </c>
      <c r="AR578" s="6">
        <v>0</v>
      </c>
      <c r="AS578" s="6">
        <v>1</v>
      </c>
      <c r="AT578" s="6">
        <v>0</v>
      </c>
      <c r="AU578" s="6">
        <v>2.42</v>
      </c>
      <c r="AV578" s="6">
        <v>1.87</v>
      </c>
      <c r="AW578" s="6">
        <v>190.21</v>
      </c>
      <c r="AX578" s="6">
        <v>62.89</v>
      </c>
      <c r="AY578" s="6">
        <v>203.31</v>
      </c>
      <c r="AZ578" s="6">
        <v>44.5</v>
      </c>
      <c r="BA578" s="6">
        <v>32.9</v>
      </c>
    </row>
    <row r="579" spans="1:53" x14ac:dyDescent="0.3">
      <c r="A579" s="6">
        <v>741288486</v>
      </c>
      <c r="B579" s="6">
        <v>988662</v>
      </c>
      <c r="C579" s="6">
        <v>2264748</v>
      </c>
      <c r="D579" s="6">
        <v>2021</v>
      </c>
      <c r="E579" s="6" t="s">
        <v>57</v>
      </c>
      <c r="F579" s="6">
        <v>57485</v>
      </c>
      <c r="G579" s="6" t="s">
        <v>203</v>
      </c>
      <c r="H579" s="10">
        <v>45768</v>
      </c>
      <c r="I579" s="10">
        <v>45768</v>
      </c>
      <c r="J579" s="4">
        <v>45768.572916666664</v>
      </c>
      <c r="K579" s="4">
        <v>45768.764722222222</v>
      </c>
      <c r="L579" s="11">
        <v>45768.73</v>
      </c>
      <c r="M579" s="10">
        <v>45768</v>
      </c>
      <c r="N579" s="6" t="s">
        <v>103</v>
      </c>
      <c r="O579" t="s">
        <v>285</v>
      </c>
      <c r="P579" s="6" t="s">
        <v>103</v>
      </c>
      <c r="Q579" t="s">
        <v>104</v>
      </c>
      <c r="R579" t="s">
        <v>73</v>
      </c>
      <c r="S579" s="6">
        <v>783084</v>
      </c>
      <c r="T579" s="6" t="s">
        <v>1</v>
      </c>
      <c r="U579">
        <v>251</v>
      </c>
      <c r="V579" s="6">
        <v>15.9</v>
      </c>
      <c r="W579" s="6">
        <v>7.2</v>
      </c>
      <c r="X579" s="6">
        <v>248.1</v>
      </c>
      <c r="Y579" s="6">
        <v>271.2</v>
      </c>
      <c r="Z579" s="6" t="s">
        <v>2</v>
      </c>
      <c r="AA579" t="s">
        <v>662</v>
      </c>
      <c r="AB579" s="6" t="s">
        <v>75</v>
      </c>
      <c r="AC579" t="s">
        <v>83</v>
      </c>
      <c r="AD579" t="s">
        <v>67</v>
      </c>
      <c r="AE579">
        <v>-50</v>
      </c>
      <c r="AF579">
        <v>0</v>
      </c>
      <c r="AG579">
        <v>0</v>
      </c>
      <c r="AH579" s="6">
        <v>35.200000000000003</v>
      </c>
      <c r="AI579" s="6">
        <v>0</v>
      </c>
      <c r="AJ579" s="6">
        <v>0.747</v>
      </c>
      <c r="AK579" s="6">
        <v>0.6</v>
      </c>
      <c r="AL579" s="8">
        <v>4407.22</v>
      </c>
      <c r="AM579" s="6" t="s">
        <v>68</v>
      </c>
      <c r="AN579" s="6">
        <v>1</v>
      </c>
      <c r="AO579" s="6">
        <v>1</v>
      </c>
      <c r="AP579" s="6">
        <v>0</v>
      </c>
      <c r="AQ579" s="6">
        <v>1</v>
      </c>
      <c r="AR579" s="6">
        <v>0</v>
      </c>
      <c r="AS579" s="6">
        <v>1</v>
      </c>
      <c r="AT579" s="6">
        <v>0</v>
      </c>
      <c r="AU579" s="6">
        <v>2.27</v>
      </c>
      <c r="AV579" s="6">
        <v>1.8</v>
      </c>
      <c r="AW579" s="6">
        <v>224.23</v>
      </c>
      <c r="AX579" s="6">
        <v>45.71</v>
      </c>
      <c r="AY579" s="6">
        <v>180.5</v>
      </c>
      <c r="AZ579" s="6">
        <v>3.2</v>
      </c>
      <c r="BA579" s="6">
        <v>48.6</v>
      </c>
    </row>
    <row r="580" spans="1:53" x14ac:dyDescent="0.3">
      <c r="A580" s="6">
        <v>504499880</v>
      </c>
      <c r="B580" s="6">
        <v>260263</v>
      </c>
      <c r="C580" s="6">
        <v>5674183</v>
      </c>
      <c r="D580" s="6">
        <v>5736</v>
      </c>
      <c r="E580" s="6" t="s">
        <v>185</v>
      </c>
      <c r="F580" s="6">
        <v>55369</v>
      </c>
      <c r="G580" s="6" t="s">
        <v>127</v>
      </c>
      <c r="H580" s="10">
        <v>45881</v>
      </c>
      <c r="I580" s="10">
        <v>45881</v>
      </c>
      <c r="J580" s="4">
        <v>45881.673611111109</v>
      </c>
      <c r="K580" s="4">
        <v>45882.078379629631</v>
      </c>
      <c r="L580" s="11">
        <v>45882.054074074076</v>
      </c>
      <c r="M580" s="10">
        <v>45882</v>
      </c>
      <c r="N580" s="6" t="s">
        <v>86</v>
      </c>
      <c r="O580" t="s">
        <v>268</v>
      </c>
      <c r="P580" s="6" t="s">
        <v>176</v>
      </c>
      <c r="Q580" t="s">
        <v>227</v>
      </c>
      <c r="R580" t="s">
        <v>88</v>
      </c>
      <c r="S580" s="6">
        <v>788294</v>
      </c>
      <c r="T580" s="6" t="s">
        <v>111</v>
      </c>
      <c r="U580">
        <v>443</v>
      </c>
      <c r="V580" s="6">
        <v>29.6</v>
      </c>
      <c r="W580" s="6">
        <v>35</v>
      </c>
      <c r="X580" s="6">
        <v>441</v>
      </c>
      <c r="Y580" s="6">
        <v>505.6</v>
      </c>
      <c r="Z580" s="6" t="s">
        <v>2</v>
      </c>
      <c r="AA580" t="s">
        <v>663</v>
      </c>
      <c r="AB580" s="6" t="s">
        <v>90</v>
      </c>
      <c r="AC580" t="s">
        <v>66</v>
      </c>
      <c r="AD580" t="s">
        <v>67</v>
      </c>
      <c r="AE580">
        <v>-35</v>
      </c>
      <c r="AF580">
        <v>0</v>
      </c>
      <c r="AG580">
        <v>0</v>
      </c>
      <c r="AH580" s="6">
        <v>31.9</v>
      </c>
      <c r="AI580" s="6">
        <v>0</v>
      </c>
      <c r="AJ580" s="6">
        <v>0.52500000000000002</v>
      </c>
      <c r="AK580" s="6">
        <v>0.70499999999999996</v>
      </c>
      <c r="AL580" s="8">
        <v>22684.720000000001</v>
      </c>
      <c r="AM580" s="6" t="s">
        <v>114</v>
      </c>
      <c r="AN580" s="6">
        <v>1</v>
      </c>
      <c r="AO580" s="6">
        <v>1</v>
      </c>
      <c r="AP580" s="6">
        <v>0</v>
      </c>
      <c r="AQ580" s="6">
        <v>1</v>
      </c>
      <c r="AR580" s="6">
        <v>0</v>
      </c>
      <c r="AS580" s="6">
        <v>1</v>
      </c>
      <c r="AT580" s="6">
        <v>0</v>
      </c>
      <c r="AU580" s="6">
        <v>2.4900000000000002</v>
      </c>
      <c r="AV580" s="6">
        <v>1.74</v>
      </c>
      <c r="AW580" s="6">
        <v>355.16</v>
      </c>
      <c r="AX580" s="6">
        <v>64.48</v>
      </c>
      <c r="AY580" s="6">
        <v>281.52</v>
      </c>
      <c r="AZ580" s="6">
        <v>30.8</v>
      </c>
      <c r="BA580" s="6">
        <v>29.6</v>
      </c>
    </row>
    <row r="581" spans="1:53" x14ac:dyDescent="0.3">
      <c r="A581" s="6">
        <v>265627642</v>
      </c>
      <c r="B581" s="6">
        <v>217301</v>
      </c>
      <c r="C581" s="6">
        <v>5453786</v>
      </c>
      <c r="D581" s="6">
        <v>5548</v>
      </c>
      <c r="E581" s="6" t="s">
        <v>142</v>
      </c>
      <c r="F581" s="6">
        <v>55644</v>
      </c>
      <c r="G581" s="6" t="s">
        <v>164</v>
      </c>
      <c r="H581" s="10">
        <v>45817</v>
      </c>
      <c r="I581" s="10">
        <v>45817</v>
      </c>
      <c r="J581" s="4">
        <v>45817.256944444445</v>
      </c>
      <c r="K581" s="4">
        <v>45817.581446759257</v>
      </c>
      <c r="L581" s="11">
        <v>45817.741863425923</v>
      </c>
      <c r="M581" s="10">
        <v>45817</v>
      </c>
      <c r="N581" s="6" t="s">
        <v>170</v>
      </c>
      <c r="O581" t="s">
        <v>171</v>
      </c>
      <c r="P581" s="6" t="s">
        <v>70</v>
      </c>
      <c r="Q581" t="s">
        <v>72</v>
      </c>
      <c r="R581" t="s">
        <v>73</v>
      </c>
      <c r="S581" s="6">
        <v>705699</v>
      </c>
      <c r="T581" s="6" t="s">
        <v>1</v>
      </c>
      <c r="U581">
        <v>307</v>
      </c>
      <c r="V581" s="6">
        <v>23.7</v>
      </c>
      <c r="W581" s="6">
        <v>18.899999999999999</v>
      </c>
      <c r="X581" s="6">
        <v>304</v>
      </c>
      <c r="Y581" s="6">
        <v>346.6</v>
      </c>
      <c r="Z581" s="6" t="s">
        <v>112</v>
      </c>
      <c r="AA581" t="s">
        <v>306</v>
      </c>
      <c r="AB581" s="6" t="s">
        <v>97</v>
      </c>
      <c r="AC581" t="s">
        <v>83</v>
      </c>
      <c r="AD581" t="s">
        <v>188</v>
      </c>
      <c r="AE581">
        <v>231</v>
      </c>
      <c r="AF581">
        <v>0</v>
      </c>
      <c r="AG581">
        <v>4.2</v>
      </c>
      <c r="AH581" s="6">
        <v>28.2</v>
      </c>
      <c r="AI581" s="6">
        <v>0</v>
      </c>
      <c r="AJ581" s="6">
        <v>0.79500000000000004</v>
      </c>
      <c r="AK581" s="6">
        <v>0.755</v>
      </c>
      <c r="AL581" s="8">
        <v>10248.02</v>
      </c>
      <c r="AM581" s="6" t="s">
        <v>114</v>
      </c>
      <c r="AN581" s="6">
        <v>1</v>
      </c>
      <c r="AO581" s="6">
        <v>0</v>
      </c>
      <c r="AP581" s="6">
        <v>1</v>
      </c>
      <c r="AQ581" s="6">
        <v>0</v>
      </c>
      <c r="AR581" s="6">
        <v>1</v>
      </c>
      <c r="AS581" s="6">
        <v>0</v>
      </c>
      <c r="AT581" s="6">
        <v>1</v>
      </c>
      <c r="AU581" s="6">
        <v>2.13</v>
      </c>
      <c r="AV581" s="6">
        <v>1.36</v>
      </c>
      <c r="AW581" s="6">
        <v>315.24</v>
      </c>
      <c r="AX581" s="6">
        <v>61.73</v>
      </c>
      <c r="AY581" s="6">
        <v>214.07</v>
      </c>
      <c r="AZ581" s="6">
        <v>13</v>
      </c>
      <c r="BA581" s="6">
        <v>41.3</v>
      </c>
    </row>
    <row r="582" spans="1:53" x14ac:dyDescent="0.3">
      <c r="A582" s="6">
        <v>274211616</v>
      </c>
      <c r="B582" s="6">
        <v>705397</v>
      </c>
      <c r="C582" s="6">
        <v>5449368</v>
      </c>
      <c r="D582" s="6">
        <v>5859</v>
      </c>
      <c r="E582" s="6" t="s">
        <v>84</v>
      </c>
      <c r="F582" s="6">
        <v>59089</v>
      </c>
      <c r="G582" s="6" t="s">
        <v>146</v>
      </c>
      <c r="H582" s="10">
        <v>45923</v>
      </c>
      <c r="I582" s="10">
        <v>45923</v>
      </c>
      <c r="J582" s="4">
        <v>45923.680555555555</v>
      </c>
      <c r="K582" s="4">
        <v>45924.120451388888</v>
      </c>
      <c r="L582" s="11">
        <v>45924.219756944447</v>
      </c>
      <c r="M582" s="10">
        <v>45924</v>
      </c>
      <c r="N582" s="6" t="s">
        <v>59</v>
      </c>
      <c r="O582" t="s">
        <v>99</v>
      </c>
      <c r="P582" s="6" t="s">
        <v>200</v>
      </c>
      <c r="Q582" t="s">
        <v>275</v>
      </c>
      <c r="R582" t="s">
        <v>62</v>
      </c>
      <c r="S582" s="6">
        <v>771620</v>
      </c>
      <c r="T582" s="6" t="s">
        <v>111</v>
      </c>
      <c r="U582">
        <v>479</v>
      </c>
      <c r="V582" s="6">
        <v>3.2</v>
      </c>
      <c r="W582" s="6">
        <v>8.5</v>
      </c>
      <c r="X582" s="6">
        <v>476.8</v>
      </c>
      <c r="Y582" s="6">
        <v>488.5</v>
      </c>
      <c r="Z582" s="6" t="s">
        <v>2</v>
      </c>
      <c r="AA582" t="s">
        <v>664</v>
      </c>
      <c r="AB582" s="6" t="s">
        <v>90</v>
      </c>
      <c r="AC582" t="s">
        <v>66</v>
      </c>
      <c r="AD582" t="s">
        <v>206</v>
      </c>
      <c r="AE582">
        <v>143</v>
      </c>
      <c r="AF582">
        <v>225</v>
      </c>
      <c r="AG582">
        <v>0</v>
      </c>
      <c r="AH582" s="6">
        <v>74.3</v>
      </c>
      <c r="AI582" s="6">
        <v>0</v>
      </c>
      <c r="AJ582" s="6">
        <v>0.75900000000000001</v>
      </c>
      <c r="AK582" s="6">
        <v>0.55300000000000005</v>
      </c>
      <c r="AL582" s="8">
        <v>4139.45</v>
      </c>
      <c r="AM582" s="6" t="s">
        <v>68</v>
      </c>
      <c r="AN582" s="6">
        <v>1</v>
      </c>
      <c r="AO582" s="6">
        <v>0</v>
      </c>
      <c r="AP582" s="6">
        <v>1</v>
      </c>
      <c r="AQ582" s="6">
        <v>0</v>
      </c>
      <c r="AR582" s="6">
        <v>1</v>
      </c>
      <c r="AS582" s="6">
        <v>0</v>
      </c>
      <c r="AT582" s="6">
        <v>1</v>
      </c>
      <c r="AU582" s="6">
        <v>2.19</v>
      </c>
      <c r="AV582" s="6">
        <v>1.69</v>
      </c>
      <c r="AW582" s="6">
        <v>391.61</v>
      </c>
      <c r="AX582" s="6">
        <v>92.52</v>
      </c>
      <c r="AY582" s="6">
        <v>265.52999999999997</v>
      </c>
      <c r="AZ582" s="6">
        <v>11.4</v>
      </c>
      <c r="BA582" s="6">
        <v>31.6</v>
      </c>
    </row>
    <row r="583" spans="1:53" x14ac:dyDescent="0.3">
      <c r="A583" s="6">
        <v>294181873</v>
      </c>
      <c r="B583" s="6">
        <v>736059</v>
      </c>
      <c r="C583" s="6">
        <v>7851696</v>
      </c>
      <c r="D583" s="6">
        <v>5493</v>
      </c>
      <c r="E583" s="6" t="s">
        <v>211</v>
      </c>
      <c r="F583" s="6">
        <v>54023</v>
      </c>
      <c r="G583" s="6" t="s">
        <v>164</v>
      </c>
      <c r="H583" s="10">
        <v>45984</v>
      </c>
      <c r="I583" s="10">
        <v>45984</v>
      </c>
      <c r="J583" s="4">
        <v>45984.53125</v>
      </c>
      <c r="K583" s="4">
        <v>45984.622395833336</v>
      </c>
      <c r="L583" s="11">
        <v>45984.730729166666</v>
      </c>
      <c r="M583" s="10">
        <v>45984</v>
      </c>
      <c r="N583" s="6" t="s">
        <v>134</v>
      </c>
      <c r="O583" t="s">
        <v>172</v>
      </c>
      <c r="P583" s="6" t="s">
        <v>200</v>
      </c>
      <c r="Q583" t="s">
        <v>161</v>
      </c>
      <c r="R583" t="s">
        <v>62</v>
      </c>
      <c r="S583" s="6">
        <v>727770</v>
      </c>
      <c r="T583" s="6" t="s">
        <v>3</v>
      </c>
      <c r="U583">
        <v>23</v>
      </c>
      <c r="V583" s="6">
        <v>43.1</v>
      </c>
      <c r="W583" s="6">
        <v>20.6</v>
      </c>
      <c r="X583" s="6">
        <v>24.8</v>
      </c>
      <c r="Y583" s="6">
        <v>88.5</v>
      </c>
      <c r="Z583" s="6" t="s">
        <v>2</v>
      </c>
      <c r="AA583" t="s">
        <v>665</v>
      </c>
      <c r="AB583" s="6" t="s">
        <v>75</v>
      </c>
      <c r="AC583" t="s">
        <v>91</v>
      </c>
      <c r="AD583" t="s">
        <v>192</v>
      </c>
      <c r="AE583">
        <v>156</v>
      </c>
      <c r="AF583">
        <v>0</v>
      </c>
      <c r="AG583">
        <v>0</v>
      </c>
      <c r="AH583" s="6">
        <v>79.900000000000006</v>
      </c>
      <c r="AI583" s="6">
        <v>0</v>
      </c>
      <c r="AJ583" s="6">
        <v>0.66200000000000003</v>
      </c>
      <c r="AK583" s="6">
        <v>0.70699999999999996</v>
      </c>
      <c r="AL583" s="8">
        <v>5933.11</v>
      </c>
      <c r="AM583" s="6" t="s">
        <v>68</v>
      </c>
      <c r="AN583" s="6">
        <v>1</v>
      </c>
      <c r="AO583" s="6">
        <v>0</v>
      </c>
      <c r="AP583" s="6">
        <v>1</v>
      </c>
      <c r="AQ583" s="6">
        <v>0</v>
      </c>
      <c r="AR583" s="6">
        <v>1</v>
      </c>
      <c r="AS583" s="6">
        <v>0</v>
      </c>
      <c r="AT583" s="6">
        <v>1</v>
      </c>
      <c r="AU583" s="6">
        <v>2.0299999999999998</v>
      </c>
      <c r="AV583" s="6">
        <v>1.62</v>
      </c>
      <c r="AW583" s="6">
        <v>72</v>
      </c>
      <c r="AX583" s="6">
        <v>14.69</v>
      </c>
      <c r="AY583" s="6">
        <v>54.72</v>
      </c>
      <c r="AZ583" s="6">
        <v>11.5</v>
      </c>
      <c r="BA583" s="6">
        <v>24.7</v>
      </c>
    </row>
    <row r="584" spans="1:53" x14ac:dyDescent="0.3">
      <c r="A584" s="6">
        <v>992649957</v>
      </c>
      <c r="B584" s="6">
        <v>872246</v>
      </c>
      <c r="C584" s="6">
        <v>4860684</v>
      </c>
      <c r="D584" s="6">
        <v>6578</v>
      </c>
      <c r="E584" s="6" t="s">
        <v>126</v>
      </c>
      <c r="F584" s="6">
        <v>50716</v>
      </c>
      <c r="G584" s="6" t="s">
        <v>207</v>
      </c>
      <c r="H584" s="10">
        <v>45904</v>
      </c>
      <c r="I584" s="10">
        <v>45904</v>
      </c>
      <c r="J584" s="4">
        <v>45904.003472222219</v>
      </c>
      <c r="K584" s="4">
        <v>45904.192164351851</v>
      </c>
      <c r="L584" s="11">
        <v>45904.190081018518</v>
      </c>
      <c r="M584" s="10">
        <v>45904</v>
      </c>
      <c r="N584" s="6" t="s">
        <v>86</v>
      </c>
      <c r="O584" t="s">
        <v>108</v>
      </c>
      <c r="P584" s="6" t="s">
        <v>78</v>
      </c>
      <c r="Q584" t="s">
        <v>222</v>
      </c>
      <c r="R584" t="s">
        <v>88</v>
      </c>
      <c r="S584" s="6">
        <v>733902</v>
      </c>
      <c r="T584" s="6" t="s">
        <v>1</v>
      </c>
      <c r="U584">
        <v>206</v>
      </c>
      <c r="V584" s="6">
        <v>-7.1</v>
      </c>
      <c r="W584" s="6">
        <v>19.5</v>
      </c>
      <c r="X584" s="6">
        <v>207.6</v>
      </c>
      <c r="Y584" s="6">
        <v>227.1</v>
      </c>
      <c r="Z584" s="6" t="s">
        <v>2</v>
      </c>
      <c r="AA584" t="s">
        <v>310</v>
      </c>
      <c r="AB584" s="6" t="s">
        <v>82</v>
      </c>
      <c r="AC584" t="s">
        <v>137</v>
      </c>
      <c r="AD584" t="s">
        <v>67</v>
      </c>
      <c r="AE584">
        <v>-3</v>
      </c>
      <c r="AF584">
        <v>0</v>
      </c>
      <c r="AG584">
        <v>1</v>
      </c>
      <c r="AH584" s="6">
        <v>44.4</v>
      </c>
      <c r="AI584" s="6">
        <v>0</v>
      </c>
      <c r="AJ584" s="6">
        <v>0.36099999999999999</v>
      </c>
      <c r="AK584" s="6">
        <v>0.78400000000000003</v>
      </c>
      <c r="AL584" s="8">
        <v>3315.45</v>
      </c>
      <c r="AM584" s="6" t="s">
        <v>68</v>
      </c>
      <c r="AN584" s="6">
        <v>1</v>
      </c>
      <c r="AO584" s="6">
        <v>1</v>
      </c>
      <c r="AP584" s="6">
        <v>0</v>
      </c>
      <c r="AQ584" s="6">
        <v>1</v>
      </c>
      <c r="AR584" s="6">
        <v>0</v>
      </c>
      <c r="AS584" s="6">
        <v>1</v>
      </c>
      <c r="AT584" s="6">
        <v>0</v>
      </c>
      <c r="AU584" s="6">
        <v>2.16</v>
      </c>
      <c r="AV584" s="6">
        <v>1.61</v>
      </c>
      <c r="AW584" s="6">
        <v>154.21</v>
      </c>
      <c r="AX584" s="6">
        <v>45.67</v>
      </c>
      <c r="AY584" s="6">
        <v>132.22999999999999</v>
      </c>
      <c r="AZ584" s="6">
        <v>41.8</v>
      </c>
      <c r="BA584" s="6">
        <v>8.6</v>
      </c>
    </row>
    <row r="585" spans="1:53" x14ac:dyDescent="0.3">
      <c r="A585" s="6">
        <v>843937341</v>
      </c>
      <c r="B585" s="6">
        <v>456778</v>
      </c>
      <c r="C585" s="6">
        <v>5171761</v>
      </c>
      <c r="D585" s="6">
        <v>8041</v>
      </c>
      <c r="E585" s="6" t="s">
        <v>142</v>
      </c>
      <c r="F585" s="6">
        <v>53967</v>
      </c>
      <c r="G585" s="6" t="s">
        <v>98</v>
      </c>
      <c r="H585" s="10">
        <v>45732</v>
      </c>
      <c r="I585" s="10">
        <v>45732</v>
      </c>
      <c r="J585" s="4">
        <v>45732.46875</v>
      </c>
      <c r="K585" s="4">
        <v>45732.641631944447</v>
      </c>
      <c r="L585" s="11">
        <v>45732.726354166669</v>
      </c>
      <c r="M585" s="10">
        <v>45732</v>
      </c>
      <c r="N585" s="6" t="s">
        <v>109</v>
      </c>
      <c r="O585" t="s">
        <v>110</v>
      </c>
      <c r="P585" s="6" t="s">
        <v>129</v>
      </c>
      <c r="Q585" t="s">
        <v>156</v>
      </c>
      <c r="R585" t="s">
        <v>123</v>
      </c>
      <c r="S585" s="6">
        <v>728157</v>
      </c>
      <c r="T585" s="6" t="s">
        <v>1</v>
      </c>
      <c r="U585">
        <v>190</v>
      </c>
      <c r="V585" s="6">
        <v>38.5</v>
      </c>
      <c r="W585" s="6">
        <v>22.2</v>
      </c>
      <c r="X585" s="6">
        <v>182.1</v>
      </c>
      <c r="Y585" s="6">
        <v>242.8</v>
      </c>
      <c r="Z585" s="6" t="s">
        <v>112</v>
      </c>
      <c r="AA585" t="s">
        <v>666</v>
      </c>
      <c r="AB585" s="6" t="s">
        <v>75</v>
      </c>
      <c r="AC585" t="s">
        <v>91</v>
      </c>
      <c r="AD585" t="s">
        <v>188</v>
      </c>
      <c r="AE585">
        <v>122</v>
      </c>
      <c r="AF585">
        <v>0</v>
      </c>
      <c r="AG585">
        <v>2.1</v>
      </c>
      <c r="AH585" s="6">
        <v>49.4</v>
      </c>
      <c r="AI585" s="6">
        <v>0</v>
      </c>
      <c r="AJ585" s="6">
        <v>0.56200000000000006</v>
      </c>
      <c r="AK585" s="6">
        <v>0.83099999999999996</v>
      </c>
      <c r="AL585" s="8">
        <v>2782.56</v>
      </c>
      <c r="AM585" s="6" t="s">
        <v>68</v>
      </c>
      <c r="AN585" s="6">
        <v>1</v>
      </c>
      <c r="AO585" s="6">
        <v>0</v>
      </c>
      <c r="AP585" s="6">
        <v>1</v>
      </c>
      <c r="AQ585" s="6">
        <v>0</v>
      </c>
      <c r="AR585" s="6">
        <v>1</v>
      </c>
      <c r="AS585" s="6">
        <v>0</v>
      </c>
      <c r="AT585" s="6">
        <v>1</v>
      </c>
      <c r="AU585" s="6">
        <v>2.41</v>
      </c>
      <c r="AV585" s="6">
        <v>1.57</v>
      </c>
      <c r="AW585" s="6">
        <v>159.91999999999999</v>
      </c>
      <c r="AX585" s="6">
        <v>41.54</v>
      </c>
      <c r="AY585" s="6">
        <v>138.27000000000001</v>
      </c>
      <c r="AZ585" s="6">
        <v>3.8</v>
      </c>
      <c r="BA585" s="6">
        <v>43.1</v>
      </c>
    </row>
    <row r="586" spans="1:53" x14ac:dyDescent="0.3">
      <c r="A586" s="6">
        <v>927959968</v>
      </c>
      <c r="B586" s="6">
        <v>429963</v>
      </c>
      <c r="C586" s="6">
        <v>9874152</v>
      </c>
      <c r="D586" s="6">
        <v>4157</v>
      </c>
      <c r="E586" s="6" t="s">
        <v>106</v>
      </c>
      <c r="F586" s="6">
        <v>57423</v>
      </c>
      <c r="G586" s="6" t="s">
        <v>175</v>
      </c>
      <c r="H586" s="10">
        <v>45998</v>
      </c>
      <c r="I586" s="10">
        <v>45998</v>
      </c>
      <c r="J586" s="4">
        <v>45998.420138888891</v>
      </c>
      <c r="K586" s="4">
        <v>45998.500706018516</v>
      </c>
      <c r="L586" s="11">
        <v>45998.501400462963</v>
      </c>
      <c r="M586" s="10">
        <v>45998</v>
      </c>
      <c r="N586" s="6" t="s">
        <v>116</v>
      </c>
      <c r="O586" t="s">
        <v>212</v>
      </c>
      <c r="P586" s="6" t="s">
        <v>132</v>
      </c>
      <c r="Q586" t="s">
        <v>181</v>
      </c>
      <c r="R586" t="s">
        <v>62</v>
      </c>
      <c r="S586" s="6">
        <v>773308</v>
      </c>
      <c r="T586" s="6" t="s">
        <v>3</v>
      </c>
      <c r="U586">
        <v>47</v>
      </c>
      <c r="V586" s="6">
        <v>17.8</v>
      </c>
      <c r="W586" s="6">
        <v>7.2</v>
      </c>
      <c r="X586" s="6">
        <v>57.8</v>
      </c>
      <c r="Y586" s="6">
        <v>82.8</v>
      </c>
      <c r="Z586" s="6" t="s">
        <v>112</v>
      </c>
      <c r="AA586" t="s">
        <v>667</v>
      </c>
      <c r="AB586" s="6" t="s">
        <v>75</v>
      </c>
      <c r="AC586" t="s">
        <v>91</v>
      </c>
      <c r="AD586" t="s">
        <v>67</v>
      </c>
      <c r="AE586">
        <v>1</v>
      </c>
      <c r="AF586">
        <v>0</v>
      </c>
      <c r="AG586">
        <v>0</v>
      </c>
      <c r="AH586" s="6">
        <v>45.1</v>
      </c>
      <c r="AI586" s="6">
        <v>0</v>
      </c>
      <c r="AJ586" s="6">
        <v>0.71499999999999997</v>
      </c>
      <c r="AK586" s="6">
        <v>0.878</v>
      </c>
      <c r="AL586" s="8">
        <v>15086.6</v>
      </c>
      <c r="AM586" s="6" t="s">
        <v>114</v>
      </c>
      <c r="AN586" s="6">
        <v>1</v>
      </c>
      <c r="AO586" s="6">
        <v>1</v>
      </c>
      <c r="AP586" s="6">
        <v>0</v>
      </c>
      <c r="AQ586" s="6">
        <v>1</v>
      </c>
      <c r="AR586" s="6">
        <v>0</v>
      </c>
      <c r="AS586" s="6">
        <v>1</v>
      </c>
      <c r="AT586" s="6">
        <v>0</v>
      </c>
      <c r="AU586" s="6">
        <v>2.56</v>
      </c>
      <c r="AV586" s="6">
        <v>1.62</v>
      </c>
      <c r="AW586" s="6">
        <v>64.39</v>
      </c>
      <c r="AX586" s="6">
        <v>9.23</v>
      </c>
      <c r="AY586" s="6">
        <v>43.39</v>
      </c>
      <c r="AZ586" s="6">
        <v>14.3</v>
      </c>
      <c r="BA586" s="6">
        <v>68.7</v>
      </c>
    </row>
    <row r="587" spans="1:53" x14ac:dyDescent="0.3">
      <c r="A587" s="6">
        <v>770809983</v>
      </c>
      <c r="B587" s="6">
        <v>581141</v>
      </c>
      <c r="C587" s="6">
        <v>2936571</v>
      </c>
      <c r="D587" s="6">
        <v>6592</v>
      </c>
      <c r="E587" s="6" t="s">
        <v>57</v>
      </c>
      <c r="F587" s="6">
        <v>56450</v>
      </c>
      <c r="G587" s="6" t="s">
        <v>127</v>
      </c>
      <c r="H587" s="10">
        <v>45754</v>
      </c>
      <c r="I587" s="10">
        <v>45754</v>
      </c>
      <c r="J587" s="4">
        <v>45754.409722222219</v>
      </c>
      <c r="K587" s="4">
        <v>45754.572430555556</v>
      </c>
      <c r="L587" s="11">
        <v>45754.58284722222</v>
      </c>
      <c r="M587" s="10">
        <v>45754</v>
      </c>
      <c r="N587" s="6" t="s">
        <v>121</v>
      </c>
      <c r="O587" t="s">
        <v>179</v>
      </c>
      <c r="P587" s="6" t="s">
        <v>176</v>
      </c>
      <c r="Q587" t="s">
        <v>316</v>
      </c>
      <c r="R587" t="s">
        <v>88</v>
      </c>
      <c r="S587" s="6">
        <v>750010</v>
      </c>
      <c r="T587" s="6" t="s">
        <v>1</v>
      </c>
      <c r="U587">
        <v>202</v>
      </c>
      <c r="V587" s="6">
        <v>23.1</v>
      </c>
      <c r="W587" s="6">
        <v>3</v>
      </c>
      <c r="X587" s="6">
        <v>198.7</v>
      </c>
      <c r="Y587" s="6">
        <v>224.8</v>
      </c>
      <c r="Z587" s="6" t="s">
        <v>63</v>
      </c>
      <c r="AA587" t="s">
        <v>552</v>
      </c>
      <c r="AB587" s="6" t="s">
        <v>97</v>
      </c>
      <c r="AC587" t="s">
        <v>83</v>
      </c>
      <c r="AD587" t="s">
        <v>67</v>
      </c>
      <c r="AE587">
        <v>15</v>
      </c>
      <c r="AF587">
        <v>0</v>
      </c>
      <c r="AG587">
        <v>0</v>
      </c>
      <c r="AH587" s="6">
        <v>80.099999999999994</v>
      </c>
      <c r="AI587" s="6">
        <v>0</v>
      </c>
      <c r="AJ587" s="6">
        <v>0.52300000000000002</v>
      </c>
      <c r="AK587" s="6">
        <v>0.83</v>
      </c>
      <c r="AL587" s="8">
        <v>20414.689999999999</v>
      </c>
      <c r="AM587" s="6" t="s">
        <v>114</v>
      </c>
      <c r="AN587" s="6">
        <v>1</v>
      </c>
      <c r="AO587" s="6">
        <v>1</v>
      </c>
      <c r="AP587" s="6">
        <v>0</v>
      </c>
      <c r="AQ587" s="6">
        <v>1</v>
      </c>
      <c r="AR587" s="6">
        <v>0</v>
      </c>
      <c r="AS587" s="6">
        <v>1</v>
      </c>
      <c r="AT587" s="6">
        <v>0</v>
      </c>
      <c r="AU587" s="6">
        <v>2.13</v>
      </c>
      <c r="AV587" s="6">
        <v>1.31</v>
      </c>
      <c r="AW587" s="6">
        <v>201.8</v>
      </c>
      <c r="AX587" s="6">
        <v>44.32</v>
      </c>
      <c r="AY587" s="6">
        <v>138.21</v>
      </c>
      <c r="AZ587" s="6">
        <v>27</v>
      </c>
      <c r="BA587" s="6">
        <v>56.9</v>
      </c>
    </row>
    <row r="588" spans="1:53" x14ac:dyDescent="0.3">
      <c r="A588" s="6">
        <v>968704078</v>
      </c>
      <c r="B588" s="6">
        <v>195325</v>
      </c>
      <c r="C588" s="6">
        <v>3194789</v>
      </c>
      <c r="D588" s="6">
        <v>7585</v>
      </c>
      <c r="E588" s="6" t="s">
        <v>185</v>
      </c>
      <c r="F588" s="6">
        <v>53215</v>
      </c>
      <c r="G588" s="6" t="s">
        <v>115</v>
      </c>
      <c r="H588" s="10">
        <v>45712</v>
      </c>
      <c r="I588" s="10">
        <v>45712</v>
      </c>
      <c r="J588" s="4">
        <v>45712.822916666664</v>
      </c>
      <c r="K588" s="4">
        <v>45712.989641203705</v>
      </c>
      <c r="L588" s="11">
        <v>45712.972280092596</v>
      </c>
      <c r="M588" s="10">
        <v>45712</v>
      </c>
      <c r="N588" s="6" t="s">
        <v>78</v>
      </c>
      <c r="O588" t="s">
        <v>79</v>
      </c>
      <c r="P588" s="6" t="s">
        <v>170</v>
      </c>
      <c r="Q588" t="s">
        <v>171</v>
      </c>
      <c r="R588" t="s">
        <v>62</v>
      </c>
      <c r="S588" s="6">
        <v>705882</v>
      </c>
      <c r="T588" s="6" t="s">
        <v>1</v>
      </c>
      <c r="U588">
        <v>187</v>
      </c>
      <c r="V588" s="6">
        <v>30.7</v>
      </c>
      <c r="W588" s="6">
        <v>19.100000000000001</v>
      </c>
      <c r="X588" s="6">
        <v>189.8</v>
      </c>
      <c r="Y588" s="6">
        <v>239.6</v>
      </c>
      <c r="Z588" s="6" t="s">
        <v>63</v>
      </c>
      <c r="AA588" t="s">
        <v>173</v>
      </c>
      <c r="AB588" s="6" t="s">
        <v>65</v>
      </c>
      <c r="AC588" t="s">
        <v>83</v>
      </c>
      <c r="AD588" t="s">
        <v>67</v>
      </c>
      <c r="AE588">
        <v>-25</v>
      </c>
      <c r="AF588">
        <v>0</v>
      </c>
      <c r="AG588">
        <v>0</v>
      </c>
      <c r="AH588" s="6">
        <v>32.4</v>
      </c>
      <c r="AI588" s="6">
        <v>0</v>
      </c>
      <c r="AJ588" s="6">
        <v>0.47</v>
      </c>
      <c r="AK588" s="6">
        <v>0.77200000000000002</v>
      </c>
      <c r="AL588" s="8">
        <v>5958.39</v>
      </c>
      <c r="AM588" s="6" t="s">
        <v>68</v>
      </c>
      <c r="AN588" s="6">
        <v>1</v>
      </c>
      <c r="AO588" s="6">
        <v>1</v>
      </c>
      <c r="AP588" s="6">
        <v>0</v>
      </c>
      <c r="AQ588" s="6">
        <v>1</v>
      </c>
      <c r="AR588" s="6">
        <v>0</v>
      </c>
      <c r="AS588" s="6">
        <v>1</v>
      </c>
      <c r="AT588" s="6">
        <v>0</v>
      </c>
      <c r="AU588" s="6">
        <v>2.19</v>
      </c>
      <c r="AV588" s="6">
        <v>1.38</v>
      </c>
      <c r="AW588" s="6">
        <v>152.56</v>
      </c>
      <c r="AX588" s="6">
        <v>28.17</v>
      </c>
      <c r="AY588" s="6">
        <v>156.94999999999999</v>
      </c>
      <c r="AZ588" s="6">
        <v>15</v>
      </c>
      <c r="BA588" s="6">
        <v>35</v>
      </c>
    </row>
    <row r="589" spans="1:53" x14ac:dyDescent="0.3">
      <c r="A589" s="6">
        <v>277746324</v>
      </c>
      <c r="B589" s="6">
        <v>216739</v>
      </c>
      <c r="C589" s="6">
        <v>8574680</v>
      </c>
      <c r="D589" s="6">
        <v>1860</v>
      </c>
      <c r="E589" s="6" t="s">
        <v>106</v>
      </c>
      <c r="F589" s="6">
        <v>57825</v>
      </c>
      <c r="G589" s="6" t="s">
        <v>146</v>
      </c>
      <c r="H589" s="10">
        <v>45690</v>
      </c>
      <c r="I589" s="10">
        <v>45690</v>
      </c>
      <c r="J589" s="4">
        <v>45690.013888888891</v>
      </c>
      <c r="K589" s="4">
        <v>45690.177037037036</v>
      </c>
      <c r="L589" s="11">
        <v>45690.172175925924</v>
      </c>
      <c r="M589" s="10">
        <v>45690</v>
      </c>
      <c r="N589" s="6" t="s">
        <v>116</v>
      </c>
      <c r="O589" t="s">
        <v>128</v>
      </c>
      <c r="P589" s="6" t="s">
        <v>109</v>
      </c>
      <c r="Q589" t="s">
        <v>118</v>
      </c>
      <c r="R589" t="s">
        <v>88</v>
      </c>
      <c r="S589" s="6">
        <v>704543</v>
      </c>
      <c r="T589" s="6" t="s">
        <v>1</v>
      </c>
      <c r="U589">
        <v>197</v>
      </c>
      <c r="V589" s="6">
        <v>24.5</v>
      </c>
      <c r="W589" s="6">
        <v>12.2</v>
      </c>
      <c r="X589" s="6">
        <v>190.6</v>
      </c>
      <c r="Y589" s="6">
        <v>227.3</v>
      </c>
      <c r="Z589" s="6" t="s">
        <v>80</v>
      </c>
      <c r="AA589" t="s">
        <v>264</v>
      </c>
      <c r="AB589" s="6" t="s">
        <v>82</v>
      </c>
      <c r="AC589" t="s">
        <v>91</v>
      </c>
      <c r="AD589" t="s">
        <v>67</v>
      </c>
      <c r="AE589">
        <v>-7</v>
      </c>
      <c r="AF589">
        <v>0</v>
      </c>
      <c r="AG589">
        <v>0</v>
      </c>
      <c r="AH589" s="6">
        <v>19.600000000000001</v>
      </c>
      <c r="AI589" s="6">
        <v>0</v>
      </c>
      <c r="AJ589" s="6">
        <v>0.50800000000000001</v>
      </c>
      <c r="AK589" s="6">
        <v>0.84399999999999997</v>
      </c>
      <c r="AL589" s="8">
        <v>76519.789999999994</v>
      </c>
      <c r="AM589" s="6" t="s">
        <v>155</v>
      </c>
      <c r="AN589" s="6">
        <v>1</v>
      </c>
      <c r="AO589" s="6">
        <v>1</v>
      </c>
      <c r="AP589" s="6">
        <v>0</v>
      </c>
      <c r="AQ589" s="6">
        <v>1</v>
      </c>
      <c r="AR589" s="6">
        <v>0</v>
      </c>
      <c r="AS589" s="6">
        <v>1</v>
      </c>
      <c r="AT589" s="6">
        <v>0</v>
      </c>
      <c r="AU589" s="6">
        <v>2.2599999999999998</v>
      </c>
      <c r="AV589" s="6">
        <v>1.42</v>
      </c>
      <c r="AW589" s="6">
        <v>175.58</v>
      </c>
      <c r="AX589" s="6">
        <v>46.81</v>
      </c>
      <c r="AY589" s="6">
        <v>140.27000000000001</v>
      </c>
      <c r="AZ589" s="6">
        <v>14.3</v>
      </c>
      <c r="BA589" s="6">
        <v>20.9</v>
      </c>
    </row>
    <row r="590" spans="1:53" x14ac:dyDescent="0.3">
      <c r="A590" s="6">
        <v>874364348</v>
      </c>
      <c r="B590" s="6">
        <v>665492</v>
      </c>
      <c r="C590" s="6">
        <v>5960271</v>
      </c>
      <c r="D590" s="6">
        <v>7015</v>
      </c>
      <c r="E590" s="6" t="s">
        <v>84</v>
      </c>
      <c r="F590" s="6">
        <v>50390</v>
      </c>
      <c r="G590" s="6" t="s">
        <v>149</v>
      </c>
      <c r="H590" s="10">
        <v>45863</v>
      </c>
      <c r="I590" s="10">
        <v>45863</v>
      </c>
      <c r="J590" s="4">
        <v>45863.760416666664</v>
      </c>
      <c r="K590" s="4">
        <v>45864.197523148148</v>
      </c>
      <c r="L590" s="11">
        <v>45864.1718287037</v>
      </c>
      <c r="M590" s="10">
        <v>45864</v>
      </c>
      <c r="N590" s="6" t="s">
        <v>129</v>
      </c>
      <c r="O590" t="s">
        <v>162</v>
      </c>
      <c r="P590" s="6" t="s">
        <v>129</v>
      </c>
      <c r="Q590" t="s">
        <v>241</v>
      </c>
      <c r="R590" t="s">
        <v>123</v>
      </c>
      <c r="S590" s="6">
        <v>739365</v>
      </c>
      <c r="T590" s="6" t="s">
        <v>111</v>
      </c>
      <c r="U590">
        <v>515</v>
      </c>
      <c r="V590" s="6">
        <v>56.9</v>
      </c>
      <c r="W590" s="6">
        <v>23.6</v>
      </c>
      <c r="X590" s="6">
        <v>523.79999999999995</v>
      </c>
      <c r="Y590" s="6">
        <v>604.29999999999995</v>
      </c>
      <c r="Z590" s="6" t="s">
        <v>63</v>
      </c>
      <c r="AA590" t="s">
        <v>349</v>
      </c>
      <c r="AB590" s="6" t="s">
        <v>65</v>
      </c>
      <c r="AC590" t="s">
        <v>154</v>
      </c>
      <c r="AD590" t="s">
        <v>67</v>
      </c>
      <c r="AE590">
        <v>-37</v>
      </c>
      <c r="AF590">
        <v>0</v>
      </c>
      <c r="AG590">
        <v>0</v>
      </c>
      <c r="AH590" s="6">
        <v>72</v>
      </c>
      <c r="AI590" s="6">
        <v>0</v>
      </c>
      <c r="AJ590" s="6">
        <v>0.58699999999999997</v>
      </c>
      <c r="AK590" s="6">
        <v>0.442</v>
      </c>
      <c r="AL590" s="8">
        <v>21113.279999999999</v>
      </c>
      <c r="AM590" s="6" t="s">
        <v>114</v>
      </c>
      <c r="AN590" s="6">
        <v>1</v>
      </c>
      <c r="AO590" s="6">
        <v>1</v>
      </c>
      <c r="AP590" s="6">
        <v>0</v>
      </c>
      <c r="AQ590" s="6">
        <v>1</v>
      </c>
      <c r="AR590" s="6">
        <v>0</v>
      </c>
      <c r="AS590" s="6">
        <v>1</v>
      </c>
      <c r="AT590" s="6">
        <v>0</v>
      </c>
      <c r="AU590" s="6">
        <v>2.29</v>
      </c>
      <c r="AV590" s="6">
        <v>1.82</v>
      </c>
      <c r="AW590" s="6">
        <v>410.69</v>
      </c>
      <c r="AX590" s="6">
        <v>98.27</v>
      </c>
      <c r="AY590" s="6">
        <v>300.10000000000002</v>
      </c>
      <c r="AZ590" s="6">
        <v>5.6</v>
      </c>
      <c r="BA590" s="6">
        <v>10</v>
      </c>
    </row>
    <row r="591" spans="1:53" x14ac:dyDescent="0.3">
      <c r="A591" s="6">
        <v>569948247</v>
      </c>
      <c r="B591" s="6">
        <v>872246</v>
      </c>
      <c r="C591" s="6">
        <v>4860684</v>
      </c>
      <c r="D591" s="6">
        <v>6578</v>
      </c>
      <c r="E591" s="6" t="s">
        <v>126</v>
      </c>
      <c r="F591" s="6">
        <v>59891</v>
      </c>
      <c r="G591" s="6" t="s">
        <v>98</v>
      </c>
      <c r="H591" s="10">
        <v>45699</v>
      </c>
      <c r="I591" s="10">
        <v>45699</v>
      </c>
      <c r="J591" s="4">
        <v>45699.645833333336</v>
      </c>
      <c r="K591" s="4">
        <v>45699.809166666666</v>
      </c>
      <c r="L591" s="11">
        <v>45699.794583333336</v>
      </c>
      <c r="M591" s="10">
        <v>45699</v>
      </c>
      <c r="N591" s="6" t="s">
        <v>93</v>
      </c>
      <c r="O591" t="s">
        <v>217</v>
      </c>
      <c r="P591" s="6" t="s">
        <v>134</v>
      </c>
      <c r="Q591" t="s">
        <v>172</v>
      </c>
      <c r="R591" t="s">
        <v>73</v>
      </c>
      <c r="S591" s="6">
        <v>789749</v>
      </c>
      <c r="T591" s="6" t="s">
        <v>1</v>
      </c>
      <c r="U591">
        <v>124</v>
      </c>
      <c r="V591" s="6">
        <v>9.3000000000000007</v>
      </c>
      <c r="W591" s="6">
        <v>29.8</v>
      </c>
      <c r="X591" s="6">
        <v>127.2</v>
      </c>
      <c r="Y591" s="6">
        <v>166.3</v>
      </c>
      <c r="Z591" s="6" t="s">
        <v>2</v>
      </c>
      <c r="AA591" t="s">
        <v>668</v>
      </c>
      <c r="AB591" s="6" t="s">
        <v>90</v>
      </c>
      <c r="AC591" t="s">
        <v>66</v>
      </c>
      <c r="AD591" t="s">
        <v>67</v>
      </c>
      <c r="AE591">
        <v>-21</v>
      </c>
      <c r="AF591">
        <v>0</v>
      </c>
      <c r="AG591">
        <v>0</v>
      </c>
      <c r="AH591" s="6">
        <v>66.099999999999994</v>
      </c>
      <c r="AI591" s="6">
        <v>0</v>
      </c>
      <c r="AJ591" s="6">
        <v>0.77200000000000002</v>
      </c>
      <c r="AK591" s="6">
        <v>0.63</v>
      </c>
      <c r="AL591" s="8">
        <v>3180.95</v>
      </c>
      <c r="AM591" s="6" t="s">
        <v>68</v>
      </c>
      <c r="AN591" s="6">
        <v>1</v>
      </c>
      <c r="AO591" s="6">
        <v>1</v>
      </c>
      <c r="AP591" s="6">
        <v>0</v>
      </c>
      <c r="AQ591" s="6">
        <v>1</v>
      </c>
      <c r="AR591" s="6">
        <v>0</v>
      </c>
      <c r="AS591" s="6">
        <v>1</v>
      </c>
      <c r="AT591" s="6">
        <v>0</v>
      </c>
      <c r="AU591" s="6">
        <v>2.17</v>
      </c>
      <c r="AV591" s="6">
        <v>1.57</v>
      </c>
      <c r="AW591" s="6">
        <v>142.12</v>
      </c>
      <c r="AX591" s="6">
        <v>31.24</v>
      </c>
      <c r="AY591" s="6">
        <v>116.72</v>
      </c>
      <c r="AZ591" s="6">
        <v>41.8</v>
      </c>
      <c r="BA591" s="6">
        <v>18.600000000000001</v>
      </c>
    </row>
    <row r="592" spans="1:53" x14ac:dyDescent="0.3">
      <c r="A592" s="6">
        <v>146914391</v>
      </c>
      <c r="B592" s="6">
        <v>391704</v>
      </c>
      <c r="C592" s="6">
        <v>7897151</v>
      </c>
      <c r="D592" s="6">
        <v>4556</v>
      </c>
      <c r="E592" s="6" t="s">
        <v>84</v>
      </c>
      <c r="F592" s="6">
        <v>53037</v>
      </c>
      <c r="G592" s="6" t="s">
        <v>98</v>
      </c>
      <c r="H592" s="10">
        <v>45708</v>
      </c>
      <c r="I592" s="10">
        <v>45708</v>
      </c>
      <c r="J592" s="4">
        <v>45708.298611111109</v>
      </c>
      <c r="K592" s="4">
        <v>45708.653252314813</v>
      </c>
      <c r="L592" s="11">
        <v>45708.626863425925</v>
      </c>
      <c r="M592" s="10">
        <v>45708</v>
      </c>
      <c r="N592" s="6" t="s">
        <v>132</v>
      </c>
      <c r="O592" t="s">
        <v>328</v>
      </c>
      <c r="P592" s="6" t="s">
        <v>86</v>
      </c>
      <c r="Q592" t="s">
        <v>243</v>
      </c>
      <c r="R592" t="s">
        <v>88</v>
      </c>
      <c r="S592" s="6">
        <v>776415</v>
      </c>
      <c r="T592" s="6" t="s">
        <v>111</v>
      </c>
      <c r="U592">
        <v>502</v>
      </c>
      <c r="V592" s="6">
        <v>57.2</v>
      </c>
      <c r="W592" s="6">
        <v>29.1</v>
      </c>
      <c r="X592" s="6">
        <v>504.3</v>
      </c>
      <c r="Y592" s="6">
        <v>590.6</v>
      </c>
      <c r="Z592" s="6" t="s">
        <v>215</v>
      </c>
      <c r="AA592" t="s">
        <v>669</v>
      </c>
      <c r="AB592" s="6" t="s">
        <v>97</v>
      </c>
      <c r="AC592" t="s">
        <v>137</v>
      </c>
      <c r="AD592" t="s">
        <v>67</v>
      </c>
      <c r="AE592">
        <v>-38</v>
      </c>
      <c r="AF592">
        <v>0</v>
      </c>
      <c r="AG592">
        <v>0.6</v>
      </c>
      <c r="AH592" s="6">
        <v>74.099999999999994</v>
      </c>
      <c r="AI592" s="6">
        <v>0</v>
      </c>
      <c r="AJ592" s="6">
        <v>0.51400000000000001</v>
      </c>
      <c r="AK592" s="6">
        <v>0.80700000000000005</v>
      </c>
      <c r="AL592" s="8">
        <v>4446.6099999999997</v>
      </c>
      <c r="AM592" s="6" t="s">
        <v>68</v>
      </c>
      <c r="AN592" s="6">
        <v>1</v>
      </c>
      <c r="AO592" s="6">
        <v>1</v>
      </c>
      <c r="AP592" s="6">
        <v>0</v>
      </c>
      <c r="AQ592" s="6">
        <v>1</v>
      </c>
      <c r="AR592" s="6">
        <v>0</v>
      </c>
      <c r="AS592" s="6">
        <v>1</v>
      </c>
      <c r="AT592" s="6">
        <v>0</v>
      </c>
      <c r="AU592" s="6">
        <v>2.4700000000000002</v>
      </c>
      <c r="AV592" s="6">
        <v>1.52</v>
      </c>
      <c r="AW592" s="6">
        <v>487</v>
      </c>
      <c r="AX592" s="6">
        <v>127.95</v>
      </c>
      <c r="AY592" s="6">
        <v>284.27</v>
      </c>
      <c r="AZ592" s="6">
        <v>11.3</v>
      </c>
      <c r="BA592" s="6">
        <v>41.9</v>
      </c>
    </row>
    <row r="593" spans="1:53" x14ac:dyDescent="0.3">
      <c r="A593" s="6">
        <v>541156077</v>
      </c>
      <c r="B593" s="6">
        <v>216739</v>
      </c>
      <c r="C593" s="6">
        <v>8574680</v>
      </c>
      <c r="D593" s="6">
        <v>1860</v>
      </c>
      <c r="E593" s="6" t="s">
        <v>106</v>
      </c>
      <c r="F593" s="6">
        <v>50232</v>
      </c>
      <c r="G593" s="6" t="s">
        <v>69</v>
      </c>
      <c r="H593" s="10">
        <v>45767</v>
      </c>
      <c r="I593" s="10">
        <v>45767</v>
      </c>
      <c r="J593" s="4">
        <v>45767.489583333336</v>
      </c>
      <c r="K593" s="4">
        <v>45767.680081018516</v>
      </c>
      <c r="L593" s="11">
        <v>45767.8516087963</v>
      </c>
      <c r="M593" s="10">
        <v>45767</v>
      </c>
      <c r="N593" s="6" t="s">
        <v>86</v>
      </c>
      <c r="O593" t="s">
        <v>87</v>
      </c>
      <c r="P593" s="6" t="s">
        <v>200</v>
      </c>
      <c r="Q593" t="s">
        <v>161</v>
      </c>
      <c r="R593" t="s">
        <v>62</v>
      </c>
      <c r="S593" s="6">
        <v>739948</v>
      </c>
      <c r="T593" s="6" t="s">
        <v>1</v>
      </c>
      <c r="U593">
        <v>208</v>
      </c>
      <c r="V593" s="6">
        <v>3.5</v>
      </c>
      <c r="W593" s="6">
        <v>7.6</v>
      </c>
      <c r="X593" s="6">
        <v>206.9</v>
      </c>
      <c r="Y593" s="6">
        <v>218</v>
      </c>
      <c r="Z593" s="6" t="s">
        <v>80</v>
      </c>
      <c r="AA593" t="s">
        <v>670</v>
      </c>
      <c r="AB593" s="6" t="s">
        <v>75</v>
      </c>
      <c r="AC593" t="s">
        <v>91</v>
      </c>
      <c r="AD593" t="s">
        <v>206</v>
      </c>
      <c r="AE593">
        <v>247</v>
      </c>
      <c r="AF593">
        <v>66</v>
      </c>
      <c r="AG593">
        <v>0</v>
      </c>
      <c r="AH593" s="6">
        <v>41.7</v>
      </c>
      <c r="AI593" s="6">
        <v>0</v>
      </c>
      <c r="AJ593" s="6">
        <v>0.55300000000000005</v>
      </c>
      <c r="AK593" s="6">
        <v>0.69899999999999995</v>
      </c>
      <c r="AL593" s="8">
        <v>2882.88</v>
      </c>
      <c r="AM593" s="6" t="s">
        <v>68</v>
      </c>
      <c r="AN593" s="6">
        <v>1</v>
      </c>
      <c r="AO593" s="6">
        <v>0</v>
      </c>
      <c r="AP593" s="6">
        <v>1</v>
      </c>
      <c r="AQ593" s="6">
        <v>0</v>
      </c>
      <c r="AR593" s="6">
        <v>1</v>
      </c>
      <c r="AS593" s="6">
        <v>0</v>
      </c>
      <c r="AT593" s="6">
        <v>1</v>
      </c>
      <c r="AU593" s="6">
        <v>2.25</v>
      </c>
      <c r="AV593" s="6">
        <v>1.55</v>
      </c>
      <c r="AW593" s="6">
        <v>141.52000000000001</v>
      </c>
      <c r="AX593" s="6">
        <v>33.1</v>
      </c>
      <c r="AY593" s="6">
        <v>150.94999999999999</v>
      </c>
      <c r="AZ593" s="6">
        <v>14.3</v>
      </c>
      <c r="BA593" s="6">
        <v>24.7</v>
      </c>
    </row>
    <row r="594" spans="1:53" x14ac:dyDescent="0.3">
      <c r="A594" s="6">
        <v>491163514</v>
      </c>
      <c r="B594" s="6">
        <v>623481</v>
      </c>
      <c r="C594" s="6">
        <v>2737893</v>
      </c>
      <c r="D594" s="6">
        <v>4627</v>
      </c>
      <c r="E594" s="6" t="s">
        <v>101</v>
      </c>
      <c r="F594" s="6">
        <v>53131</v>
      </c>
      <c r="G594" s="6" t="s">
        <v>164</v>
      </c>
      <c r="H594" s="10">
        <v>45760</v>
      </c>
      <c r="I594" s="10">
        <v>45760</v>
      </c>
      <c r="J594" s="4">
        <v>45760.673611111109</v>
      </c>
      <c r="K594" s="4">
        <v>45760.870497685188</v>
      </c>
      <c r="L594" s="11">
        <v>45760.957303240742</v>
      </c>
      <c r="M594" s="10">
        <v>45760</v>
      </c>
      <c r="N594" s="6" t="s">
        <v>121</v>
      </c>
      <c r="O594" t="s">
        <v>143</v>
      </c>
      <c r="P594" s="6" t="s">
        <v>116</v>
      </c>
      <c r="Q594" t="s">
        <v>117</v>
      </c>
      <c r="R594" t="s">
        <v>123</v>
      </c>
      <c r="S594" s="6">
        <v>726305</v>
      </c>
      <c r="T594" s="6" t="s">
        <v>1</v>
      </c>
      <c r="U594">
        <v>239</v>
      </c>
      <c r="V594" s="6">
        <v>5.6</v>
      </c>
      <c r="W594" s="6">
        <v>14.3</v>
      </c>
      <c r="X594" s="6">
        <v>228</v>
      </c>
      <c r="Y594" s="6">
        <v>247.9</v>
      </c>
      <c r="Z594" s="6" t="s">
        <v>63</v>
      </c>
      <c r="AA594" t="s">
        <v>671</v>
      </c>
      <c r="AB594" s="6" t="s">
        <v>90</v>
      </c>
      <c r="AC594" t="s">
        <v>91</v>
      </c>
      <c r="AD594" t="s">
        <v>206</v>
      </c>
      <c r="AE594">
        <v>125</v>
      </c>
      <c r="AF594">
        <v>103</v>
      </c>
      <c r="AG594">
        <v>0</v>
      </c>
      <c r="AH594" s="6">
        <v>53.8</v>
      </c>
      <c r="AI594" s="6">
        <v>0</v>
      </c>
      <c r="AJ594" s="6">
        <v>0.72399999999999998</v>
      </c>
      <c r="AK594" s="6">
        <v>0.64300000000000002</v>
      </c>
      <c r="AL594" s="8">
        <v>4705.0600000000004</v>
      </c>
      <c r="AM594" s="6" t="s">
        <v>68</v>
      </c>
      <c r="AN594" s="6">
        <v>1</v>
      </c>
      <c r="AO594" s="6">
        <v>0</v>
      </c>
      <c r="AP594" s="6">
        <v>1</v>
      </c>
      <c r="AQ594" s="6">
        <v>0</v>
      </c>
      <c r="AR594" s="6">
        <v>1</v>
      </c>
      <c r="AS594" s="6">
        <v>0</v>
      </c>
      <c r="AT594" s="6">
        <v>1</v>
      </c>
      <c r="AU594" s="6">
        <v>2.2999999999999998</v>
      </c>
      <c r="AV594" s="6">
        <v>1.43</v>
      </c>
      <c r="AW594" s="6">
        <v>199.53</v>
      </c>
      <c r="AX594" s="6">
        <v>38.47</v>
      </c>
      <c r="AY594" s="6">
        <v>164.57</v>
      </c>
      <c r="AZ594" s="6">
        <v>22.3</v>
      </c>
      <c r="BA594" s="6">
        <v>73.8</v>
      </c>
    </row>
    <row r="595" spans="1:53" x14ac:dyDescent="0.3">
      <c r="A595" s="6">
        <v>826239153</v>
      </c>
      <c r="B595" s="6">
        <v>791798</v>
      </c>
      <c r="C595" s="6">
        <v>6539837</v>
      </c>
      <c r="D595" s="6">
        <v>5433</v>
      </c>
      <c r="E595" s="6" t="s">
        <v>225</v>
      </c>
      <c r="F595" s="6">
        <v>57634</v>
      </c>
      <c r="G595" s="6" t="s">
        <v>77</v>
      </c>
      <c r="H595" s="10">
        <v>45878</v>
      </c>
      <c r="I595" s="10">
        <v>45878</v>
      </c>
      <c r="J595" s="4">
        <v>45878.479166666664</v>
      </c>
      <c r="K595" s="4">
        <v>45878.818807870368</v>
      </c>
      <c r="L595" s="11">
        <v>45878.813252314816</v>
      </c>
      <c r="M595" s="10">
        <v>45878</v>
      </c>
      <c r="N595" s="6" t="s">
        <v>86</v>
      </c>
      <c r="O595" t="s">
        <v>108</v>
      </c>
      <c r="P595" s="6" t="s">
        <v>176</v>
      </c>
      <c r="Q595" t="s">
        <v>292</v>
      </c>
      <c r="R595" t="s">
        <v>88</v>
      </c>
      <c r="S595" s="6">
        <v>788294</v>
      </c>
      <c r="T595" s="6" t="s">
        <v>1</v>
      </c>
      <c r="U595">
        <v>283</v>
      </c>
      <c r="V595" s="6">
        <v>32.4</v>
      </c>
      <c r="W595" s="6">
        <v>29.3</v>
      </c>
      <c r="X595" s="6">
        <v>293</v>
      </c>
      <c r="Y595" s="6">
        <v>354.7</v>
      </c>
      <c r="Z595" s="6" t="s">
        <v>112</v>
      </c>
      <c r="AA595" t="s">
        <v>672</v>
      </c>
      <c r="AB595" s="6" t="s">
        <v>75</v>
      </c>
      <c r="AC595" t="s">
        <v>76</v>
      </c>
      <c r="AD595" t="s">
        <v>67</v>
      </c>
      <c r="AE595">
        <v>-8</v>
      </c>
      <c r="AF595">
        <v>0</v>
      </c>
      <c r="AG595">
        <v>2.6</v>
      </c>
      <c r="AH595" s="6">
        <v>84.2</v>
      </c>
      <c r="AI595" s="6">
        <v>0</v>
      </c>
      <c r="AJ595" s="6">
        <v>0.77200000000000002</v>
      </c>
      <c r="AK595" s="6">
        <v>0.66100000000000003</v>
      </c>
      <c r="AL595" s="8">
        <v>19883.580000000002</v>
      </c>
      <c r="AM595" s="6" t="s">
        <v>114</v>
      </c>
      <c r="AN595" s="6">
        <v>1</v>
      </c>
      <c r="AO595" s="6">
        <v>1</v>
      </c>
      <c r="AP595" s="6">
        <v>0</v>
      </c>
      <c r="AQ595" s="6">
        <v>1</v>
      </c>
      <c r="AR595" s="6">
        <v>0</v>
      </c>
      <c r="AS595" s="6">
        <v>1</v>
      </c>
      <c r="AT595" s="6">
        <v>0</v>
      </c>
      <c r="AU595" s="6">
        <v>2.31</v>
      </c>
      <c r="AV595" s="6">
        <v>1.65</v>
      </c>
      <c r="AW595" s="6">
        <v>324.58</v>
      </c>
      <c r="AX595" s="6">
        <v>70.62</v>
      </c>
      <c r="AY595" s="6">
        <v>178.48</v>
      </c>
      <c r="AZ595" s="6">
        <v>11.5</v>
      </c>
      <c r="BA595" s="6">
        <v>23.6</v>
      </c>
    </row>
    <row r="596" spans="1:53" x14ac:dyDescent="0.3">
      <c r="A596" s="6">
        <v>872649234</v>
      </c>
      <c r="B596" s="6">
        <v>725380</v>
      </c>
      <c r="C596" s="6">
        <v>7194416</v>
      </c>
      <c r="D596" s="6">
        <v>9164</v>
      </c>
      <c r="E596" s="6" t="s">
        <v>57</v>
      </c>
      <c r="F596" s="6">
        <v>50233</v>
      </c>
      <c r="G596" s="6" t="s">
        <v>115</v>
      </c>
      <c r="H596" s="10">
        <v>45956</v>
      </c>
      <c r="I596" s="10">
        <v>45956</v>
      </c>
      <c r="J596" s="4">
        <v>45956.631944444445</v>
      </c>
      <c r="K596" s="4">
        <v>45956.694444444445</v>
      </c>
      <c r="L596" s="11">
        <v>45956.691666666666</v>
      </c>
      <c r="M596" s="10">
        <v>45956</v>
      </c>
      <c r="N596" s="6" t="s">
        <v>86</v>
      </c>
      <c r="O596" t="s">
        <v>268</v>
      </c>
      <c r="P596" s="6" t="s">
        <v>103</v>
      </c>
      <c r="Q596" t="s">
        <v>232</v>
      </c>
      <c r="R596" t="s">
        <v>73</v>
      </c>
      <c r="S596" s="6">
        <v>700025</v>
      </c>
      <c r="T596" s="6" t="s">
        <v>3</v>
      </c>
      <c r="U596">
        <v>52</v>
      </c>
      <c r="V596" s="6">
        <v>40.9</v>
      </c>
      <c r="W596" s="6">
        <v>2.7</v>
      </c>
      <c r="X596" s="6">
        <v>57.1</v>
      </c>
      <c r="Y596" s="6">
        <v>100.7</v>
      </c>
      <c r="Z596" s="6" t="s">
        <v>63</v>
      </c>
      <c r="AA596" t="s">
        <v>472</v>
      </c>
      <c r="AB596" s="6" t="s">
        <v>90</v>
      </c>
      <c r="AC596" t="s">
        <v>91</v>
      </c>
      <c r="AD596" t="s">
        <v>67</v>
      </c>
      <c r="AE596">
        <v>-4</v>
      </c>
      <c r="AF596">
        <v>0</v>
      </c>
      <c r="AG596">
        <v>0</v>
      </c>
      <c r="AH596" s="6">
        <v>58.7</v>
      </c>
      <c r="AI596" s="6">
        <v>0</v>
      </c>
      <c r="AJ596" s="6">
        <v>0.91600000000000004</v>
      </c>
      <c r="AK596" s="6">
        <v>0.48399999999999999</v>
      </c>
      <c r="AL596" s="8">
        <v>6859.59</v>
      </c>
      <c r="AM596" s="6" t="s">
        <v>114</v>
      </c>
      <c r="AN596" s="6">
        <v>1</v>
      </c>
      <c r="AO596" s="6">
        <v>1</v>
      </c>
      <c r="AP596" s="6">
        <v>0</v>
      </c>
      <c r="AQ596" s="6">
        <v>1</v>
      </c>
      <c r="AR596" s="6">
        <v>0</v>
      </c>
      <c r="AS596" s="6">
        <v>1</v>
      </c>
      <c r="AT596" s="6">
        <v>0</v>
      </c>
      <c r="AU596" s="6">
        <v>1.99</v>
      </c>
      <c r="AV596" s="6">
        <v>1.3</v>
      </c>
      <c r="AW596" s="6">
        <v>78.39</v>
      </c>
      <c r="AX596" s="6">
        <v>11.4</v>
      </c>
      <c r="AY596" s="6">
        <v>54.05</v>
      </c>
      <c r="AZ596" s="6">
        <v>14.3</v>
      </c>
      <c r="BA596" s="6">
        <v>14.9</v>
      </c>
    </row>
    <row r="597" spans="1:53" x14ac:dyDescent="0.3">
      <c r="A597" s="6">
        <v>355046107</v>
      </c>
      <c r="B597" s="6">
        <v>656116</v>
      </c>
      <c r="C597" s="6">
        <v>9996207</v>
      </c>
      <c r="D597" s="6">
        <v>5061</v>
      </c>
      <c r="E597" s="6" t="s">
        <v>92</v>
      </c>
      <c r="F597" s="6">
        <v>51391</v>
      </c>
      <c r="G597" s="6" t="s">
        <v>127</v>
      </c>
      <c r="H597" s="10">
        <v>45935</v>
      </c>
      <c r="I597" s="10">
        <v>45935</v>
      </c>
      <c r="J597" s="4">
        <v>45935.541666666664</v>
      </c>
      <c r="K597" s="4">
        <v>45935.604166666664</v>
      </c>
      <c r="L597" s="11">
        <v>45935.638888888891</v>
      </c>
      <c r="M597" s="10">
        <v>45935</v>
      </c>
      <c r="N597" s="6" t="s">
        <v>70</v>
      </c>
      <c r="O597" t="s">
        <v>72</v>
      </c>
      <c r="P597" s="6" t="s">
        <v>121</v>
      </c>
      <c r="Q597" t="s">
        <v>237</v>
      </c>
      <c r="R597" t="s">
        <v>123</v>
      </c>
      <c r="S597" s="6">
        <v>737287</v>
      </c>
      <c r="T597" s="6" t="s">
        <v>3</v>
      </c>
      <c r="U597">
        <v>58</v>
      </c>
      <c r="V597" s="6">
        <v>27.1</v>
      </c>
      <c r="W597" s="6">
        <v>3.7</v>
      </c>
      <c r="X597" s="6">
        <v>56.1</v>
      </c>
      <c r="Y597" s="6">
        <v>86.9</v>
      </c>
      <c r="Z597" s="6" t="s">
        <v>63</v>
      </c>
      <c r="AA597" t="s">
        <v>673</v>
      </c>
      <c r="AB597" s="6" t="s">
        <v>75</v>
      </c>
      <c r="AC597" t="s">
        <v>91</v>
      </c>
      <c r="AD597" t="s">
        <v>67</v>
      </c>
      <c r="AE597">
        <v>50</v>
      </c>
      <c r="AF597">
        <v>0</v>
      </c>
      <c r="AG597">
        <v>0</v>
      </c>
      <c r="AH597" s="6">
        <v>58.5</v>
      </c>
      <c r="AI597" s="6">
        <v>0</v>
      </c>
      <c r="AJ597" s="6">
        <v>0.80800000000000005</v>
      </c>
      <c r="AK597" s="6">
        <v>0.63500000000000001</v>
      </c>
      <c r="AL597" s="8">
        <v>5664.46</v>
      </c>
      <c r="AM597" s="6" t="s">
        <v>68</v>
      </c>
      <c r="AN597" s="6">
        <v>1</v>
      </c>
      <c r="AO597" s="6">
        <v>0</v>
      </c>
      <c r="AP597" s="6">
        <v>1</v>
      </c>
      <c r="AQ597" s="6">
        <v>0</v>
      </c>
      <c r="AR597" s="6">
        <v>1</v>
      </c>
      <c r="AS597" s="6">
        <v>0</v>
      </c>
      <c r="AT597" s="6">
        <v>1</v>
      </c>
      <c r="AU597" s="6">
        <v>2.5099999999999998</v>
      </c>
      <c r="AV597" s="6">
        <v>1.56</v>
      </c>
      <c r="AW597" s="6">
        <v>61.32</v>
      </c>
      <c r="AX597" s="6">
        <v>8.98</v>
      </c>
      <c r="AY597" s="6">
        <v>48.99</v>
      </c>
      <c r="AZ597" s="6">
        <v>0.1</v>
      </c>
      <c r="BA597" s="6">
        <v>19.7</v>
      </c>
    </row>
    <row r="598" spans="1:53" x14ac:dyDescent="0.3">
      <c r="A598" s="6">
        <v>576954730</v>
      </c>
      <c r="B598" s="6">
        <v>216739</v>
      </c>
      <c r="C598" s="6">
        <v>8574680</v>
      </c>
      <c r="D598" s="6">
        <v>1860</v>
      </c>
      <c r="E598" s="6" t="s">
        <v>106</v>
      </c>
      <c r="F598" s="6">
        <v>59447</v>
      </c>
      <c r="G598" s="6" t="s">
        <v>149</v>
      </c>
      <c r="H598" s="10">
        <v>45753</v>
      </c>
      <c r="I598" s="10">
        <v>45753</v>
      </c>
      <c r="J598" s="4">
        <v>45753.548611111109</v>
      </c>
      <c r="K598" s="4">
        <v>45753.740972222222</v>
      </c>
      <c r="L598" s="11">
        <v>45753.724305555559</v>
      </c>
      <c r="M598" s="10">
        <v>45753</v>
      </c>
      <c r="N598" s="6" t="s">
        <v>176</v>
      </c>
      <c r="O598" t="s">
        <v>177</v>
      </c>
      <c r="P598" s="6" t="s">
        <v>109</v>
      </c>
      <c r="Q598" t="s">
        <v>118</v>
      </c>
      <c r="R598" t="s">
        <v>88</v>
      </c>
      <c r="S598" s="6">
        <v>742390</v>
      </c>
      <c r="T598" s="6" t="s">
        <v>1</v>
      </c>
      <c r="U598">
        <v>193</v>
      </c>
      <c r="V598" s="6">
        <v>48.9</v>
      </c>
      <c r="W598" s="6">
        <v>23</v>
      </c>
      <c r="X598" s="6">
        <v>195.9</v>
      </c>
      <c r="Y598" s="6">
        <v>267.8</v>
      </c>
      <c r="Z598" s="6" t="s">
        <v>80</v>
      </c>
      <c r="AA598" t="s">
        <v>525</v>
      </c>
      <c r="AB598" s="6" t="s">
        <v>75</v>
      </c>
      <c r="AC598" t="s">
        <v>91</v>
      </c>
      <c r="AD598" t="s">
        <v>67</v>
      </c>
      <c r="AE598">
        <v>-24</v>
      </c>
      <c r="AF598">
        <v>0</v>
      </c>
      <c r="AG598">
        <v>0</v>
      </c>
      <c r="AH598" s="6">
        <v>57.1</v>
      </c>
      <c r="AI598" s="6">
        <v>0</v>
      </c>
      <c r="AJ598" s="6">
        <v>0.81799999999999995</v>
      </c>
      <c r="AK598" s="6">
        <v>0.41799999999999998</v>
      </c>
      <c r="AL598" s="8">
        <v>1154.4100000000001</v>
      </c>
      <c r="AM598" s="6" t="s">
        <v>68</v>
      </c>
      <c r="AN598" s="6">
        <v>1</v>
      </c>
      <c r="AO598" s="6">
        <v>1</v>
      </c>
      <c r="AP598" s="6">
        <v>0</v>
      </c>
      <c r="AQ598" s="6">
        <v>1</v>
      </c>
      <c r="AR598" s="6">
        <v>0</v>
      </c>
      <c r="AS598" s="6">
        <v>1</v>
      </c>
      <c r="AT598" s="6">
        <v>0</v>
      </c>
      <c r="AU598" s="6">
        <v>2.38</v>
      </c>
      <c r="AV598" s="6">
        <v>1.51</v>
      </c>
      <c r="AW598" s="6">
        <v>178.26</v>
      </c>
      <c r="AX598" s="6">
        <v>46.2</v>
      </c>
      <c r="AY598" s="6">
        <v>187.05</v>
      </c>
      <c r="AZ598" s="6">
        <v>14.3</v>
      </c>
      <c r="BA598" s="6">
        <v>21.4</v>
      </c>
    </row>
    <row r="599" spans="1:53" x14ac:dyDescent="0.3">
      <c r="A599" s="6">
        <v>755621841</v>
      </c>
      <c r="B599" s="6">
        <v>787277</v>
      </c>
      <c r="C599" s="6">
        <v>6022741</v>
      </c>
      <c r="D599" s="6">
        <v>3693</v>
      </c>
      <c r="E599" s="6" t="s">
        <v>106</v>
      </c>
      <c r="F599" s="6">
        <v>50889</v>
      </c>
      <c r="G599" s="6" t="s">
        <v>115</v>
      </c>
      <c r="H599" s="10">
        <v>45747</v>
      </c>
      <c r="I599" s="10">
        <v>45747</v>
      </c>
      <c r="J599" s="4">
        <v>45747.965277777781</v>
      </c>
      <c r="K599" s="4">
        <v>45748.635405092595</v>
      </c>
      <c r="L599" s="11">
        <v>45748.61109953704</v>
      </c>
      <c r="M599" s="10">
        <v>45748</v>
      </c>
      <c r="N599" s="6" t="s">
        <v>59</v>
      </c>
      <c r="O599" t="s">
        <v>85</v>
      </c>
      <c r="P599" s="6" t="s">
        <v>116</v>
      </c>
      <c r="Q599" t="s">
        <v>251</v>
      </c>
      <c r="R599" t="s">
        <v>123</v>
      </c>
      <c r="S599" s="6">
        <v>791295</v>
      </c>
      <c r="T599" s="6" t="s">
        <v>140</v>
      </c>
      <c r="U599">
        <v>693</v>
      </c>
      <c r="V599" s="6">
        <v>13.3</v>
      </c>
      <c r="W599" s="6">
        <v>24</v>
      </c>
      <c r="X599" s="6">
        <v>685.1</v>
      </c>
      <c r="Y599" s="6">
        <v>722.4</v>
      </c>
      <c r="Z599" s="6" t="s">
        <v>63</v>
      </c>
      <c r="AA599" t="s">
        <v>674</v>
      </c>
      <c r="AB599" s="6" t="s">
        <v>65</v>
      </c>
      <c r="AC599" t="s">
        <v>83</v>
      </c>
      <c r="AD599" t="s">
        <v>67</v>
      </c>
      <c r="AE599">
        <v>-35</v>
      </c>
      <c r="AF599">
        <v>0</v>
      </c>
      <c r="AG599">
        <v>0</v>
      </c>
      <c r="AH599" s="6">
        <v>52.2</v>
      </c>
      <c r="AI599" s="6">
        <v>0</v>
      </c>
      <c r="AJ599" s="6">
        <v>0.53900000000000003</v>
      </c>
      <c r="AK599" s="6">
        <v>0.68400000000000005</v>
      </c>
      <c r="AL599" s="8">
        <v>18054.37</v>
      </c>
      <c r="AM599" s="6" t="s">
        <v>114</v>
      </c>
      <c r="AN599" s="6">
        <v>1</v>
      </c>
      <c r="AO599" s="6">
        <v>1</v>
      </c>
      <c r="AP599" s="6">
        <v>0</v>
      </c>
      <c r="AQ599" s="6">
        <v>1</v>
      </c>
      <c r="AR599" s="6">
        <v>0</v>
      </c>
      <c r="AS599" s="6">
        <v>1</v>
      </c>
      <c r="AT599" s="6">
        <v>0</v>
      </c>
      <c r="AU599" s="6">
        <v>2.38</v>
      </c>
      <c r="AV599" s="6">
        <v>1.73</v>
      </c>
      <c r="AW599" s="6">
        <v>662.36</v>
      </c>
      <c r="AX599" s="6">
        <v>86.76</v>
      </c>
      <c r="AY599" s="6">
        <v>516.65</v>
      </c>
      <c r="AZ599" s="6">
        <v>3.4</v>
      </c>
      <c r="BA599" s="6">
        <v>10.199999999999999</v>
      </c>
    </row>
    <row r="600" spans="1:53" x14ac:dyDescent="0.3">
      <c r="A600" s="6">
        <v>405939035</v>
      </c>
      <c r="B600" s="6">
        <v>584714</v>
      </c>
      <c r="C600" s="6">
        <v>5004485</v>
      </c>
      <c r="D600" s="6">
        <v>7938</v>
      </c>
      <c r="E600" s="6" t="s">
        <v>84</v>
      </c>
      <c r="F600" s="6">
        <v>57902</v>
      </c>
      <c r="G600" s="6" t="s">
        <v>115</v>
      </c>
      <c r="H600" s="10">
        <v>46010</v>
      </c>
      <c r="I600" s="10">
        <v>46010</v>
      </c>
      <c r="J600" s="4">
        <v>46010.277777777781</v>
      </c>
      <c r="K600" s="4">
        <v>46010.661493055559</v>
      </c>
      <c r="L600" s="11">
        <v>46010.647604166668</v>
      </c>
      <c r="M600" s="10">
        <v>46010</v>
      </c>
      <c r="N600" s="6" t="s">
        <v>132</v>
      </c>
      <c r="O600" t="s">
        <v>133</v>
      </c>
      <c r="P600" s="6" t="s">
        <v>121</v>
      </c>
      <c r="Q600" t="s">
        <v>179</v>
      </c>
      <c r="R600" t="s">
        <v>123</v>
      </c>
      <c r="S600" s="6">
        <v>788047</v>
      </c>
      <c r="T600" s="6" t="s">
        <v>111</v>
      </c>
      <c r="U600">
        <v>502</v>
      </c>
      <c r="V600" s="6">
        <v>30.1</v>
      </c>
      <c r="W600" s="6">
        <v>23</v>
      </c>
      <c r="X600" s="6">
        <v>490.6</v>
      </c>
      <c r="Y600" s="6">
        <v>543.70000000000005</v>
      </c>
      <c r="Z600" s="6" t="s">
        <v>63</v>
      </c>
      <c r="AA600" t="s">
        <v>675</v>
      </c>
      <c r="AB600" s="6" t="s">
        <v>97</v>
      </c>
      <c r="AC600" t="s">
        <v>154</v>
      </c>
      <c r="AD600" t="s">
        <v>67</v>
      </c>
      <c r="AE600">
        <v>-20</v>
      </c>
      <c r="AF600">
        <v>0</v>
      </c>
      <c r="AG600">
        <v>0</v>
      </c>
      <c r="AH600" s="6">
        <v>65.400000000000006</v>
      </c>
      <c r="AI600" s="6">
        <v>0</v>
      </c>
      <c r="AJ600" s="6">
        <v>0.48899999999999999</v>
      </c>
      <c r="AK600" s="6">
        <v>0.71099999999999997</v>
      </c>
      <c r="AL600" s="8">
        <v>7105.12</v>
      </c>
      <c r="AM600" s="6" t="s">
        <v>114</v>
      </c>
      <c r="AN600" s="6">
        <v>1</v>
      </c>
      <c r="AO600" s="6">
        <v>1</v>
      </c>
      <c r="AP600" s="6">
        <v>0</v>
      </c>
      <c r="AQ600" s="6">
        <v>1</v>
      </c>
      <c r="AR600" s="6">
        <v>0</v>
      </c>
      <c r="AS600" s="6">
        <v>1</v>
      </c>
      <c r="AT600" s="6">
        <v>0</v>
      </c>
      <c r="AU600" s="6">
        <v>2.52</v>
      </c>
      <c r="AV600" s="6">
        <v>1.69</v>
      </c>
      <c r="AW600" s="6">
        <v>429.06</v>
      </c>
      <c r="AX600" s="6">
        <v>71.06</v>
      </c>
      <c r="AY600" s="6">
        <v>272.35000000000002</v>
      </c>
      <c r="AZ600" s="6">
        <v>0.2</v>
      </c>
      <c r="BA600" s="6">
        <v>48.8</v>
      </c>
    </row>
    <row r="601" spans="1:53" x14ac:dyDescent="0.3">
      <c r="A601" s="6">
        <v>907873857</v>
      </c>
      <c r="B601" s="6">
        <v>340174</v>
      </c>
      <c r="C601" s="6">
        <v>9487336</v>
      </c>
      <c r="D601" s="6">
        <v>6116</v>
      </c>
      <c r="E601" s="6" t="s">
        <v>57</v>
      </c>
      <c r="F601" s="6">
        <v>50745</v>
      </c>
      <c r="G601" s="6" t="s">
        <v>127</v>
      </c>
      <c r="H601" s="10">
        <v>45661</v>
      </c>
      <c r="I601" s="10">
        <v>45661</v>
      </c>
      <c r="J601" s="4">
        <v>45661.472222222219</v>
      </c>
      <c r="K601" s="4">
        <v>45661.57708333333</v>
      </c>
      <c r="L601" s="11">
        <v>45661.551388888889</v>
      </c>
      <c r="M601" s="10">
        <v>45661</v>
      </c>
      <c r="N601" s="6" t="s">
        <v>103</v>
      </c>
      <c r="O601" t="s">
        <v>232</v>
      </c>
      <c r="P601" s="6" t="s">
        <v>70</v>
      </c>
      <c r="Q601" t="s">
        <v>322</v>
      </c>
      <c r="R601" t="s">
        <v>73</v>
      </c>
      <c r="S601" s="6">
        <v>780997</v>
      </c>
      <c r="T601" s="6" t="s">
        <v>3</v>
      </c>
      <c r="U601">
        <v>94</v>
      </c>
      <c r="V601" s="6">
        <v>37.1</v>
      </c>
      <c r="W601" s="6">
        <v>23.2</v>
      </c>
      <c r="X601" s="6">
        <v>94.1</v>
      </c>
      <c r="Y601" s="6">
        <v>154.4</v>
      </c>
      <c r="Z601" s="6" t="s">
        <v>63</v>
      </c>
      <c r="AA601" t="s">
        <v>396</v>
      </c>
      <c r="AB601" s="6" t="s">
        <v>75</v>
      </c>
      <c r="AC601" t="s">
        <v>76</v>
      </c>
      <c r="AD601" t="s">
        <v>67</v>
      </c>
      <c r="AE601">
        <v>-37</v>
      </c>
      <c r="AF601">
        <v>0</v>
      </c>
      <c r="AG601">
        <v>0</v>
      </c>
      <c r="AH601" s="6">
        <v>53.1</v>
      </c>
      <c r="AI601" s="6">
        <v>0</v>
      </c>
      <c r="AJ601" s="6">
        <v>0.92400000000000004</v>
      </c>
      <c r="AK601" s="6">
        <v>0.626</v>
      </c>
      <c r="AL601" s="8">
        <v>106444.85</v>
      </c>
      <c r="AM601" s="6" t="s">
        <v>155</v>
      </c>
      <c r="AN601" s="6">
        <v>1</v>
      </c>
      <c r="AO601" s="6">
        <v>1</v>
      </c>
      <c r="AP601" s="6">
        <v>0</v>
      </c>
      <c r="AQ601" s="6">
        <v>1</v>
      </c>
      <c r="AR601" s="6">
        <v>0</v>
      </c>
      <c r="AS601" s="6">
        <v>1</v>
      </c>
      <c r="AT601" s="6">
        <v>0</v>
      </c>
      <c r="AU601" s="6">
        <v>2.0299999999999998</v>
      </c>
      <c r="AV601" s="6">
        <v>1.41</v>
      </c>
      <c r="AW601" s="6">
        <v>113.08</v>
      </c>
      <c r="AX601" s="6">
        <v>33.53</v>
      </c>
      <c r="AY601" s="6">
        <v>88.82</v>
      </c>
      <c r="AZ601" s="6">
        <v>9.4</v>
      </c>
      <c r="BA601" s="6">
        <v>9.4</v>
      </c>
    </row>
    <row r="602" spans="1:53" x14ac:dyDescent="0.3">
      <c r="A602" s="6">
        <v>903734960</v>
      </c>
      <c r="B602" s="6">
        <v>542417</v>
      </c>
      <c r="C602" s="6">
        <v>1527021</v>
      </c>
      <c r="D602" s="6">
        <v>6051</v>
      </c>
      <c r="E602" s="6" t="s">
        <v>57</v>
      </c>
      <c r="F602" s="6">
        <v>59911</v>
      </c>
      <c r="G602" s="6" t="s">
        <v>149</v>
      </c>
      <c r="H602" s="10">
        <v>45979</v>
      </c>
      <c r="I602" s="10">
        <v>45979</v>
      </c>
      <c r="J602" s="4">
        <v>45979.326388888891</v>
      </c>
      <c r="K602" s="4">
        <v>45979.659756944442</v>
      </c>
      <c r="L602" s="11">
        <v>45979.639618055553</v>
      </c>
      <c r="M602" s="10">
        <v>45979</v>
      </c>
      <c r="N602" s="6" t="s">
        <v>86</v>
      </c>
      <c r="O602" t="s">
        <v>108</v>
      </c>
      <c r="P602" s="6" t="s">
        <v>86</v>
      </c>
      <c r="Q602" t="s">
        <v>108</v>
      </c>
      <c r="R602" t="s">
        <v>88</v>
      </c>
      <c r="S602" s="6">
        <v>742558</v>
      </c>
      <c r="T602" s="6" t="s">
        <v>111</v>
      </c>
      <c r="U602">
        <v>315</v>
      </c>
      <c r="V602" s="6">
        <v>24.2</v>
      </c>
      <c r="W602" s="6">
        <v>39.5</v>
      </c>
      <c r="X602" s="6">
        <v>310.2</v>
      </c>
      <c r="Y602" s="6">
        <v>373.9</v>
      </c>
      <c r="Z602" s="6" t="s">
        <v>112</v>
      </c>
      <c r="AA602" t="s">
        <v>676</v>
      </c>
      <c r="AB602" s="6" t="s">
        <v>97</v>
      </c>
      <c r="AC602" t="s">
        <v>66</v>
      </c>
      <c r="AD602" t="s">
        <v>67</v>
      </c>
      <c r="AE602">
        <v>-29</v>
      </c>
      <c r="AF602">
        <v>0</v>
      </c>
      <c r="AG602">
        <v>0.7</v>
      </c>
      <c r="AH602" s="6">
        <v>63</v>
      </c>
      <c r="AI602" s="6">
        <v>0</v>
      </c>
      <c r="AJ602" s="6">
        <v>0.36299999999999999</v>
      </c>
      <c r="AK602" s="6">
        <v>0.67200000000000004</v>
      </c>
      <c r="AL602" s="8">
        <v>42088.18</v>
      </c>
      <c r="AM602" s="6" t="s">
        <v>155</v>
      </c>
      <c r="AN602" s="6">
        <v>1</v>
      </c>
      <c r="AO602" s="6">
        <v>1</v>
      </c>
      <c r="AP602" s="6">
        <v>0</v>
      </c>
      <c r="AQ602" s="6">
        <v>1</v>
      </c>
      <c r="AR602" s="6">
        <v>0</v>
      </c>
      <c r="AS602" s="6">
        <v>1</v>
      </c>
      <c r="AT602" s="6">
        <v>0</v>
      </c>
      <c r="AU602" s="6">
        <v>2.5099999999999998</v>
      </c>
      <c r="AV602" s="6">
        <v>1.91</v>
      </c>
      <c r="AW602" s="6">
        <v>255.86</v>
      </c>
      <c r="AX602" s="6">
        <v>66.7</v>
      </c>
      <c r="AY602" s="6">
        <v>192.87</v>
      </c>
      <c r="AZ602" s="6">
        <v>27.6</v>
      </c>
      <c r="BA602" s="6">
        <v>35.5</v>
      </c>
    </row>
    <row r="603" spans="1:53" x14ac:dyDescent="0.3">
      <c r="A603" s="6">
        <v>941599226</v>
      </c>
      <c r="B603" s="6">
        <v>724834</v>
      </c>
      <c r="C603" s="6">
        <v>1701771</v>
      </c>
      <c r="D603" s="6">
        <v>6249</v>
      </c>
      <c r="E603" s="6" t="s">
        <v>142</v>
      </c>
      <c r="F603" s="6">
        <v>50427</v>
      </c>
      <c r="G603" s="6" t="s">
        <v>146</v>
      </c>
      <c r="H603" s="10">
        <v>45730</v>
      </c>
      <c r="I603" s="10">
        <v>45730</v>
      </c>
      <c r="J603" s="4">
        <v>45730.611111111109</v>
      </c>
      <c r="K603" s="4">
        <v>45730.857465277775</v>
      </c>
      <c r="L603" s="11">
        <v>45730.856076388889</v>
      </c>
      <c r="M603" s="10">
        <v>45730</v>
      </c>
      <c r="N603" s="6" t="s">
        <v>134</v>
      </c>
      <c r="O603" t="s">
        <v>278</v>
      </c>
      <c r="P603" s="6" t="s">
        <v>134</v>
      </c>
      <c r="Q603" t="s">
        <v>135</v>
      </c>
      <c r="R603" t="s">
        <v>73</v>
      </c>
      <c r="S603" s="6">
        <v>752322</v>
      </c>
      <c r="T603" s="6" t="s">
        <v>111</v>
      </c>
      <c r="U603">
        <v>314</v>
      </c>
      <c r="V603" s="6">
        <v>36.5</v>
      </c>
      <c r="W603" s="6">
        <v>0.3</v>
      </c>
      <c r="X603" s="6">
        <v>311.10000000000002</v>
      </c>
      <c r="Y603" s="6">
        <v>347.9</v>
      </c>
      <c r="Z603" s="6" t="s">
        <v>2</v>
      </c>
      <c r="AA603" t="s">
        <v>677</v>
      </c>
      <c r="AB603" s="6" t="s">
        <v>90</v>
      </c>
      <c r="AC603" t="s">
        <v>154</v>
      </c>
      <c r="AD603" t="s">
        <v>67</v>
      </c>
      <c r="AE603">
        <v>-2</v>
      </c>
      <c r="AF603">
        <v>0</v>
      </c>
      <c r="AG603">
        <v>0</v>
      </c>
      <c r="AH603" s="6">
        <v>30.3</v>
      </c>
      <c r="AI603" s="6">
        <v>0</v>
      </c>
      <c r="AJ603" s="6">
        <v>0.96799999999999997</v>
      </c>
      <c r="AK603" s="6">
        <v>0.65700000000000003</v>
      </c>
      <c r="AL603" s="8">
        <v>4472.04</v>
      </c>
      <c r="AM603" s="6" t="s">
        <v>68</v>
      </c>
      <c r="AN603" s="6">
        <v>1</v>
      </c>
      <c r="AO603" s="6">
        <v>1</v>
      </c>
      <c r="AP603" s="6">
        <v>0</v>
      </c>
      <c r="AQ603" s="6">
        <v>1</v>
      </c>
      <c r="AR603" s="6">
        <v>0</v>
      </c>
      <c r="AS603" s="6">
        <v>1</v>
      </c>
      <c r="AT603" s="6">
        <v>0</v>
      </c>
      <c r="AU603" s="6">
        <v>2.4500000000000002</v>
      </c>
      <c r="AV603" s="6">
        <v>1.77</v>
      </c>
      <c r="AW603" s="6">
        <v>314.87</v>
      </c>
      <c r="AX603" s="6">
        <v>70.52</v>
      </c>
      <c r="AY603" s="6">
        <v>190.24</v>
      </c>
      <c r="AZ603" s="6">
        <v>4.4000000000000004</v>
      </c>
      <c r="BA603" s="6">
        <v>9.6999999999999993</v>
      </c>
    </row>
    <row r="604" spans="1:53" x14ac:dyDescent="0.3">
      <c r="A604" s="6">
        <v>582032731</v>
      </c>
      <c r="B604" s="6">
        <v>944151</v>
      </c>
      <c r="C604" s="6">
        <v>6855396</v>
      </c>
      <c r="D604" s="6">
        <v>8574</v>
      </c>
      <c r="E604" s="6" t="s">
        <v>225</v>
      </c>
      <c r="F604" s="6">
        <v>50731</v>
      </c>
      <c r="G604" s="6" t="s">
        <v>102</v>
      </c>
      <c r="H604" s="10">
        <v>46003</v>
      </c>
      <c r="I604" s="10">
        <v>46003</v>
      </c>
      <c r="J604" s="4">
        <v>46003.59375</v>
      </c>
      <c r="K604" s="4">
        <v>46003.786435185182</v>
      </c>
      <c r="L604" s="11">
        <v>46003.763518518521</v>
      </c>
      <c r="M604" s="10">
        <v>46003</v>
      </c>
      <c r="N604" s="6" t="s">
        <v>70</v>
      </c>
      <c r="O604" t="s">
        <v>71</v>
      </c>
      <c r="P604" s="6" t="s">
        <v>109</v>
      </c>
      <c r="Q604" t="s">
        <v>110</v>
      </c>
      <c r="R604" t="s">
        <v>88</v>
      </c>
      <c r="S604" s="6">
        <v>795672</v>
      </c>
      <c r="T604" s="6" t="s">
        <v>1</v>
      </c>
      <c r="U604">
        <v>196</v>
      </c>
      <c r="V604" s="6">
        <v>3.5</v>
      </c>
      <c r="W604" s="6">
        <v>25.6</v>
      </c>
      <c r="X604" s="6">
        <v>195.7</v>
      </c>
      <c r="Y604" s="6">
        <v>224.8</v>
      </c>
      <c r="Z604" s="6" t="s">
        <v>112</v>
      </c>
      <c r="AA604" t="s">
        <v>64</v>
      </c>
      <c r="AB604" s="6" t="s">
        <v>90</v>
      </c>
      <c r="AC604" t="s">
        <v>154</v>
      </c>
      <c r="AD604" t="s">
        <v>67</v>
      </c>
      <c r="AE604">
        <v>-33</v>
      </c>
      <c r="AF604">
        <v>0</v>
      </c>
      <c r="AG604">
        <v>0</v>
      </c>
      <c r="AH604" s="6">
        <v>54.4</v>
      </c>
      <c r="AI604" s="6">
        <v>0</v>
      </c>
      <c r="AJ604" s="6">
        <v>0.58399999999999996</v>
      </c>
      <c r="AK604" s="6">
        <v>0.82599999999999996</v>
      </c>
      <c r="AL604" s="8">
        <v>5649.63</v>
      </c>
      <c r="AM604" s="6" t="s">
        <v>68</v>
      </c>
      <c r="AN604" s="6">
        <v>1</v>
      </c>
      <c r="AO604" s="6">
        <v>1</v>
      </c>
      <c r="AP604" s="6">
        <v>0</v>
      </c>
      <c r="AQ604" s="6">
        <v>1</v>
      </c>
      <c r="AR604" s="6">
        <v>0</v>
      </c>
      <c r="AS604" s="6">
        <v>1</v>
      </c>
      <c r="AT604" s="6">
        <v>0</v>
      </c>
      <c r="AU604" s="6">
        <v>2.06</v>
      </c>
      <c r="AV604" s="6">
        <v>1.4</v>
      </c>
      <c r="AW604" s="6">
        <v>181.66</v>
      </c>
      <c r="AX604" s="6">
        <v>46.7</v>
      </c>
      <c r="AY604" s="6">
        <v>160.83000000000001</v>
      </c>
      <c r="AZ604" s="6">
        <v>12.8</v>
      </c>
      <c r="BA604" s="6">
        <v>42.9</v>
      </c>
    </row>
    <row r="605" spans="1:53" x14ac:dyDescent="0.3">
      <c r="A605" s="6">
        <v>351258749</v>
      </c>
      <c r="B605" s="6">
        <v>376183</v>
      </c>
      <c r="C605" s="6">
        <v>1649691</v>
      </c>
      <c r="D605" s="6">
        <v>8098</v>
      </c>
      <c r="E605" s="6" t="s">
        <v>84</v>
      </c>
      <c r="F605" s="6">
        <v>50799</v>
      </c>
      <c r="G605" s="6" t="s">
        <v>149</v>
      </c>
      <c r="H605" s="10">
        <v>45782</v>
      </c>
      <c r="I605" s="10">
        <v>45782</v>
      </c>
      <c r="J605" s="4">
        <v>45782.25</v>
      </c>
      <c r="K605" s="4">
        <v>45782.542847222219</v>
      </c>
      <c r="L605" s="11">
        <v>45782.538680555554</v>
      </c>
      <c r="M605" s="10">
        <v>45782</v>
      </c>
      <c r="N605" s="6" t="s">
        <v>129</v>
      </c>
      <c r="O605" t="s">
        <v>156</v>
      </c>
      <c r="P605" s="6" t="s">
        <v>116</v>
      </c>
      <c r="Q605" t="s">
        <v>212</v>
      </c>
      <c r="R605" t="s">
        <v>123</v>
      </c>
      <c r="S605" s="6">
        <v>778005</v>
      </c>
      <c r="T605" s="6" t="s">
        <v>111</v>
      </c>
      <c r="U605">
        <v>312</v>
      </c>
      <c r="V605" s="6">
        <v>14</v>
      </c>
      <c r="W605" s="6">
        <v>12.4</v>
      </c>
      <c r="X605" s="6">
        <v>304.89999999999998</v>
      </c>
      <c r="Y605" s="6">
        <v>331.3</v>
      </c>
      <c r="Z605" s="6" t="s">
        <v>63</v>
      </c>
      <c r="AA605" t="s">
        <v>678</v>
      </c>
      <c r="AB605" s="6" t="s">
        <v>97</v>
      </c>
      <c r="AC605" t="s">
        <v>83</v>
      </c>
      <c r="AD605" t="s">
        <v>67</v>
      </c>
      <c r="AE605">
        <v>-6</v>
      </c>
      <c r="AF605">
        <v>0</v>
      </c>
      <c r="AG605">
        <v>0</v>
      </c>
      <c r="AH605" s="6">
        <v>39</v>
      </c>
      <c r="AI605" s="6">
        <v>0</v>
      </c>
      <c r="AJ605" s="6">
        <v>0.79700000000000004</v>
      </c>
      <c r="AK605" s="6">
        <v>0.73799999999999999</v>
      </c>
      <c r="AL605" s="8">
        <v>18673.080000000002</v>
      </c>
      <c r="AM605" s="6" t="s">
        <v>114</v>
      </c>
      <c r="AN605" s="6">
        <v>1</v>
      </c>
      <c r="AO605" s="6">
        <v>1</v>
      </c>
      <c r="AP605" s="6">
        <v>0</v>
      </c>
      <c r="AQ605" s="6">
        <v>1</v>
      </c>
      <c r="AR605" s="6">
        <v>0</v>
      </c>
      <c r="AS605" s="6">
        <v>1</v>
      </c>
      <c r="AT605" s="6">
        <v>0</v>
      </c>
      <c r="AU605" s="6">
        <v>2.35</v>
      </c>
      <c r="AV605" s="6">
        <v>1.86</v>
      </c>
      <c r="AW605" s="6">
        <v>211.14</v>
      </c>
      <c r="AX605" s="6">
        <v>37.950000000000003</v>
      </c>
      <c r="AY605" s="6">
        <v>237.3</v>
      </c>
      <c r="AZ605" s="6">
        <v>12.2</v>
      </c>
      <c r="BA605" s="6">
        <v>20.5</v>
      </c>
    </row>
    <row r="606" spans="1:53" x14ac:dyDescent="0.3">
      <c r="A606" s="6">
        <v>673390109</v>
      </c>
      <c r="B606" s="6">
        <v>983794</v>
      </c>
      <c r="C606" s="6">
        <v>8688755</v>
      </c>
      <c r="D606" s="6">
        <v>1863</v>
      </c>
      <c r="E606" s="6" t="s">
        <v>57</v>
      </c>
      <c r="F606" s="6">
        <v>56507</v>
      </c>
      <c r="G606" s="6" t="s">
        <v>69</v>
      </c>
      <c r="H606" s="10">
        <v>45818</v>
      </c>
      <c r="I606" s="10">
        <v>45818</v>
      </c>
      <c r="J606" s="4">
        <v>45818.395833333336</v>
      </c>
      <c r="K606" s="4">
        <v>45818.638391203705</v>
      </c>
      <c r="L606" s="11">
        <v>45818.723113425927</v>
      </c>
      <c r="M606" s="10">
        <v>45818</v>
      </c>
      <c r="N606" s="6" t="s">
        <v>93</v>
      </c>
      <c r="O606" t="s">
        <v>290</v>
      </c>
      <c r="P606" s="6" t="s">
        <v>116</v>
      </c>
      <c r="Q606" t="s">
        <v>212</v>
      </c>
      <c r="R606" t="s">
        <v>123</v>
      </c>
      <c r="S606" s="6">
        <v>720446</v>
      </c>
      <c r="T606" s="6" t="s">
        <v>1</v>
      </c>
      <c r="U606">
        <v>238</v>
      </c>
      <c r="V606" s="6">
        <v>53.4</v>
      </c>
      <c r="W606" s="6">
        <v>25.4</v>
      </c>
      <c r="X606" s="6">
        <v>237.5</v>
      </c>
      <c r="Y606" s="6">
        <v>316.3</v>
      </c>
      <c r="Z606" s="6" t="s">
        <v>63</v>
      </c>
      <c r="AA606" t="s">
        <v>540</v>
      </c>
      <c r="AB606" s="6" t="s">
        <v>97</v>
      </c>
      <c r="AC606" t="s">
        <v>66</v>
      </c>
      <c r="AD606" t="s">
        <v>192</v>
      </c>
      <c r="AE606">
        <v>122</v>
      </c>
      <c r="AF606">
        <v>0</v>
      </c>
      <c r="AG606">
        <v>0</v>
      </c>
      <c r="AH606" s="6">
        <v>100</v>
      </c>
      <c r="AI606" s="6">
        <v>0</v>
      </c>
      <c r="AJ606" s="6">
        <v>0.503</v>
      </c>
      <c r="AK606" s="6">
        <v>0.65300000000000002</v>
      </c>
      <c r="AL606" s="8">
        <v>99005.97</v>
      </c>
      <c r="AM606" s="6" t="s">
        <v>155</v>
      </c>
      <c r="AN606" s="6">
        <v>1</v>
      </c>
      <c r="AO606" s="6">
        <v>0</v>
      </c>
      <c r="AP606" s="6">
        <v>1</v>
      </c>
      <c r="AQ606" s="6">
        <v>0</v>
      </c>
      <c r="AR606" s="6">
        <v>1</v>
      </c>
      <c r="AS606" s="6">
        <v>0</v>
      </c>
      <c r="AT606" s="6">
        <v>1</v>
      </c>
      <c r="AU606" s="6">
        <v>2.35</v>
      </c>
      <c r="AV606" s="6">
        <v>1.47</v>
      </c>
      <c r="AW606" s="6">
        <v>201.75</v>
      </c>
      <c r="AX606" s="6">
        <v>66.84</v>
      </c>
      <c r="AY606" s="6">
        <v>187.66</v>
      </c>
      <c r="AZ606" s="6">
        <v>22.3</v>
      </c>
      <c r="BA606" s="6">
        <v>32.5</v>
      </c>
    </row>
    <row r="607" spans="1:53" x14ac:dyDescent="0.3">
      <c r="A607" s="6">
        <v>356805216</v>
      </c>
      <c r="B607" s="6">
        <v>944962</v>
      </c>
      <c r="C607" s="6">
        <v>2016911</v>
      </c>
      <c r="D607" s="6">
        <v>9792</v>
      </c>
      <c r="E607" s="6" t="s">
        <v>185</v>
      </c>
      <c r="F607" s="6">
        <v>57025</v>
      </c>
      <c r="G607" s="6" t="s">
        <v>203</v>
      </c>
      <c r="H607" s="10">
        <v>45916</v>
      </c>
      <c r="I607" s="10">
        <v>45916</v>
      </c>
      <c r="J607" s="4">
        <v>45916.072916666664</v>
      </c>
      <c r="K607" s="4">
        <v>45916.184317129628</v>
      </c>
      <c r="L607" s="11">
        <v>45916.17528935185</v>
      </c>
      <c r="M607" s="10">
        <v>45916</v>
      </c>
      <c r="N607" s="6" t="s">
        <v>59</v>
      </c>
      <c r="O607" t="s">
        <v>61</v>
      </c>
      <c r="P607" s="6" t="s">
        <v>116</v>
      </c>
      <c r="Q607" t="s">
        <v>139</v>
      </c>
      <c r="R607" t="s">
        <v>123</v>
      </c>
      <c r="S607" s="6">
        <v>791295</v>
      </c>
      <c r="T607" s="6" t="s">
        <v>1</v>
      </c>
      <c r="U607">
        <v>135</v>
      </c>
      <c r="V607" s="6">
        <v>18.399999999999999</v>
      </c>
      <c r="W607" s="6">
        <v>18.100000000000001</v>
      </c>
      <c r="X607" s="6">
        <v>128.4</v>
      </c>
      <c r="Y607" s="6">
        <v>164.9</v>
      </c>
      <c r="Z607" s="6" t="s">
        <v>63</v>
      </c>
      <c r="AA607" t="s">
        <v>512</v>
      </c>
      <c r="AB607" s="6" t="s">
        <v>82</v>
      </c>
      <c r="AC607" t="s">
        <v>66</v>
      </c>
      <c r="AD607" t="s">
        <v>67</v>
      </c>
      <c r="AE607">
        <v>-13</v>
      </c>
      <c r="AF607">
        <v>0</v>
      </c>
      <c r="AG607">
        <v>0</v>
      </c>
      <c r="AH607" s="6">
        <v>52.5</v>
      </c>
      <c r="AI607" s="6">
        <v>0</v>
      </c>
      <c r="AJ607" s="6">
        <v>0.76700000000000002</v>
      </c>
      <c r="AK607" s="6">
        <v>0.495</v>
      </c>
      <c r="AL607" s="8">
        <v>4769.32</v>
      </c>
      <c r="AM607" s="6" t="s">
        <v>68</v>
      </c>
      <c r="AN607" s="6">
        <v>1</v>
      </c>
      <c r="AO607" s="6">
        <v>1</v>
      </c>
      <c r="AP607" s="6">
        <v>0</v>
      </c>
      <c r="AQ607" s="6">
        <v>1</v>
      </c>
      <c r="AR607" s="6">
        <v>0</v>
      </c>
      <c r="AS607" s="6">
        <v>1</v>
      </c>
      <c r="AT607" s="6">
        <v>0</v>
      </c>
      <c r="AU607" s="6">
        <v>2.2999999999999998</v>
      </c>
      <c r="AV607" s="6">
        <v>1.48</v>
      </c>
      <c r="AW607" s="6">
        <v>148.71</v>
      </c>
      <c r="AX607" s="6">
        <v>33.64</v>
      </c>
      <c r="AY607" s="6">
        <v>86.4</v>
      </c>
      <c r="AZ607" s="6">
        <v>11.5</v>
      </c>
      <c r="BA607" s="6">
        <v>19.3</v>
      </c>
    </row>
    <row r="608" spans="1:53" x14ac:dyDescent="0.3">
      <c r="A608" s="6">
        <v>432288618</v>
      </c>
      <c r="B608" s="6">
        <v>757924</v>
      </c>
      <c r="C608" s="6">
        <v>1162230</v>
      </c>
      <c r="D608" s="6">
        <v>2636</v>
      </c>
      <c r="E608" s="6" t="s">
        <v>142</v>
      </c>
      <c r="F608" s="6">
        <v>59027</v>
      </c>
      <c r="G608" s="6" t="s">
        <v>127</v>
      </c>
      <c r="H608" s="10">
        <v>45872</v>
      </c>
      <c r="I608" s="10">
        <v>45872</v>
      </c>
      <c r="J608" s="4">
        <v>45872.423611111109</v>
      </c>
      <c r="K608" s="4">
        <v>45872.617407407408</v>
      </c>
      <c r="L608" s="11">
        <v>45872.615324074075</v>
      </c>
      <c r="M608" s="10">
        <v>45872</v>
      </c>
      <c r="N608" s="6" t="s">
        <v>129</v>
      </c>
      <c r="O608" t="s">
        <v>130</v>
      </c>
      <c r="P608" s="6" t="s">
        <v>121</v>
      </c>
      <c r="Q608" t="s">
        <v>122</v>
      </c>
      <c r="R608" t="s">
        <v>123</v>
      </c>
      <c r="S608" s="6">
        <v>775399</v>
      </c>
      <c r="T608" s="6" t="s">
        <v>1</v>
      </c>
      <c r="U608">
        <v>217</v>
      </c>
      <c r="V608" s="6">
        <v>47.7</v>
      </c>
      <c r="W608" s="6">
        <v>14.6</v>
      </c>
      <c r="X608" s="6">
        <v>223.1</v>
      </c>
      <c r="Y608" s="6">
        <v>285.39999999999998</v>
      </c>
      <c r="Z608" s="6" t="s">
        <v>63</v>
      </c>
      <c r="AA608" t="s">
        <v>679</v>
      </c>
      <c r="AB608" s="6" t="s">
        <v>75</v>
      </c>
      <c r="AC608" t="s">
        <v>91</v>
      </c>
      <c r="AD608" t="s">
        <v>67</v>
      </c>
      <c r="AE608">
        <v>-3</v>
      </c>
      <c r="AF608">
        <v>0</v>
      </c>
      <c r="AG608">
        <v>0</v>
      </c>
      <c r="AH608" s="6">
        <v>30.2</v>
      </c>
      <c r="AI608" s="6">
        <v>0</v>
      </c>
      <c r="AJ608" s="6">
        <v>0.57799999999999996</v>
      </c>
      <c r="AK608" s="6">
        <v>0.70699999999999996</v>
      </c>
      <c r="AL608" s="8">
        <v>3761.06</v>
      </c>
      <c r="AM608" s="6" t="s">
        <v>68</v>
      </c>
      <c r="AN608" s="6">
        <v>1</v>
      </c>
      <c r="AO608" s="6">
        <v>1</v>
      </c>
      <c r="AP608" s="6">
        <v>0</v>
      </c>
      <c r="AQ608" s="6">
        <v>1</v>
      </c>
      <c r="AR608" s="6">
        <v>0</v>
      </c>
      <c r="AS608" s="6">
        <v>1</v>
      </c>
      <c r="AT608" s="6">
        <v>0</v>
      </c>
      <c r="AU608" s="6">
        <v>2.36</v>
      </c>
      <c r="AV608" s="6">
        <v>1.84</v>
      </c>
      <c r="AW608" s="6">
        <v>237.75</v>
      </c>
      <c r="AX608" s="6">
        <v>30.09</v>
      </c>
      <c r="AY608" s="6">
        <v>174.46</v>
      </c>
      <c r="AZ608" s="6">
        <v>6.1</v>
      </c>
      <c r="BA608" s="6">
        <v>38.1</v>
      </c>
    </row>
    <row r="609" spans="1:53" x14ac:dyDescent="0.3">
      <c r="A609" s="6">
        <v>968253265</v>
      </c>
      <c r="B609" s="6">
        <v>207175</v>
      </c>
      <c r="C609" s="6">
        <v>8077999</v>
      </c>
      <c r="D609" s="6">
        <v>4152</v>
      </c>
      <c r="E609" s="6" t="s">
        <v>142</v>
      </c>
      <c r="F609" s="6">
        <v>57624</v>
      </c>
      <c r="G609" s="6" t="s">
        <v>115</v>
      </c>
      <c r="H609" s="10">
        <v>45774</v>
      </c>
      <c r="I609" s="10">
        <v>45774</v>
      </c>
      <c r="J609" s="4">
        <v>45774.489583333336</v>
      </c>
      <c r="K609" s="4">
        <v>45774.5859375</v>
      </c>
      <c r="L609" s="11">
        <v>45774.56927083333</v>
      </c>
      <c r="M609" s="10">
        <v>45774</v>
      </c>
      <c r="N609" s="6" t="s">
        <v>176</v>
      </c>
      <c r="O609" t="s">
        <v>316</v>
      </c>
      <c r="P609" s="6" t="s">
        <v>150</v>
      </c>
      <c r="Q609" t="s">
        <v>265</v>
      </c>
      <c r="R609" t="s">
        <v>73</v>
      </c>
      <c r="S609" s="6">
        <v>777840</v>
      </c>
      <c r="T609" s="6" t="s">
        <v>1</v>
      </c>
      <c r="U609">
        <v>106</v>
      </c>
      <c r="V609" s="6">
        <v>36</v>
      </c>
      <c r="W609" s="6">
        <v>0.9</v>
      </c>
      <c r="X609" s="6">
        <v>105.4</v>
      </c>
      <c r="Y609" s="6">
        <v>142.30000000000001</v>
      </c>
      <c r="Z609" s="6" t="s">
        <v>112</v>
      </c>
      <c r="AA609" t="s">
        <v>680</v>
      </c>
      <c r="AB609" s="6" t="s">
        <v>75</v>
      </c>
      <c r="AC609" t="s">
        <v>91</v>
      </c>
      <c r="AD609" t="s">
        <v>67</v>
      </c>
      <c r="AE609">
        <v>-24</v>
      </c>
      <c r="AF609">
        <v>0</v>
      </c>
      <c r="AG609">
        <v>0</v>
      </c>
      <c r="AH609" s="6">
        <v>98</v>
      </c>
      <c r="AI609" s="6">
        <v>0</v>
      </c>
      <c r="AJ609" s="6">
        <v>0.56200000000000006</v>
      </c>
      <c r="AK609" s="6">
        <v>0.60799999999999998</v>
      </c>
      <c r="AL609" s="8">
        <v>5747.44</v>
      </c>
      <c r="AM609" s="6" t="s">
        <v>68</v>
      </c>
      <c r="AN609" s="6">
        <v>1</v>
      </c>
      <c r="AO609" s="6">
        <v>1</v>
      </c>
      <c r="AP609" s="6">
        <v>0</v>
      </c>
      <c r="AQ609" s="6">
        <v>1</v>
      </c>
      <c r="AR609" s="6">
        <v>0</v>
      </c>
      <c r="AS609" s="6">
        <v>1</v>
      </c>
      <c r="AT609" s="6">
        <v>0</v>
      </c>
      <c r="AU609" s="6">
        <v>2.27</v>
      </c>
      <c r="AV609" s="6">
        <v>1.74</v>
      </c>
      <c r="AW609" s="6">
        <v>92.64</v>
      </c>
      <c r="AX609" s="6">
        <v>30.92</v>
      </c>
      <c r="AY609" s="6">
        <v>79.260000000000005</v>
      </c>
      <c r="AZ609" s="6">
        <v>16.8</v>
      </c>
      <c r="BA609" s="6">
        <v>0</v>
      </c>
    </row>
    <row r="610" spans="1:53" x14ac:dyDescent="0.3">
      <c r="A610" s="6">
        <v>942211135</v>
      </c>
      <c r="B610" s="6">
        <v>160738</v>
      </c>
      <c r="C610" s="6">
        <v>8321474</v>
      </c>
      <c r="D610" s="6">
        <v>2154</v>
      </c>
      <c r="E610" s="6" t="s">
        <v>211</v>
      </c>
      <c r="F610" s="6">
        <v>58326</v>
      </c>
      <c r="G610" s="6" t="s">
        <v>98</v>
      </c>
      <c r="H610" s="10">
        <v>45860</v>
      </c>
      <c r="I610" s="10">
        <v>45860</v>
      </c>
      <c r="J610" s="4">
        <v>45860.78125</v>
      </c>
      <c r="K610" s="4">
        <v>45860.959629629629</v>
      </c>
      <c r="L610" s="11">
        <v>45860.916574074072</v>
      </c>
      <c r="M610" s="10">
        <v>45860</v>
      </c>
      <c r="N610" s="6" t="s">
        <v>109</v>
      </c>
      <c r="O610" t="s">
        <v>118</v>
      </c>
      <c r="P610" s="6" t="s">
        <v>86</v>
      </c>
      <c r="Q610" t="s">
        <v>87</v>
      </c>
      <c r="R610" t="s">
        <v>88</v>
      </c>
      <c r="S610" s="6">
        <v>795889</v>
      </c>
      <c r="T610" s="6" t="s">
        <v>1</v>
      </c>
      <c r="U610">
        <v>173</v>
      </c>
      <c r="V610" s="6">
        <v>16.899999999999999</v>
      </c>
      <c r="W610" s="6">
        <v>30.3</v>
      </c>
      <c r="X610" s="6">
        <v>176.2</v>
      </c>
      <c r="Y610" s="6">
        <v>223.4</v>
      </c>
      <c r="Z610" s="6" t="s">
        <v>63</v>
      </c>
      <c r="AA610" t="s">
        <v>625</v>
      </c>
      <c r="AB610" s="6" t="s">
        <v>65</v>
      </c>
      <c r="AC610" t="s">
        <v>66</v>
      </c>
      <c r="AD610" t="s">
        <v>192</v>
      </c>
      <c r="AE610">
        <v>-62</v>
      </c>
      <c r="AF610">
        <v>0</v>
      </c>
      <c r="AG610">
        <v>0</v>
      </c>
      <c r="AH610" s="6">
        <v>38.6</v>
      </c>
      <c r="AI610" s="6">
        <v>0</v>
      </c>
      <c r="AJ610" s="6">
        <v>0.44</v>
      </c>
      <c r="AK610" s="6">
        <v>0.747</v>
      </c>
      <c r="AL610" s="8">
        <v>19306.169999999998</v>
      </c>
      <c r="AM610" s="6" t="s">
        <v>114</v>
      </c>
      <c r="AN610" s="6">
        <v>1</v>
      </c>
      <c r="AO610" s="6">
        <v>1</v>
      </c>
      <c r="AP610" s="6">
        <v>0</v>
      </c>
      <c r="AQ610" s="6">
        <v>1</v>
      </c>
      <c r="AR610" s="6">
        <v>0</v>
      </c>
      <c r="AS610" s="6">
        <v>1</v>
      </c>
      <c r="AT610" s="6">
        <v>0</v>
      </c>
      <c r="AU610" s="6">
        <v>2.12</v>
      </c>
      <c r="AV610" s="6">
        <v>1.29</v>
      </c>
      <c r="AW610" s="6">
        <v>180.31</v>
      </c>
      <c r="AX610" s="6">
        <v>34.630000000000003</v>
      </c>
      <c r="AY610" s="6">
        <v>157.03</v>
      </c>
      <c r="AZ610" s="6">
        <v>10.9</v>
      </c>
      <c r="BA610" s="6">
        <v>53.2</v>
      </c>
    </row>
    <row r="611" spans="1:53" x14ac:dyDescent="0.3">
      <c r="A611" s="6">
        <v>603601664</v>
      </c>
      <c r="B611" s="6">
        <v>712982</v>
      </c>
      <c r="C611" s="6">
        <v>9196204</v>
      </c>
      <c r="D611" s="6">
        <v>4748</v>
      </c>
      <c r="E611" s="6" t="s">
        <v>126</v>
      </c>
      <c r="F611" s="6">
        <v>55383</v>
      </c>
      <c r="G611" s="6" t="s">
        <v>175</v>
      </c>
      <c r="H611" s="10">
        <v>45924</v>
      </c>
      <c r="I611" s="10">
        <v>45924</v>
      </c>
      <c r="J611" s="4">
        <v>45924.510416666664</v>
      </c>
      <c r="K611" s="4">
        <v>45924.769814814812</v>
      </c>
      <c r="L611" s="11">
        <v>45924.837870370371</v>
      </c>
      <c r="M611" s="10">
        <v>45924</v>
      </c>
      <c r="N611" s="6" t="s">
        <v>116</v>
      </c>
      <c r="O611" t="s">
        <v>212</v>
      </c>
      <c r="P611" s="6" t="s">
        <v>70</v>
      </c>
      <c r="Q611" t="s">
        <v>138</v>
      </c>
      <c r="R611" t="s">
        <v>73</v>
      </c>
      <c r="S611" s="6">
        <v>729716</v>
      </c>
      <c r="T611" s="6" t="s">
        <v>1</v>
      </c>
      <c r="U611">
        <v>250</v>
      </c>
      <c r="V611" s="6">
        <v>47.4</v>
      </c>
      <c r="W611" s="6">
        <v>26.3</v>
      </c>
      <c r="X611" s="6">
        <v>239.4</v>
      </c>
      <c r="Y611" s="6">
        <v>313.10000000000002</v>
      </c>
      <c r="Z611" s="6" t="s">
        <v>63</v>
      </c>
      <c r="AA611" t="s">
        <v>681</v>
      </c>
      <c r="AB611" s="6" t="s">
        <v>75</v>
      </c>
      <c r="AC611" t="s">
        <v>125</v>
      </c>
      <c r="AD611" t="s">
        <v>192</v>
      </c>
      <c r="AE611">
        <v>98</v>
      </c>
      <c r="AF611">
        <v>0</v>
      </c>
      <c r="AG611">
        <v>0</v>
      </c>
      <c r="AH611" s="6">
        <v>67.400000000000006</v>
      </c>
      <c r="AI611" s="6">
        <v>0</v>
      </c>
      <c r="AJ611" s="6">
        <v>0.81299999999999994</v>
      </c>
      <c r="AK611" s="6">
        <v>0.52100000000000002</v>
      </c>
      <c r="AL611" s="8">
        <v>13044.61</v>
      </c>
      <c r="AM611" s="6" t="s">
        <v>114</v>
      </c>
      <c r="AN611" s="6">
        <v>1</v>
      </c>
      <c r="AO611" s="6">
        <v>0</v>
      </c>
      <c r="AP611" s="6">
        <v>1</v>
      </c>
      <c r="AQ611" s="6">
        <v>0</v>
      </c>
      <c r="AR611" s="6">
        <v>1</v>
      </c>
      <c r="AS611" s="6">
        <v>0</v>
      </c>
      <c r="AT611" s="6">
        <v>1</v>
      </c>
      <c r="AU611" s="6">
        <v>2.19</v>
      </c>
      <c r="AV611" s="6">
        <v>1.72</v>
      </c>
      <c r="AW611" s="6">
        <v>233.52</v>
      </c>
      <c r="AX611" s="6">
        <v>67.92</v>
      </c>
      <c r="AY611" s="6">
        <v>211.77</v>
      </c>
      <c r="AZ611" s="6">
        <v>4.7</v>
      </c>
      <c r="BA611" s="6">
        <v>51.5</v>
      </c>
    </row>
    <row r="612" spans="1:53" x14ac:dyDescent="0.3">
      <c r="A612" s="6">
        <v>996696177</v>
      </c>
      <c r="B612" s="6">
        <v>263032</v>
      </c>
      <c r="C612" s="6">
        <v>4191175</v>
      </c>
      <c r="D612" s="6">
        <v>6486</v>
      </c>
      <c r="E612" s="6" t="s">
        <v>225</v>
      </c>
      <c r="F612" s="6">
        <v>56207</v>
      </c>
      <c r="G612" s="6" t="s">
        <v>69</v>
      </c>
      <c r="H612" s="10">
        <v>45673</v>
      </c>
      <c r="I612" s="10">
        <v>45673</v>
      </c>
      <c r="J612" s="4">
        <v>45673.378472222219</v>
      </c>
      <c r="K612" s="4">
        <v>45674.01966435185</v>
      </c>
      <c r="L612" s="11">
        <v>45674.008553240739</v>
      </c>
      <c r="M612" s="10">
        <v>45674</v>
      </c>
      <c r="N612" s="6" t="s">
        <v>70</v>
      </c>
      <c r="O612" t="s">
        <v>152</v>
      </c>
      <c r="P612" s="6" t="s">
        <v>134</v>
      </c>
      <c r="Q612" t="s">
        <v>282</v>
      </c>
      <c r="R612" t="s">
        <v>73</v>
      </c>
      <c r="S612" s="6">
        <v>751684</v>
      </c>
      <c r="T612" s="6" t="s">
        <v>140</v>
      </c>
      <c r="U612">
        <v>755</v>
      </c>
      <c r="V612" s="6">
        <v>43.3</v>
      </c>
      <c r="W612" s="6">
        <v>20.6</v>
      </c>
      <c r="X612" s="6">
        <v>758.5</v>
      </c>
      <c r="Y612" s="6">
        <v>822.4</v>
      </c>
      <c r="Z612" s="6" t="s">
        <v>215</v>
      </c>
      <c r="AA612" t="s">
        <v>682</v>
      </c>
      <c r="AB612" s="6" t="s">
        <v>97</v>
      </c>
      <c r="AC612" t="s">
        <v>137</v>
      </c>
      <c r="AD612" t="s">
        <v>67</v>
      </c>
      <c r="AE612">
        <v>-16</v>
      </c>
      <c r="AF612">
        <v>0</v>
      </c>
      <c r="AG612">
        <v>0</v>
      </c>
      <c r="AH612" s="6">
        <v>17.5</v>
      </c>
      <c r="AI612" s="6">
        <v>0</v>
      </c>
      <c r="AJ612" s="6">
        <v>0.63600000000000001</v>
      </c>
      <c r="AK612" s="6">
        <v>0.63</v>
      </c>
      <c r="AL612" s="8">
        <v>17880.900000000001</v>
      </c>
      <c r="AM612" s="6" t="s">
        <v>114</v>
      </c>
      <c r="AN612" s="6">
        <v>1</v>
      </c>
      <c r="AO612" s="6">
        <v>1</v>
      </c>
      <c r="AP612" s="6">
        <v>0</v>
      </c>
      <c r="AQ612" s="6">
        <v>1</v>
      </c>
      <c r="AR612" s="6">
        <v>0</v>
      </c>
      <c r="AS612" s="6">
        <v>1</v>
      </c>
      <c r="AT612" s="6">
        <v>0</v>
      </c>
      <c r="AU612" s="6">
        <v>2.57</v>
      </c>
      <c r="AV612" s="6">
        <v>1.5</v>
      </c>
      <c r="AW612" s="6">
        <v>704.48</v>
      </c>
      <c r="AX612" s="6">
        <v>163.54</v>
      </c>
      <c r="AY612" s="6">
        <v>455.71</v>
      </c>
      <c r="AZ612" s="6">
        <v>13.2</v>
      </c>
      <c r="BA612" s="6">
        <v>33.1</v>
      </c>
    </row>
    <row r="613" spans="1:53" x14ac:dyDescent="0.3">
      <c r="A613" s="6">
        <v>308323285</v>
      </c>
      <c r="B613" s="6">
        <v>665492</v>
      </c>
      <c r="C613" s="6">
        <v>5960271</v>
      </c>
      <c r="D613" s="6">
        <v>7015</v>
      </c>
      <c r="E613" s="6" t="s">
        <v>84</v>
      </c>
      <c r="F613" s="6">
        <v>52538</v>
      </c>
      <c r="G613" s="6" t="s">
        <v>164</v>
      </c>
      <c r="H613" s="10">
        <v>45662</v>
      </c>
      <c r="I613" s="10">
        <v>45662</v>
      </c>
      <c r="J613" s="4">
        <v>45662.961805555555</v>
      </c>
      <c r="K613" s="4">
        <v>45663.767835648148</v>
      </c>
      <c r="L613" s="11">
        <v>45663.883113425924</v>
      </c>
      <c r="M613" s="10">
        <v>45663</v>
      </c>
      <c r="N613" s="6" t="s">
        <v>103</v>
      </c>
      <c r="O613" t="s">
        <v>204</v>
      </c>
      <c r="P613" s="6" t="s">
        <v>103</v>
      </c>
      <c r="Q613" t="s">
        <v>204</v>
      </c>
      <c r="R613" t="s">
        <v>73</v>
      </c>
      <c r="S613" s="6">
        <v>783084</v>
      </c>
      <c r="T613" s="6" t="s">
        <v>140</v>
      </c>
      <c r="U613">
        <v>1037</v>
      </c>
      <c r="V613" s="6">
        <v>40.200000000000003</v>
      </c>
      <c r="W613" s="6">
        <v>8.9</v>
      </c>
      <c r="X613" s="6">
        <v>1046</v>
      </c>
      <c r="Y613" s="6">
        <v>1095.0999999999999</v>
      </c>
      <c r="Z613" s="6" t="s">
        <v>63</v>
      </c>
      <c r="AA613" t="s">
        <v>683</v>
      </c>
      <c r="AB613" s="6" t="s">
        <v>65</v>
      </c>
      <c r="AC613" t="s">
        <v>91</v>
      </c>
      <c r="AD613" t="s">
        <v>188</v>
      </c>
      <c r="AE613">
        <v>166</v>
      </c>
      <c r="AF613">
        <v>0</v>
      </c>
      <c r="AG613">
        <v>3.9</v>
      </c>
      <c r="AH613" s="6">
        <v>47</v>
      </c>
      <c r="AI613" s="6">
        <v>0</v>
      </c>
      <c r="AJ613" s="6">
        <v>0.85599999999999998</v>
      </c>
      <c r="AK613" s="6">
        <v>0.27</v>
      </c>
      <c r="AL613" s="8">
        <v>5990.16</v>
      </c>
      <c r="AM613" s="6" t="s">
        <v>68</v>
      </c>
      <c r="AN613" s="6">
        <v>1</v>
      </c>
      <c r="AO613" s="6">
        <v>0</v>
      </c>
      <c r="AP613" s="6">
        <v>1</v>
      </c>
      <c r="AQ613" s="6">
        <v>0</v>
      </c>
      <c r="AR613" s="6">
        <v>1</v>
      </c>
      <c r="AS613" s="6">
        <v>0</v>
      </c>
      <c r="AT613" s="6">
        <v>1</v>
      </c>
      <c r="AU613" s="6">
        <v>2.11</v>
      </c>
      <c r="AV613" s="6">
        <v>1.61</v>
      </c>
      <c r="AW613" s="6">
        <v>768.88</v>
      </c>
      <c r="AX613" s="6">
        <v>167.35</v>
      </c>
      <c r="AY613" s="6">
        <v>530.46</v>
      </c>
      <c r="AZ613" s="6">
        <v>5.6</v>
      </c>
      <c r="BA613" s="6">
        <v>3.4</v>
      </c>
    </row>
    <row r="614" spans="1:53" x14ac:dyDescent="0.3">
      <c r="A614" s="6">
        <v>494966219</v>
      </c>
      <c r="B614" s="6">
        <v>380746</v>
      </c>
      <c r="C614" s="6">
        <v>7199635</v>
      </c>
      <c r="D614" s="6">
        <v>2678</v>
      </c>
      <c r="E614" s="6" t="s">
        <v>84</v>
      </c>
      <c r="F614" s="6">
        <v>53718</v>
      </c>
      <c r="G614" s="6" t="s">
        <v>146</v>
      </c>
      <c r="H614" s="10">
        <v>45825</v>
      </c>
      <c r="I614" s="10">
        <v>45825</v>
      </c>
      <c r="J614" s="4">
        <v>45825.479166666664</v>
      </c>
      <c r="K614" s="4">
        <v>45825.880983796298</v>
      </c>
      <c r="L614" s="11">
        <v>45825.878206018519</v>
      </c>
      <c r="M614" s="10">
        <v>45825</v>
      </c>
      <c r="N614" s="6" t="s">
        <v>103</v>
      </c>
      <c r="O614" t="s">
        <v>204</v>
      </c>
      <c r="P614" s="6" t="s">
        <v>103</v>
      </c>
      <c r="Q614" t="s">
        <v>232</v>
      </c>
      <c r="R614" t="s">
        <v>73</v>
      </c>
      <c r="S614" s="6">
        <v>783084</v>
      </c>
      <c r="T614" s="6" t="s">
        <v>111</v>
      </c>
      <c r="U614">
        <v>491</v>
      </c>
      <c r="V614" s="6">
        <v>20.6</v>
      </c>
      <c r="W614" s="6">
        <v>1.4</v>
      </c>
      <c r="X614" s="6">
        <v>491.7</v>
      </c>
      <c r="Y614" s="6">
        <v>513.70000000000005</v>
      </c>
      <c r="Z614" s="6" t="s">
        <v>80</v>
      </c>
      <c r="AA614" t="s">
        <v>684</v>
      </c>
      <c r="AB614" s="6" t="s">
        <v>75</v>
      </c>
      <c r="AC614" t="s">
        <v>66</v>
      </c>
      <c r="AD614" t="s">
        <v>67</v>
      </c>
      <c r="AE614">
        <v>-4</v>
      </c>
      <c r="AF614">
        <v>0</v>
      </c>
      <c r="AG614">
        <v>0</v>
      </c>
      <c r="AH614" s="6">
        <v>78.099999999999994</v>
      </c>
      <c r="AI614" s="6">
        <v>0</v>
      </c>
      <c r="AJ614" s="6">
        <v>0.56599999999999995</v>
      </c>
      <c r="AK614" s="6">
        <v>0.45400000000000001</v>
      </c>
      <c r="AL614" s="8">
        <v>5329.2</v>
      </c>
      <c r="AM614" s="6" t="s">
        <v>68</v>
      </c>
      <c r="AN614" s="6">
        <v>1</v>
      </c>
      <c r="AO614" s="6">
        <v>1</v>
      </c>
      <c r="AP614" s="6">
        <v>0</v>
      </c>
      <c r="AQ614" s="6">
        <v>1</v>
      </c>
      <c r="AR614" s="6">
        <v>0</v>
      </c>
      <c r="AS614" s="6">
        <v>1</v>
      </c>
      <c r="AT614" s="6">
        <v>0</v>
      </c>
      <c r="AU614" s="6">
        <v>2.25</v>
      </c>
      <c r="AV614" s="6">
        <v>1.44</v>
      </c>
      <c r="AW614" s="6">
        <v>377.49</v>
      </c>
      <c r="AX614" s="6">
        <v>82.9</v>
      </c>
      <c r="AY614" s="6">
        <v>369.62</v>
      </c>
      <c r="AZ614" s="6">
        <v>22.1</v>
      </c>
      <c r="BA614" s="6">
        <v>61.8</v>
      </c>
    </row>
    <row r="615" spans="1:53" x14ac:dyDescent="0.3">
      <c r="A615" s="6">
        <v>828326405</v>
      </c>
      <c r="B615" s="6">
        <v>542417</v>
      </c>
      <c r="C615" s="6">
        <v>1527021</v>
      </c>
      <c r="D615" s="6">
        <v>6051</v>
      </c>
      <c r="E615" s="6" t="s">
        <v>57</v>
      </c>
      <c r="F615" s="6">
        <v>58232</v>
      </c>
      <c r="G615" s="6" t="s">
        <v>127</v>
      </c>
      <c r="H615" s="10">
        <v>45706</v>
      </c>
      <c r="I615" s="10">
        <v>45706</v>
      </c>
      <c r="J615" s="4">
        <v>45706.520833333336</v>
      </c>
      <c r="K615" s="4">
        <v>45706.831620370373</v>
      </c>
      <c r="L615" s="11">
        <v>45706.830925925926</v>
      </c>
      <c r="M615" s="10">
        <v>45706</v>
      </c>
      <c r="N615" s="6" t="s">
        <v>86</v>
      </c>
      <c r="O615" t="s">
        <v>87</v>
      </c>
      <c r="P615" s="6" t="s">
        <v>70</v>
      </c>
      <c r="Q615" t="s">
        <v>71</v>
      </c>
      <c r="R615" t="s">
        <v>73</v>
      </c>
      <c r="S615" s="6">
        <v>735557</v>
      </c>
      <c r="T615" s="6" t="s">
        <v>111</v>
      </c>
      <c r="U615">
        <v>372</v>
      </c>
      <c r="V615" s="6">
        <v>29.9</v>
      </c>
      <c r="W615" s="6">
        <v>19.3</v>
      </c>
      <c r="X615" s="6">
        <v>375.1</v>
      </c>
      <c r="Y615" s="6">
        <v>424.3</v>
      </c>
      <c r="Z615" s="6" t="s">
        <v>112</v>
      </c>
      <c r="AA615" t="s">
        <v>685</v>
      </c>
      <c r="AB615" s="6" t="s">
        <v>75</v>
      </c>
      <c r="AC615" t="s">
        <v>66</v>
      </c>
      <c r="AD615" t="s">
        <v>67</v>
      </c>
      <c r="AE615">
        <v>-1</v>
      </c>
      <c r="AF615">
        <v>0</v>
      </c>
      <c r="AG615">
        <v>0</v>
      </c>
      <c r="AH615" s="6">
        <v>60.7</v>
      </c>
      <c r="AI615" s="6">
        <v>0</v>
      </c>
      <c r="AJ615" s="6">
        <v>0.89300000000000002</v>
      </c>
      <c r="AK615" s="6">
        <v>0.85799999999999998</v>
      </c>
      <c r="AL615" s="8">
        <v>806.36</v>
      </c>
      <c r="AM615" s="6" t="s">
        <v>68</v>
      </c>
      <c r="AN615" s="6">
        <v>1</v>
      </c>
      <c r="AO615" s="6">
        <v>1</v>
      </c>
      <c r="AP615" s="6">
        <v>0</v>
      </c>
      <c r="AQ615" s="6">
        <v>1</v>
      </c>
      <c r="AR615" s="6">
        <v>0</v>
      </c>
      <c r="AS615" s="6">
        <v>1</v>
      </c>
      <c r="AT615" s="6">
        <v>0</v>
      </c>
      <c r="AU615" s="6">
        <v>2.1800000000000002</v>
      </c>
      <c r="AV615" s="6">
        <v>1.35</v>
      </c>
      <c r="AW615" s="6">
        <v>284.37</v>
      </c>
      <c r="AX615" s="6">
        <v>56.44</v>
      </c>
      <c r="AY615" s="6">
        <v>273.25</v>
      </c>
      <c r="AZ615" s="6">
        <v>27.6</v>
      </c>
      <c r="BA615" s="6">
        <v>37.6</v>
      </c>
    </row>
    <row r="616" spans="1:53" x14ac:dyDescent="0.3">
      <c r="A616" s="6">
        <v>712483158</v>
      </c>
      <c r="B616" s="6">
        <v>245051</v>
      </c>
      <c r="C616" s="6">
        <v>1739653</v>
      </c>
      <c r="D616" s="6">
        <v>4763</v>
      </c>
      <c r="E616" s="6" t="s">
        <v>185</v>
      </c>
      <c r="F616" s="6">
        <v>53367</v>
      </c>
      <c r="G616" s="6" t="s">
        <v>115</v>
      </c>
      <c r="H616" s="10">
        <v>45900</v>
      </c>
      <c r="I616" s="10">
        <v>45900</v>
      </c>
      <c r="J616" s="4">
        <v>45900.302083333336</v>
      </c>
      <c r="K616" s="4">
        <v>45900.79383101852</v>
      </c>
      <c r="L616" s="11">
        <v>45900.915358796294</v>
      </c>
      <c r="M616" s="10">
        <v>45900</v>
      </c>
      <c r="N616" s="6" t="s">
        <v>59</v>
      </c>
      <c r="O616" t="s">
        <v>85</v>
      </c>
      <c r="P616" s="6" t="s">
        <v>150</v>
      </c>
      <c r="Q616" t="s">
        <v>159</v>
      </c>
      <c r="R616" t="s">
        <v>73</v>
      </c>
      <c r="S616" s="6">
        <v>782862</v>
      </c>
      <c r="T616" s="6" t="s">
        <v>140</v>
      </c>
      <c r="U616">
        <v>505</v>
      </c>
      <c r="V616" s="6">
        <v>20.3</v>
      </c>
      <c r="W616" s="6">
        <v>7.5</v>
      </c>
      <c r="X616" s="6">
        <v>503.6</v>
      </c>
      <c r="Y616" s="6">
        <v>531.4</v>
      </c>
      <c r="Z616" s="6" t="s">
        <v>63</v>
      </c>
      <c r="AA616" t="s">
        <v>686</v>
      </c>
      <c r="AB616" s="6" t="s">
        <v>97</v>
      </c>
      <c r="AC616" t="s">
        <v>91</v>
      </c>
      <c r="AD616" t="s">
        <v>206</v>
      </c>
      <c r="AE616">
        <v>175</v>
      </c>
      <c r="AF616">
        <v>120</v>
      </c>
      <c r="AG616">
        <v>1.8</v>
      </c>
      <c r="AH616" s="6">
        <v>17.399999999999999</v>
      </c>
      <c r="AI616" s="6">
        <v>0</v>
      </c>
      <c r="AJ616" s="6">
        <v>0.81499999999999995</v>
      </c>
      <c r="AK616" s="6">
        <v>0.52800000000000002</v>
      </c>
      <c r="AL616" s="8">
        <v>4637.01</v>
      </c>
      <c r="AM616" s="6" t="s">
        <v>68</v>
      </c>
      <c r="AN616" s="6">
        <v>1</v>
      </c>
      <c r="AO616" s="6">
        <v>0</v>
      </c>
      <c r="AP616" s="6">
        <v>1</v>
      </c>
      <c r="AQ616" s="6">
        <v>0</v>
      </c>
      <c r="AR616" s="6">
        <v>1</v>
      </c>
      <c r="AS616" s="6">
        <v>0</v>
      </c>
      <c r="AT616" s="6">
        <v>1</v>
      </c>
      <c r="AU616" s="6">
        <v>2.2000000000000002</v>
      </c>
      <c r="AV616" s="6">
        <v>1.49</v>
      </c>
      <c r="AW616" s="6">
        <v>369.72</v>
      </c>
      <c r="AX616" s="6">
        <v>84.19</v>
      </c>
      <c r="AY616" s="6">
        <v>309.37</v>
      </c>
      <c r="AZ616" s="6">
        <v>12.9</v>
      </c>
      <c r="BA616" s="6">
        <v>62.1</v>
      </c>
    </row>
    <row r="617" spans="1:53" x14ac:dyDescent="0.3">
      <c r="A617" s="6">
        <v>573087862</v>
      </c>
      <c r="B617" s="6">
        <v>581741</v>
      </c>
      <c r="C617" s="6">
        <v>3790237</v>
      </c>
      <c r="D617" s="6">
        <v>1995</v>
      </c>
      <c r="E617" s="6" t="s">
        <v>126</v>
      </c>
      <c r="F617" s="6">
        <v>55008</v>
      </c>
      <c r="G617" s="6" t="s">
        <v>115</v>
      </c>
      <c r="H617" s="10">
        <v>45736</v>
      </c>
      <c r="I617" s="10">
        <v>45736</v>
      </c>
      <c r="J617" s="4">
        <v>45736.510416666664</v>
      </c>
      <c r="K617" s="4">
        <v>45736.579687500001</v>
      </c>
      <c r="L617" s="11">
        <v>45736.568576388891</v>
      </c>
      <c r="M617" s="10">
        <v>45736</v>
      </c>
      <c r="N617" s="6" t="s">
        <v>78</v>
      </c>
      <c r="O617" t="s">
        <v>166</v>
      </c>
      <c r="P617" s="6" t="s">
        <v>86</v>
      </c>
      <c r="Q617" t="s">
        <v>243</v>
      </c>
      <c r="R617" t="s">
        <v>88</v>
      </c>
      <c r="S617" s="6">
        <v>702981</v>
      </c>
      <c r="T617" s="6" t="s">
        <v>3</v>
      </c>
      <c r="U617">
        <v>96</v>
      </c>
      <c r="V617" s="6">
        <v>38.200000000000003</v>
      </c>
      <c r="W617" s="6">
        <v>22.1</v>
      </c>
      <c r="X617" s="6">
        <v>98.3</v>
      </c>
      <c r="Y617" s="6">
        <v>158.6</v>
      </c>
      <c r="Z617" s="6" t="s">
        <v>2</v>
      </c>
      <c r="AA617" t="s">
        <v>633</v>
      </c>
      <c r="AB617" s="6" t="s">
        <v>75</v>
      </c>
      <c r="AC617" t="s">
        <v>137</v>
      </c>
      <c r="AD617" t="s">
        <v>67</v>
      </c>
      <c r="AE617">
        <v>-16</v>
      </c>
      <c r="AF617">
        <v>0</v>
      </c>
      <c r="AG617">
        <v>0</v>
      </c>
      <c r="AH617" s="6">
        <v>34.299999999999997</v>
      </c>
      <c r="AI617" s="6">
        <v>0</v>
      </c>
      <c r="AJ617" s="6">
        <v>0.58099999999999996</v>
      </c>
      <c r="AK617" s="6">
        <v>0.53600000000000003</v>
      </c>
      <c r="AL617" s="8">
        <v>112348.75</v>
      </c>
      <c r="AM617" s="6" t="s">
        <v>155</v>
      </c>
      <c r="AN617" s="6">
        <v>1</v>
      </c>
      <c r="AO617" s="6">
        <v>1</v>
      </c>
      <c r="AP617" s="6">
        <v>0</v>
      </c>
      <c r="AQ617" s="6">
        <v>1</v>
      </c>
      <c r="AR617" s="6">
        <v>0</v>
      </c>
      <c r="AS617" s="6">
        <v>1</v>
      </c>
      <c r="AT617" s="6">
        <v>0</v>
      </c>
      <c r="AU617" s="6">
        <v>2.2599999999999998</v>
      </c>
      <c r="AV617" s="6">
        <v>1.76</v>
      </c>
      <c r="AW617" s="6">
        <v>107.33</v>
      </c>
      <c r="AX617" s="6">
        <v>17.91</v>
      </c>
      <c r="AY617" s="6">
        <v>87.11</v>
      </c>
      <c r="AZ617" s="6">
        <v>17.5</v>
      </c>
      <c r="BA617" s="6">
        <v>34.9</v>
      </c>
    </row>
    <row r="618" spans="1:53" x14ac:dyDescent="0.3">
      <c r="A618" s="6">
        <v>595725097</v>
      </c>
      <c r="B618" s="6">
        <v>260263</v>
      </c>
      <c r="C618" s="6">
        <v>5674183</v>
      </c>
      <c r="D618" s="6">
        <v>5736</v>
      </c>
      <c r="E618" s="6" t="s">
        <v>185</v>
      </c>
      <c r="F618" s="6">
        <v>55229</v>
      </c>
      <c r="G618" s="6" t="s">
        <v>115</v>
      </c>
      <c r="H618" s="10">
        <v>45815</v>
      </c>
      <c r="I618" s="10">
        <v>45815</v>
      </c>
      <c r="J618" s="4">
        <v>45815.944444444445</v>
      </c>
      <c r="K618" s="4">
        <v>45816.199803240743</v>
      </c>
      <c r="L618" s="11">
        <v>45816.206053240741</v>
      </c>
      <c r="M618" s="10">
        <v>45816</v>
      </c>
      <c r="N618" s="6" t="s">
        <v>59</v>
      </c>
      <c r="O618" t="s">
        <v>85</v>
      </c>
      <c r="P618" s="6" t="s">
        <v>150</v>
      </c>
      <c r="Q618" t="s">
        <v>265</v>
      </c>
      <c r="R618" t="s">
        <v>73</v>
      </c>
      <c r="S618" s="6">
        <v>782862</v>
      </c>
      <c r="T618" s="6" t="s">
        <v>1</v>
      </c>
      <c r="U618">
        <v>300</v>
      </c>
      <c r="V618" s="6">
        <v>29.9</v>
      </c>
      <c r="W618" s="6">
        <v>0.4</v>
      </c>
      <c r="X618" s="6">
        <v>309.60000000000002</v>
      </c>
      <c r="Y618" s="6">
        <v>339.9</v>
      </c>
      <c r="Z618" s="6" t="s">
        <v>2</v>
      </c>
      <c r="AA618" t="s">
        <v>687</v>
      </c>
      <c r="AB618" s="6" t="s">
        <v>65</v>
      </c>
      <c r="AC618" t="s">
        <v>76</v>
      </c>
      <c r="AD618" t="s">
        <v>67</v>
      </c>
      <c r="AE618">
        <v>9</v>
      </c>
      <c r="AF618">
        <v>0</v>
      </c>
      <c r="AG618">
        <v>0</v>
      </c>
      <c r="AH618" s="6">
        <v>64.5</v>
      </c>
      <c r="AI618" s="6">
        <v>0</v>
      </c>
      <c r="AJ618" s="6">
        <v>0.65800000000000003</v>
      </c>
      <c r="AK618" s="6">
        <v>0.88500000000000001</v>
      </c>
      <c r="AL618" s="8">
        <v>4385.72</v>
      </c>
      <c r="AM618" s="6" t="s">
        <v>68</v>
      </c>
      <c r="AN618" s="6">
        <v>1</v>
      </c>
      <c r="AO618" s="6">
        <v>1</v>
      </c>
      <c r="AP618" s="6">
        <v>0</v>
      </c>
      <c r="AQ618" s="6">
        <v>1</v>
      </c>
      <c r="AR618" s="6">
        <v>0</v>
      </c>
      <c r="AS618" s="6">
        <v>1</v>
      </c>
      <c r="AT618" s="6">
        <v>0</v>
      </c>
      <c r="AU618" s="6">
        <v>2.19</v>
      </c>
      <c r="AV618" s="6">
        <v>1.65</v>
      </c>
      <c r="AW618" s="6">
        <v>213.22</v>
      </c>
      <c r="AX618" s="6">
        <v>71.05</v>
      </c>
      <c r="AY618" s="6">
        <v>163.51</v>
      </c>
      <c r="AZ618" s="6">
        <v>30.8</v>
      </c>
      <c r="BA618" s="6">
        <v>17.2</v>
      </c>
    </row>
    <row r="619" spans="1:53" x14ac:dyDescent="0.3">
      <c r="A619" s="6">
        <v>926178355</v>
      </c>
      <c r="B619" s="6">
        <v>656116</v>
      </c>
      <c r="C619" s="6">
        <v>9996207</v>
      </c>
      <c r="D619" s="6">
        <v>5061</v>
      </c>
      <c r="E619" s="6" t="s">
        <v>92</v>
      </c>
      <c r="F619" s="6">
        <v>57388</v>
      </c>
      <c r="G619" s="6" t="s">
        <v>175</v>
      </c>
      <c r="H619" s="10">
        <v>45730</v>
      </c>
      <c r="I619" s="10">
        <v>45730</v>
      </c>
      <c r="J619" s="4">
        <v>45730.493055555555</v>
      </c>
      <c r="K619" s="4">
        <v>45730.720266203702</v>
      </c>
      <c r="L619" s="11">
        <v>45730.752905092595</v>
      </c>
      <c r="M619" s="10">
        <v>45730</v>
      </c>
      <c r="N619" s="6" t="s">
        <v>129</v>
      </c>
      <c r="O619" t="s">
        <v>241</v>
      </c>
      <c r="P619" s="6" t="s">
        <v>121</v>
      </c>
      <c r="Q619" t="s">
        <v>143</v>
      </c>
      <c r="R619" t="s">
        <v>123</v>
      </c>
      <c r="S619" s="6">
        <v>775399</v>
      </c>
      <c r="T619" s="6" t="s">
        <v>1</v>
      </c>
      <c r="U619">
        <v>281</v>
      </c>
      <c r="V619" s="6">
        <v>11.7</v>
      </c>
      <c r="W619" s="6">
        <v>17.7</v>
      </c>
      <c r="X619" s="6">
        <v>294.5</v>
      </c>
      <c r="Y619" s="6">
        <v>323.89999999999998</v>
      </c>
      <c r="Z619" s="6" t="s">
        <v>63</v>
      </c>
      <c r="AA619" t="s">
        <v>599</v>
      </c>
      <c r="AB619" s="6" t="s">
        <v>75</v>
      </c>
      <c r="AC619" t="s">
        <v>154</v>
      </c>
      <c r="AD619" t="s">
        <v>192</v>
      </c>
      <c r="AE619">
        <v>47</v>
      </c>
      <c r="AF619">
        <v>0</v>
      </c>
      <c r="AG619">
        <v>0</v>
      </c>
      <c r="AH619" s="6">
        <v>85.2</v>
      </c>
      <c r="AI619" s="6">
        <v>0</v>
      </c>
      <c r="AJ619" s="6">
        <v>0.501</v>
      </c>
      <c r="AK619" s="6">
        <v>0.84899999999999998</v>
      </c>
      <c r="AL619" s="8">
        <v>5882.96</v>
      </c>
      <c r="AM619" s="6" t="s">
        <v>68</v>
      </c>
      <c r="AN619" s="6">
        <v>1</v>
      </c>
      <c r="AO619" s="6">
        <v>0</v>
      </c>
      <c r="AP619" s="6">
        <v>1</v>
      </c>
      <c r="AQ619" s="6">
        <v>0</v>
      </c>
      <c r="AR619" s="6">
        <v>1</v>
      </c>
      <c r="AS619" s="6">
        <v>0</v>
      </c>
      <c r="AT619" s="6">
        <v>1</v>
      </c>
      <c r="AU619" s="6">
        <v>2.5499999999999998</v>
      </c>
      <c r="AV619" s="6">
        <v>2.02</v>
      </c>
      <c r="AW619" s="6">
        <v>205.3</v>
      </c>
      <c r="AX619" s="6">
        <v>60.11</v>
      </c>
      <c r="AY619" s="6">
        <v>167.44</v>
      </c>
      <c r="AZ619" s="6">
        <v>0.1</v>
      </c>
      <c r="BA619" s="6">
        <v>10.4</v>
      </c>
    </row>
    <row r="620" spans="1:53" x14ac:dyDescent="0.3">
      <c r="A620" s="6">
        <v>402550088</v>
      </c>
      <c r="B620" s="6">
        <v>847581</v>
      </c>
      <c r="C620" s="6">
        <v>3919694</v>
      </c>
      <c r="D620" s="6">
        <v>9050</v>
      </c>
      <c r="E620" s="6" t="s">
        <v>185</v>
      </c>
      <c r="F620" s="6">
        <v>52415</v>
      </c>
      <c r="G620" s="6" t="s">
        <v>69</v>
      </c>
      <c r="H620" s="10">
        <v>45858</v>
      </c>
      <c r="I620" s="10">
        <v>45858</v>
      </c>
      <c r="J620" s="4">
        <v>45858.503472222219</v>
      </c>
      <c r="K620" s="4">
        <v>45858.787557870368</v>
      </c>
      <c r="L620" s="11">
        <v>45858.770196759258</v>
      </c>
      <c r="M620" s="10">
        <v>45858</v>
      </c>
      <c r="N620" s="6" t="s">
        <v>86</v>
      </c>
      <c r="O620" t="s">
        <v>87</v>
      </c>
      <c r="P620" s="6" t="s">
        <v>132</v>
      </c>
      <c r="Q620" t="s">
        <v>328</v>
      </c>
      <c r="R620" t="s">
        <v>62</v>
      </c>
      <c r="S620" s="6">
        <v>772918</v>
      </c>
      <c r="T620" s="6" t="s">
        <v>111</v>
      </c>
      <c r="U620">
        <v>319</v>
      </c>
      <c r="V620" s="6">
        <v>0.8</v>
      </c>
      <c r="W620" s="6">
        <v>36.1</v>
      </c>
      <c r="X620" s="6">
        <v>320.89999999999998</v>
      </c>
      <c r="Y620" s="6">
        <v>357.8</v>
      </c>
      <c r="Z620" s="6" t="s">
        <v>63</v>
      </c>
      <c r="AA620" t="s">
        <v>592</v>
      </c>
      <c r="AB620" s="6" t="s">
        <v>75</v>
      </c>
      <c r="AC620" t="s">
        <v>91</v>
      </c>
      <c r="AD620" t="s">
        <v>67</v>
      </c>
      <c r="AE620">
        <v>-25</v>
      </c>
      <c r="AF620">
        <v>0</v>
      </c>
      <c r="AG620">
        <v>0</v>
      </c>
      <c r="AH620" s="6">
        <v>39.299999999999997</v>
      </c>
      <c r="AI620" s="6">
        <v>0</v>
      </c>
      <c r="AJ620" s="6">
        <v>0.36799999999999999</v>
      </c>
      <c r="AK620" s="6">
        <v>0.83399999999999996</v>
      </c>
      <c r="AL620" s="8">
        <v>12420.79</v>
      </c>
      <c r="AM620" s="6" t="s">
        <v>114</v>
      </c>
      <c r="AN620" s="6">
        <v>1</v>
      </c>
      <c r="AO620" s="6">
        <v>1</v>
      </c>
      <c r="AP620" s="6">
        <v>0</v>
      </c>
      <c r="AQ620" s="6">
        <v>1</v>
      </c>
      <c r="AR620" s="6">
        <v>0</v>
      </c>
      <c r="AS620" s="6">
        <v>1</v>
      </c>
      <c r="AT620" s="6">
        <v>0</v>
      </c>
      <c r="AU620" s="6">
        <v>1.89</v>
      </c>
      <c r="AV620" s="6">
        <v>1.32</v>
      </c>
      <c r="AW620" s="6">
        <v>311.52999999999997</v>
      </c>
      <c r="AX620" s="6">
        <v>70.349999999999994</v>
      </c>
      <c r="AY620" s="6">
        <v>172.25</v>
      </c>
      <c r="AZ620" s="6">
        <v>12.5</v>
      </c>
      <c r="BA620" s="6">
        <v>16.8</v>
      </c>
    </row>
    <row r="621" spans="1:53" x14ac:dyDescent="0.3">
      <c r="A621" s="6">
        <v>935504321</v>
      </c>
      <c r="B621" s="6">
        <v>961722</v>
      </c>
      <c r="C621" s="6">
        <v>5449324</v>
      </c>
      <c r="D621" s="6">
        <v>7019</v>
      </c>
      <c r="E621" s="6" t="s">
        <v>106</v>
      </c>
      <c r="F621" s="6">
        <v>57171</v>
      </c>
      <c r="G621" s="6" t="s">
        <v>115</v>
      </c>
      <c r="H621" s="10">
        <v>45700</v>
      </c>
      <c r="I621" s="10">
        <v>45700</v>
      </c>
      <c r="J621" s="4">
        <v>45700.715277777781</v>
      </c>
      <c r="K621" s="4">
        <v>45700.973287037035</v>
      </c>
      <c r="L621" s="11">
        <v>45700.976064814815</v>
      </c>
      <c r="M621" s="10">
        <v>45700</v>
      </c>
      <c r="N621" s="6" t="s">
        <v>109</v>
      </c>
      <c r="O621" t="s">
        <v>193</v>
      </c>
      <c r="P621" s="6" t="s">
        <v>109</v>
      </c>
      <c r="Q621" t="s">
        <v>193</v>
      </c>
      <c r="R621" t="s">
        <v>88</v>
      </c>
      <c r="S621" s="6">
        <v>705397</v>
      </c>
      <c r="T621" s="6" t="s">
        <v>1</v>
      </c>
      <c r="U621">
        <v>319</v>
      </c>
      <c r="V621" s="6">
        <v>17.5</v>
      </c>
      <c r="W621" s="6">
        <v>33.200000000000003</v>
      </c>
      <c r="X621" s="6">
        <v>312.89999999999998</v>
      </c>
      <c r="Y621" s="6">
        <v>363.6</v>
      </c>
      <c r="Z621" s="6" t="s">
        <v>2</v>
      </c>
      <c r="AA621" t="s">
        <v>688</v>
      </c>
      <c r="AB621" s="6" t="s">
        <v>90</v>
      </c>
      <c r="AC621" t="s">
        <v>125</v>
      </c>
      <c r="AD621" t="s">
        <v>67</v>
      </c>
      <c r="AE621">
        <v>4</v>
      </c>
      <c r="AF621">
        <v>0</v>
      </c>
      <c r="AG621">
        <v>1.7</v>
      </c>
      <c r="AH621" s="6">
        <v>55.1</v>
      </c>
      <c r="AI621" s="6">
        <v>0</v>
      </c>
      <c r="AJ621" s="6">
        <v>0.65400000000000003</v>
      </c>
      <c r="AK621" s="6">
        <v>0.72799999999999998</v>
      </c>
      <c r="AL621" s="8">
        <v>3858.23</v>
      </c>
      <c r="AM621" s="6" t="s">
        <v>68</v>
      </c>
      <c r="AN621" s="6">
        <v>1</v>
      </c>
      <c r="AO621" s="6">
        <v>1</v>
      </c>
      <c r="AP621" s="6">
        <v>0</v>
      </c>
      <c r="AQ621" s="6">
        <v>1</v>
      </c>
      <c r="AR621" s="6">
        <v>0</v>
      </c>
      <c r="AS621" s="6">
        <v>1</v>
      </c>
      <c r="AT621" s="6">
        <v>0</v>
      </c>
      <c r="AU621" s="6">
        <v>2.42</v>
      </c>
      <c r="AV621" s="6">
        <v>1.68</v>
      </c>
      <c r="AW621" s="6">
        <v>313.11</v>
      </c>
      <c r="AX621" s="6">
        <v>59.53</v>
      </c>
      <c r="AY621" s="6">
        <v>226.68</v>
      </c>
      <c r="AZ621" s="6">
        <v>12.7</v>
      </c>
      <c r="BA621" s="6">
        <v>0</v>
      </c>
    </row>
    <row r="622" spans="1:53" x14ac:dyDescent="0.3">
      <c r="A622" s="6">
        <v>510032406</v>
      </c>
      <c r="B622" s="6">
        <v>356702</v>
      </c>
      <c r="C622" s="6">
        <v>4426900</v>
      </c>
      <c r="D622" s="6">
        <v>1502</v>
      </c>
      <c r="E622" s="6" t="s">
        <v>84</v>
      </c>
      <c r="F622" s="6">
        <v>52949</v>
      </c>
      <c r="G622" s="6" t="s">
        <v>77</v>
      </c>
      <c r="H622" s="10">
        <v>45666</v>
      </c>
      <c r="I622" s="10">
        <v>45666</v>
      </c>
      <c r="J622" s="4">
        <v>45666.788194444445</v>
      </c>
      <c r="K622" s="4">
        <v>45667.098993055559</v>
      </c>
      <c r="L622" s="11">
        <v>45667.236493055556</v>
      </c>
      <c r="M622" s="10">
        <v>45667</v>
      </c>
      <c r="N622" s="6" t="s">
        <v>134</v>
      </c>
      <c r="O622" t="s">
        <v>248</v>
      </c>
      <c r="P622" s="6" t="s">
        <v>70</v>
      </c>
      <c r="Q622" t="s">
        <v>71</v>
      </c>
      <c r="R622" t="s">
        <v>73</v>
      </c>
      <c r="S622" s="6">
        <v>758990</v>
      </c>
      <c r="T622" s="6" t="s">
        <v>111</v>
      </c>
      <c r="U622">
        <v>349</v>
      </c>
      <c r="V622" s="6">
        <v>26.5</v>
      </c>
      <c r="W622" s="6">
        <v>28.6</v>
      </c>
      <c r="X622" s="6">
        <v>352.7</v>
      </c>
      <c r="Y622" s="6">
        <v>407.8</v>
      </c>
      <c r="Z622" s="6" t="s">
        <v>63</v>
      </c>
      <c r="AA622" t="s">
        <v>689</v>
      </c>
      <c r="AB622" s="6" t="s">
        <v>65</v>
      </c>
      <c r="AC622" t="s">
        <v>137</v>
      </c>
      <c r="AD622" t="s">
        <v>206</v>
      </c>
      <c r="AE622">
        <v>198</v>
      </c>
      <c r="AF622">
        <v>167</v>
      </c>
      <c r="AG622">
        <v>0</v>
      </c>
      <c r="AH622" s="6">
        <v>26.4</v>
      </c>
      <c r="AI622" s="6">
        <v>0</v>
      </c>
      <c r="AJ622" s="6">
        <v>0.78800000000000003</v>
      </c>
      <c r="AK622" s="6">
        <v>0.84399999999999997</v>
      </c>
      <c r="AL622" s="8">
        <v>37765.47</v>
      </c>
      <c r="AM622" s="6" t="s">
        <v>155</v>
      </c>
      <c r="AN622" s="6">
        <v>1</v>
      </c>
      <c r="AO622" s="6">
        <v>0</v>
      </c>
      <c r="AP622" s="6">
        <v>1</v>
      </c>
      <c r="AQ622" s="6">
        <v>0</v>
      </c>
      <c r="AR622" s="6">
        <v>1</v>
      </c>
      <c r="AS622" s="6">
        <v>0</v>
      </c>
      <c r="AT622" s="6">
        <v>1</v>
      </c>
      <c r="AU622" s="6">
        <v>2.13</v>
      </c>
      <c r="AV622" s="6">
        <v>1.24</v>
      </c>
      <c r="AW622" s="6">
        <v>270.05</v>
      </c>
      <c r="AX622" s="6">
        <v>46.93</v>
      </c>
      <c r="AY622" s="6">
        <v>260.67</v>
      </c>
      <c r="AZ622" s="6">
        <v>47.2</v>
      </c>
      <c r="BA622" s="6">
        <v>2</v>
      </c>
    </row>
    <row r="623" spans="1:53" x14ac:dyDescent="0.3">
      <c r="A623" s="6">
        <v>639991949</v>
      </c>
      <c r="B623" s="6">
        <v>857168</v>
      </c>
      <c r="C623" s="6">
        <v>2813543</v>
      </c>
      <c r="D623" s="6">
        <v>1659</v>
      </c>
      <c r="E623" s="6" t="s">
        <v>142</v>
      </c>
      <c r="F623" s="6">
        <v>54261</v>
      </c>
      <c r="G623" s="6" t="s">
        <v>98</v>
      </c>
      <c r="H623" s="10">
        <v>45676</v>
      </c>
      <c r="I623" s="10">
        <v>45676</v>
      </c>
      <c r="J623" s="4">
        <v>45676.385416666664</v>
      </c>
      <c r="K623" s="4">
        <v>45676.502928240741</v>
      </c>
      <c r="L623" s="11">
        <v>45676.561261574076</v>
      </c>
      <c r="M623" s="10">
        <v>45676</v>
      </c>
      <c r="N623" s="6" t="s">
        <v>78</v>
      </c>
      <c r="O623" t="s">
        <v>219</v>
      </c>
      <c r="P623" s="6" t="s">
        <v>150</v>
      </c>
      <c r="Q623" t="s">
        <v>311</v>
      </c>
      <c r="R623" t="s">
        <v>73</v>
      </c>
      <c r="S623" s="6">
        <v>707878</v>
      </c>
      <c r="T623" s="6" t="s">
        <v>3</v>
      </c>
      <c r="U623">
        <v>85</v>
      </c>
      <c r="V623" s="6">
        <v>24.8</v>
      </c>
      <c r="W623" s="6">
        <v>27.3</v>
      </c>
      <c r="X623" s="6">
        <v>77.599999999999994</v>
      </c>
      <c r="Y623" s="6">
        <v>129.69999999999999</v>
      </c>
      <c r="Z623" s="6" t="s">
        <v>112</v>
      </c>
      <c r="AA623" t="s">
        <v>525</v>
      </c>
      <c r="AB623" s="6" t="s">
        <v>97</v>
      </c>
      <c r="AC623" t="s">
        <v>91</v>
      </c>
      <c r="AD623" t="s">
        <v>192</v>
      </c>
      <c r="AE623">
        <v>84</v>
      </c>
      <c r="AF623">
        <v>0</v>
      </c>
      <c r="AG623">
        <v>0</v>
      </c>
      <c r="AH623" s="6">
        <v>44.9</v>
      </c>
      <c r="AI623" s="6">
        <v>0</v>
      </c>
      <c r="AJ623" s="6">
        <v>0.42599999999999999</v>
      </c>
      <c r="AK623" s="6">
        <v>0.54900000000000004</v>
      </c>
      <c r="AL623" s="8">
        <v>1302.29</v>
      </c>
      <c r="AM623" s="6" t="s">
        <v>68</v>
      </c>
      <c r="AN623" s="6">
        <v>1</v>
      </c>
      <c r="AO623" s="6">
        <v>0</v>
      </c>
      <c r="AP623" s="6">
        <v>1</v>
      </c>
      <c r="AQ623" s="6">
        <v>0</v>
      </c>
      <c r="AR623" s="6">
        <v>1</v>
      </c>
      <c r="AS623" s="6">
        <v>0</v>
      </c>
      <c r="AT623" s="6">
        <v>1</v>
      </c>
      <c r="AU623" s="6">
        <v>2.37</v>
      </c>
      <c r="AV623" s="6">
        <v>1.47</v>
      </c>
      <c r="AW623" s="6">
        <v>106.4</v>
      </c>
      <c r="AX623" s="6">
        <v>21.33</v>
      </c>
      <c r="AY623" s="6">
        <v>86.12</v>
      </c>
      <c r="AZ623" s="6">
        <v>23.7</v>
      </c>
      <c r="BA623" s="6">
        <v>37.5</v>
      </c>
    </row>
    <row r="624" spans="1:53" x14ac:dyDescent="0.3">
      <c r="A624" s="6">
        <v>666355637</v>
      </c>
      <c r="B624" s="6">
        <v>539898</v>
      </c>
      <c r="C624" s="6">
        <v>2626229</v>
      </c>
      <c r="D624" s="6">
        <v>2899</v>
      </c>
      <c r="E624" s="6" t="s">
        <v>106</v>
      </c>
      <c r="F624" s="6">
        <v>55145</v>
      </c>
      <c r="G624" s="6" t="s">
        <v>115</v>
      </c>
      <c r="H624" s="10">
        <v>46006</v>
      </c>
      <c r="I624" s="10">
        <v>46006</v>
      </c>
      <c r="J624" s="4">
        <v>46006.506944444445</v>
      </c>
      <c r="K624" s="4">
        <v>46006.902245370373</v>
      </c>
      <c r="L624" s="11">
        <v>46006.895995370367</v>
      </c>
      <c r="M624" s="10">
        <v>46006</v>
      </c>
      <c r="N624" s="6" t="s">
        <v>103</v>
      </c>
      <c r="O624" t="s">
        <v>204</v>
      </c>
      <c r="P624" s="6" t="s">
        <v>116</v>
      </c>
      <c r="Q624" t="s">
        <v>251</v>
      </c>
      <c r="R624" t="s">
        <v>123</v>
      </c>
      <c r="S624" s="6">
        <v>706957</v>
      </c>
      <c r="T624" s="6" t="s">
        <v>1</v>
      </c>
      <c r="U624">
        <v>300</v>
      </c>
      <c r="V624" s="6">
        <v>24.7</v>
      </c>
      <c r="W624" s="6">
        <v>10</v>
      </c>
      <c r="X624" s="6">
        <v>296.3</v>
      </c>
      <c r="Y624" s="6">
        <v>331</v>
      </c>
      <c r="Z624" s="6" t="s">
        <v>215</v>
      </c>
      <c r="AA624" t="s">
        <v>690</v>
      </c>
      <c r="AB624" s="6" t="s">
        <v>75</v>
      </c>
      <c r="AC624" t="s">
        <v>83</v>
      </c>
      <c r="AD624" t="s">
        <v>67</v>
      </c>
      <c r="AE624">
        <v>-9</v>
      </c>
      <c r="AF624">
        <v>0</v>
      </c>
      <c r="AG624">
        <v>0</v>
      </c>
      <c r="AH624" s="6">
        <v>15.1</v>
      </c>
      <c r="AI624" s="6">
        <v>0</v>
      </c>
      <c r="AJ624" s="6">
        <v>0.72199999999999998</v>
      </c>
      <c r="AK624" s="6">
        <v>0.27400000000000002</v>
      </c>
      <c r="AL624" s="8">
        <v>14585.53</v>
      </c>
      <c r="AM624" s="6" t="s">
        <v>114</v>
      </c>
      <c r="AN624" s="6">
        <v>1</v>
      </c>
      <c r="AO624" s="6">
        <v>1</v>
      </c>
      <c r="AP624" s="6">
        <v>0</v>
      </c>
      <c r="AQ624" s="6">
        <v>1</v>
      </c>
      <c r="AR624" s="6">
        <v>0</v>
      </c>
      <c r="AS624" s="6">
        <v>1</v>
      </c>
      <c r="AT624" s="6">
        <v>0</v>
      </c>
      <c r="AU624" s="6">
        <v>2.64</v>
      </c>
      <c r="AV624" s="6">
        <v>1.82</v>
      </c>
      <c r="AW624" s="6">
        <v>279.26</v>
      </c>
      <c r="AX624" s="6">
        <v>46.18</v>
      </c>
      <c r="AY624" s="6">
        <v>173.74</v>
      </c>
      <c r="AZ624" s="6">
        <v>25.2</v>
      </c>
      <c r="BA624" s="6">
        <v>17</v>
      </c>
    </row>
    <row r="625" spans="1:53" x14ac:dyDescent="0.3">
      <c r="A625" s="6">
        <v>549533634</v>
      </c>
      <c r="B625" s="6">
        <v>787277</v>
      </c>
      <c r="C625" s="6">
        <v>6022741</v>
      </c>
      <c r="D625" s="6">
        <v>3693</v>
      </c>
      <c r="E625" s="6" t="s">
        <v>106</v>
      </c>
      <c r="F625" s="6">
        <v>53466</v>
      </c>
      <c r="G625" s="6" t="s">
        <v>127</v>
      </c>
      <c r="H625" s="10">
        <v>45709</v>
      </c>
      <c r="I625" s="10">
        <v>45709</v>
      </c>
      <c r="J625" s="4">
        <v>45709.8125</v>
      </c>
      <c r="K625" s="4">
        <v>45710.187094907407</v>
      </c>
      <c r="L625" s="11">
        <v>45710.166261574072</v>
      </c>
      <c r="M625" s="10">
        <v>45710</v>
      </c>
      <c r="N625" s="6" t="s">
        <v>150</v>
      </c>
      <c r="O625" t="s">
        <v>151</v>
      </c>
      <c r="P625" s="6" t="s">
        <v>134</v>
      </c>
      <c r="Q625" t="s">
        <v>278</v>
      </c>
      <c r="R625" t="s">
        <v>73</v>
      </c>
      <c r="S625" s="6">
        <v>765850</v>
      </c>
      <c r="T625" s="6" t="s">
        <v>111</v>
      </c>
      <c r="U625">
        <v>344</v>
      </c>
      <c r="V625" s="6">
        <v>34.1</v>
      </c>
      <c r="W625" s="6">
        <v>12.4</v>
      </c>
      <c r="X625" s="6">
        <v>340.9</v>
      </c>
      <c r="Y625" s="6">
        <v>387.4</v>
      </c>
      <c r="Z625" s="6" t="s">
        <v>63</v>
      </c>
      <c r="AA625" t="s">
        <v>691</v>
      </c>
      <c r="AB625" s="6" t="s">
        <v>65</v>
      </c>
      <c r="AC625" t="s">
        <v>154</v>
      </c>
      <c r="AD625" t="s">
        <v>67</v>
      </c>
      <c r="AE625">
        <v>-30</v>
      </c>
      <c r="AF625">
        <v>0</v>
      </c>
      <c r="AG625">
        <v>0</v>
      </c>
      <c r="AH625" s="6">
        <v>64.7</v>
      </c>
      <c r="AI625" s="6">
        <v>0</v>
      </c>
      <c r="AJ625" s="6">
        <v>0.69699999999999995</v>
      </c>
      <c r="AK625" s="6">
        <v>0.372</v>
      </c>
      <c r="AL625" s="8">
        <v>15644.41</v>
      </c>
      <c r="AM625" s="6" t="s">
        <v>114</v>
      </c>
      <c r="AN625" s="6">
        <v>1</v>
      </c>
      <c r="AO625" s="6">
        <v>1</v>
      </c>
      <c r="AP625" s="6">
        <v>0</v>
      </c>
      <c r="AQ625" s="6">
        <v>1</v>
      </c>
      <c r="AR625" s="6">
        <v>0</v>
      </c>
      <c r="AS625" s="6">
        <v>1</v>
      </c>
      <c r="AT625" s="6">
        <v>0</v>
      </c>
      <c r="AU625" s="6">
        <v>2.2400000000000002</v>
      </c>
      <c r="AV625" s="6">
        <v>1.67</v>
      </c>
      <c r="AW625" s="6">
        <v>246.15</v>
      </c>
      <c r="AX625" s="6">
        <v>39.21</v>
      </c>
      <c r="AY625" s="6">
        <v>194.87</v>
      </c>
      <c r="AZ625" s="6">
        <v>3.4</v>
      </c>
      <c r="BA625" s="6">
        <v>4.5</v>
      </c>
    </row>
    <row r="626" spans="1:53" x14ac:dyDescent="0.3">
      <c r="A626" s="6">
        <v>274008639</v>
      </c>
      <c r="B626" s="6">
        <v>787277</v>
      </c>
      <c r="C626" s="6">
        <v>6022741</v>
      </c>
      <c r="D626" s="6">
        <v>3693</v>
      </c>
      <c r="E626" s="6" t="s">
        <v>106</v>
      </c>
      <c r="F626" s="6">
        <v>53088</v>
      </c>
      <c r="G626" s="6" t="s">
        <v>69</v>
      </c>
      <c r="H626" s="10">
        <v>45916</v>
      </c>
      <c r="I626" s="10">
        <v>45916</v>
      </c>
      <c r="J626" s="4">
        <v>45916.413194444445</v>
      </c>
      <c r="K626" s="4">
        <v>45916.537303240744</v>
      </c>
      <c r="L626" s="11">
        <v>45916.527581018519</v>
      </c>
      <c r="M626" s="10">
        <v>45916</v>
      </c>
      <c r="N626" s="6" t="s">
        <v>103</v>
      </c>
      <c r="O626" t="s">
        <v>232</v>
      </c>
      <c r="P626" s="6" t="s">
        <v>134</v>
      </c>
      <c r="Q626" t="s">
        <v>278</v>
      </c>
      <c r="R626" t="s">
        <v>73</v>
      </c>
      <c r="S626" s="6">
        <v>763999</v>
      </c>
      <c r="T626" s="6" t="s">
        <v>3</v>
      </c>
      <c r="U626">
        <v>101</v>
      </c>
      <c r="V626" s="6">
        <v>1.3</v>
      </c>
      <c r="W626" s="6">
        <v>35.6</v>
      </c>
      <c r="X626" s="6">
        <v>113.2</v>
      </c>
      <c r="Y626" s="6">
        <v>150.1</v>
      </c>
      <c r="Z626" s="6" t="s">
        <v>63</v>
      </c>
      <c r="AA626" t="s">
        <v>692</v>
      </c>
      <c r="AB626" s="6" t="s">
        <v>97</v>
      </c>
      <c r="AC626" t="s">
        <v>66</v>
      </c>
      <c r="AD626" t="s">
        <v>67</v>
      </c>
      <c r="AE626">
        <v>-14</v>
      </c>
      <c r="AF626">
        <v>0</v>
      </c>
      <c r="AG626">
        <v>0</v>
      </c>
      <c r="AH626" s="6">
        <v>46.1</v>
      </c>
      <c r="AI626" s="6">
        <v>0</v>
      </c>
      <c r="AJ626" s="6">
        <v>0.68200000000000005</v>
      </c>
      <c r="AK626" s="6">
        <v>0.68100000000000005</v>
      </c>
      <c r="AL626" s="8">
        <v>2707.86</v>
      </c>
      <c r="AM626" s="6" t="s">
        <v>68</v>
      </c>
      <c r="AN626" s="6">
        <v>1</v>
      </c>
      <c r="AO626" s="6">
        <v>1</v>
      </c>
      <c r="AP626" s="6">
        <v>0</v>
      </c>
      <c r="AQ626" s="6">
        <v>1</v>
      </c>
      <c r="AR626" s="6">
        <v>0</v>
      </c>
      <c r="AS626" s="6">
        <v>1</v>
      </c>
      <c r="AT626" s="6">
        <v>0</v>
      </c>
      <c r="AU626" s="6">
        <v>2.2000000000000002</v>
      </c>
      <c r="AV626" s="6">
        <v>1.67</v>
      </c>
      <c r="AW626" s="6">
        <v>97.05</v>
      </c>
      <c r="AX626" s="6">
        <v>26.09</v>
      </c>
      <c r="AY626" s="6">
        <v>95.48</v>
      </c>
      <c r="AZ626" s="6">
        <v>3.4</v>
      </c>
      <c r="BA626" s="6">
        <v>12.8</v>
      </c>
    </row>
    <row r="627" spans="1:53" x14ac:dyDescent="0.3">
      <c r="A627" s="6">
        <v>977130288</v>
      </c>
      <c r="B627" s="6">
        <v>198246</v>
      </c>
      <c r="C627" s="6">
        <v>9626108</v>
      </c>
      <c r="D627" s="6">
        <v>5555</v>
      </c>
      <c r="E627" s="6" t="s">
        <v>57</v>
      </c>
      <c r="F627" s="6">
        <v>51115</v>
      </c>
      <c r="G627" s="6" t="s">
        <v>207</v>
      </c>
      <c r="H627" s="10">
        <v>45682</v>
      </c>
      <c r="I627" s="10">
        <v>45682</v>
      </c>
      <c r="J627" s="4">
        <v>45682.618055555555</v>
      </c>
      <c r="K627" s="4">
        <v>45682.775173611109</v>
      </c>
      <c r="L627" s="11">
        <v>45682.773090277777</v>
      </c>
      <c r="M627" s="10">
        <v>45682</v>
      </c>
      <c r="N627" s="6" t="s">
        <v>59</v>
      </c>
      <c r="O627" t="s">
        <v>85</v>
      </c>
      <c r="P627" s="6" t="s">
        <v>150</v>
      </c>
      <c r="Q627" t="s">
        <v>151</v>
      </c>
      <c r="R627" t="s">
        <v>73</v>
      </c>
      <c r="S627" s="6">
        <v>782862</v>
      </c>
      <c r="T627" s="6" t="s">
        <v>1</v>
      </c>
      <c r="U627">
        <v>171</v>
      </c>
      <c r="V627" s="6">
        <v>20.8</v>
      </c>
      <c r="W627" s="6">
        <v>25.3</v>
      </c>
      <c r="X627" s="6">
        <v>179.6</v>
      </c>
      <c r="Y627" s="6">
        <v>225.7</v>
      </c>
      <c r="Z627" s="6" t="s">
        <v>80</v>
      </c>
      <c r="AA627" t="s">
        <v>602</v>
      </c>
      <c r="AB627" s="6" t="s">
        <v>90</v>
      </c>
      <c r="AC627" t="s">
        <v>76</v>
      </c>
      <c r="AD627" t="s">
        <v>67</v>
      </c>
      <c r="AE627">
        <v>-3</v>
      </c>
      <c r="AF627">
        <v>0</v>
      </c>
      <c r="AG627">
        <v>0</v>
      </c>
      <c r="AH627" s="6">
        <v>48.1</v>
      </c>
      <c r="AI627" s="6">
        <v>0</v>
      </c>
      <c r="AJ627" s="6">
        <v>0.71899999999999997</v>
      </c>
      <c r="AK627" s="6">
        <v>0.45300000000000001</v>
      </c>
      <c r="AL627" s="8">
        <v>3954.37</v>
      </c>
      <c r="AM627" s="6" t="s">
        <v>68</v>
      </c>
      <c r="AN627" s="6">
        <v>1</v>
      </c>
      <c r="AO627" s="6">
        <v>1</v>
      </c>
      <c r="AP627" s="6">
        <v>0</v>
      </c>
      <c r="AQ627" s="6">
        <v>1</v>
      </c>
      <c r="AR627" s="6">
        <v>0</v>
      </c>
      <c r="AS627" s="6">
        <v>1</v>
      </c>
      <c r="AT627" s="6">
        <v>0</v>
      </c>
      <c r="AU627" s="6">
        <v>2.16</v>
      </c>
      <c r="AV627" s="6">
        <v>1.39</v>
      </c>
      <c r="AW627" s="6">
        <v>178.06</v>
      </c>
      <c r="AX627" s="6">
        <v>45.69</v>
      </c>
      <c r="AY627" s="6">
        <v>135.41</v>
      </c>
      <c r="AZ627" s="6">
        <v>11.5</v>
      </c>
      <c r="BA627" s="6">
        <v>9.6</v>
      </c>
    </row>
    <row r="628" spans="1:53" x14ac:dyDescent="0.3">
      <c r="A628" s="6">
        <v>314423806</v>
      </c>
      <c r="B628" s="6">
        <v>779514</v>
      </c>
      <c r="C628" s="6">
        <v>5130808</v>
      </c>
      <c r="D628" s="6">
        <v>3731</v>
      </c>
      <c r="E628" s="6" t="s">
        <v>106</v>
      </c>
      <c r="F628" s="6">
        <v>54578</v>
      </c>
      <c r="G628" s="6" t="s">
        <v>146</v>
      </c>
      <c r="H628" s="10">
        <v>45697</v>
      </c>
      <c r="I628" s="10">
        <v>45697</v>
      </c>
      <c r="J628" s="4">
        <v>45697.510416666664</v>
      </c>
      <c r="K628" s="4">
        <v>45697.805949074071</v>
      </c>
      <c r="L628" s="11">
        <v>45697.812893518516</v>
      </c>
      <c r="M628" s="10">
        <v>45697</v>
      </c>
      <c r="N628" s="6" t="s">
        <v>129</v>
      </c>
      <c r="O628" t="s">
        <v>241</v>
      </c>
      <c r="P628" s="6" t="s">
        <v>129</v>
      </c>
      <c r="Q628" t="s">
        <v>162</v>
      </c>
      <c r="R628" t="s">
        <v>123</v>
      </c>
      <c r="S628" s="6">
        <v>739365</v>
      </c>
      <c r="T628" s="6" t="s">
        <v>1</v>
      </c>
      <c r="U628">
        <v>314</v>
      </c>
      <c r="V628" s="6">
        <v>27.4</v>
      </c>
      <c r="W628" s="6">
        <v>28.5</v>
      </c>
      <c r="X628" s="6">
        <v>321.3</v>
      </c>
      <c r="Y628" s="6">
        <v>377.2</v>
      </c>
      <c r="Z628" s="6" t="s">
        <v>63</v>
      </c>
      <c r="AA628" t="s">
        <v>693</v>
      </c>
      <c r="AB628" s="6" t="s">
        <v>75</v>
      </c>
      <c r="AC628" t="s">
        <v>91</v>
      </c>
      <c r="AD628" t="s">
        <v>67</v>
      </c>
      <c r="AE628">
        <v>10</v>
      </c>
      <c r="AF628">
        <v>0</v>
      </c>
      <c r="AG628">
        <v>0</v>
      </c>
      <c r="AH628" s="6">
        <v>5</v>
      </c>
      <c r="AI628" s="6">
        <v>0</v>
      </c>
      <c r="AJ628" s="6">
        <v>0.61299999999999999</v>
      </c>
      <c r="AK628" s="6">
        <v>0.53300000000000003</v>
      </c>
      <c r="AL628" s="8">
        <v>2852.29</v>
      </c>
      <c r="AM628" s="6" t="s">
        <v>68</v>
      </c>
      <c r="AN628" s="6">
        <v>1</v>
      </c>
      <c r="AO628" s="6">
        <v>1</v>
      </c>
      <c r="AP628" s="6">
        <v>0</v>
      </c>
      <c r="AQ628" s="6">
        <v>1</v>
      </c>
      <c r="AR628" s="6">
        <v>0</v>
      </c>
      <c r="AS628" s="6">
        <v>1</v>
      </c>
      <c r="AT628" s="6">
        <v>0</v>
      </c>
      <c r="AU628" s="6">
        <v>2.58</v>
      </c>
      <c r="AV628" s="6">
        <v>1.9</v>
      </c>
      <c r="AW628" s="6">
        <v>276.2</v>
      </c>
      <c r="AX628" s="6">
        <v>69.88</v>
      </c>
      <c r="AY628" s="6">
        <v>260.33</v>
      </c>
      <c r="AZ628" s="6">
        <v>38.9</v>
      </c>
      <c r="BA628" s="6">
        <v>54.4</v>
      </c>
    </row>
    <row r="629" spans="1:53" x14ac:dyDescent="0.3">
      <c r="A629" s="6">
        <v>960345542</v>
      </c>
      <c r="B629" s="6">
        <v>480612</v>
      </c>
      <c r="C629" s="6">
        <v>1641849</v>
      </c>
      <c r="D629" s="6">
        <v>4108</v>
      </c>
      <c r="E629" s="6" t="s">
        <v>57</v>
      </c>
      <c r="F629" s="6">
        <v>52590</v>
      </c>
      <c r="G629" s="6" t="s">
        <v>175</v>
      </c>
      <c r="H629" s="10">
        <v>45843</v>
      </c>
      <c r="I629" s="10">
        <v>45843</v>
      </c>
      <c r="J629" s="4">
        <v>45843.704861111109</v>
      </c>
      <c r="K629" s="4">
        <v>45843.815625000003</v>
      </c>
      <c r="L629" s="11">
        <v>45843.81354166667</v>
      </c>
      <c r="M629" s="10">
        <v>45843</v>
      </c>
      <c r="N629" s="6" t="s">
        <v>78</v>
      </c>
      <c r="O629" t="s">
        <v>222</v>
      </c>
      <c r="P629" s="6" t="s">
        <v>70</v>
      </c>
      <c r="Q629" t="s">
        <v>152</v>
      </c>
      <c r="R629" t="s">
        <v>73</v>
      </c>
      <c r="S629" s="6">
        <v>747187</v>
      </c>
      <c r="T629" s="6" t="s">
        <v>1</v>
      </c>
      <c r="U629">
        <v>165</v>
      </c>
      <c r="V629" s="6">
        <v>30.3</v>
      </c>
      <c r="W629" s="6">
        <v>17.3</v>
      </c>
      <c r="X629" s="6">
        <v>169.9</v>
      </c>
      <c r="Y629" s="6">
        <v>217.5</v>
      </c>
      <c r="Z629" s="6" t="s">
        <v>63</v>
      </c>
      <c r="AA629" t="s">
        <v>566</v>
      </c>
      <c r="AB629" s="6" t="s">
        <v>90</v>
      </c>
      <c r="AC629" t="s">
        <v>76</v>
      </c>
      <c r="AD629" t="s">
        <v>67</v>
      </c>
      <c r="AE629">
        <v>-3</v>
      </c>
      <c r="AF629">
        <v>0</v>
      </c>
      <c r="AG629">
        <v>0</v>
      </c>
      <c r="AH629" s="6">
        <v>47.1</v>
      </c>
      <c r="AI629" s="6">
        <v>0</v>
      </c>
      <c r="AJ629" s="6">
        <v>0.71199999999999997</v>
      </c>
      <c r="AK629" s="6">
        <v>0.69699999999999995</v>
      </c>
      <c r="AL629" s="8">
        <v>5314.56</v>
      </c>
      <c r="AM629" s="6" t="s">
        <v>68</v>
      </c>
      <c r="AN629" s="6">
        <v>1</v>
      </c>
      <c r="AO629" s="6">
        <v>1</v>
      </c>
      <c r="AP629" s="6">
        <v>0</v>
      </c>
      <c r="AQ629" s="6">
        <v>1</v>
      </c>
      <c r="AR629" s="6">
        <v>0</v>
      </c>
      <c r="AS629" s="6">
        <v>1</v>
      </c>
      <c r="AT629" s="6">
        <v>0</v>
      </c>
      <c r="AU629" s="6">
        <v>1.81</v>
      </c>
      <c r="AV629" s="6">
        <v>1.38</v>
      </c>
      <c r="AW629" s="6">
        <v>180.49</v>
      </c>
      <c r="AX629" s="6">
        <v>27.58</v>
      </c>
      <c r="AY629" s="6">
        <v>132.24</v>
      </c>
      <c r="AZ629" s="6">
        <v>31</v>
      </c>
      <c r="BA629" s="6">
        <v>10.1</v>
      </c>
    </row>
    <row r="630" spans="1:53" x14ac:dyDescent="0.3">
      <c r="A630" s="6">
        <v>749252434</v>
      </c>
      <c r="B630" s="6">
        <v>972064</v>
      </c>
      <c r="C630" s="6">
        <v>2818692</v>
      </c>
      <c r="D630" s="6">
        <v>8158</v>
      </c>
      <c r="E630" s="6" t="s">
        <v>84</v>
      </c>
      <c r="F630" s="6">
        <v>57372</v>
      </c>
      <c r="G630" s="6" t="s">
        <v>235</v>
      </c>
      <c r="H630" s="10">
        <v>45827</v>
      </c>
      <c r="I630" s="10">
        <v>45827</v>
      </c>
      <c r="J630" s="4">
        <v>45827.548611111109</v>
      </c>
      <c r="K630" s="4">
        <v>45828.020011574074</v>
      </c>
      <c r="L630" s="11">
        <v>45828.028344907405</v>
      </c>
      <c r="M630" s="10">
        <v>45828</v>
      </c>
      <c r="N630" s="6" t="s">
        <v>93</v>
      </c>
      <c r="O630" t="s">
        <v>217</v>
      </c>
      <c r="P630" s="6" t="s">
        <v>129</v>
      </c>
      <c r="Q630" t="s">
        <v>130</v>
      </c>
      <c r="R630" t="s">
        <v>123</v>
      </c>
      <c r="S630" s="6">
        <v>798350</v>
      </c>
      <c r="T630" s="6" t="s">
        <v>111</v>
      </c>
      <c r="U630">
        <v>509</v>
      </c>
      <c r="V630" s="6">
        <v>57.3</v>
      </c>
      <c r="W630" s="6">
        <v>9.5</v>
      </c>
      <c r="X630" s="6">
        <v>503.5</v>
      </c>
      <c r="Y630" s="6">
        <v>570.29999999999995</v>
      </c>
      <c r="Z630" s="6" t="s">
        <v>2</v>
      </c>
      <c r="AA630" t="s">
        <v>694</v>
      </c>
      <c r="AB630" s="6" t="s">
        <v>75</v>
      </c>
      <c r="AC630" t="s">
        <v>137</v>
      </c>
      <c r="AD630" t="s">
        <v>67</v>
      </c>
      <c r="AE630">
        <v>12</v>
      </c>
      <c r="AF630">
        <v>0</v>
      </c>
      <c r="AG630">
        <v>1.3</v>
      </c>
      <c r="AH630" s="6">
        <v>69.900000000000006</v>
      </c>
      <c r="AI630" s="6">
        <v>0</v>
      </c>
      <c r="AJ630" s="6">
        <v>0.16700000000000001</v>
      </c>
      <c r="AK630" s="6">
        <v>0.70199999999999996</v>
      </c>
      <c r="AL630" s="8">
        <v>6989.79</v>
      </c>
      <c r="AM630" s="6" t="s">
        <v>68</v>
      </c>
      <c r="AN630" s="6">
        <v>1</v>
      </c>
      <c r="AO630" s="6">
        <v>1</v>
      </c>
      <c r="AP630" s="6">
        <v>0</v>
      </c>
      <c r="AQ630" s="6">
        <v>1</v>
      </c>
      <c r="AR630" s="6">
        <v>0</v>
      </c>
      <c r="AS630" s="6">
        <v>1</v>
      </c>
      <c r="AT630" s="6">
        <v>0</v>
      </c>
      <c r="AU630" s="6">
        <v>2.56</v>
      </c>
      <c r="AV630" s="6">
        <v>1.7</v>
      </c>
      <c r="AW630" s="6">
        <v>449</v>
      </c>
      <c r="AX630" s="6">
        <v>113.09</v>
      </c>
      <c r="AY630" s="6">
        <v>334.63</v>
      </c>
      <c r="AZ630" s="6">
        <v>10</v>
      </c>
      <c r="BA630" s="6">
        <v>32.200000000000003</v>
      </c>
    </row>
    <row r="631" spans="1:53" x14ac:dyDescent="0.3">
      <c r="A631" s="6">
        <v>248604290</v>
      </c>
      <c r="B631" s="6">
        <v>343962</v>
      </c>
      <c r="C631" s="6">
        <v>5672073</v>
      </c>
      <c r="D631" s="6">
        <v>7396</v>
      </c>
      <c r="E631" s="6" t="s">
        <v>92</v>
      </c>
      <c r="F631" s="6">
        <v>53573</v>
      </c>
      <c r="G631" s="6" t="s">
        <v>175</v>
      </c>
      <c r="H631" s="10">
        <v>46005</v>
      </c>
      <c r="I631" s="10">
        <v>46005</v>
      </c>
      <c r="J631" s="4">
        <v>46005.381944444445</v>
      </c>
      <c r="K631" s="4">
        <v>46005.47451388889</v>
      </c>
      <c r="L631" s="11">
        <v>46005.515486111108</v>
      </c>
      <c r="M631" s="10">
        <v>46005</v>
      </c>
      <c r="N631" s="6" t="s">
        <v>78</v>
      </c>
      <c r="O631" t="s">
        <v>79</v>
      </c>
      <c r="P631" s="6" t="s">
        <v>132</v>
      </c>
      <c r="Q631" t="s">
        <v>133</v>
      </c>
      <c r="R631" t="s">
        <v>62</v>
      </c>
      <c r="S631" s="6">
        <v>739361</v>
      </c>
      <c r="T631" s="6" t="s">
        <v>1</v>
      </c>
      <c r="U631">
        <v>116</v>
      </c>
      <c r="V631" s="6">
        <v>-18.3</v>
      </c>
      <c r="W631" s="6">
        <v>11.2</v>
      </c>
      <c r="X631" s="6">
        <v>117.4</v>
      </c>
      <c r="Y631" s="6">
        <v>128.6</v>
      </c>
      <c r="Z631" s="6" t="s">
        <v>80</v>
      </c>
      <c r="AA631" t="s">
        <v>695</v>
      </c>
      <c r="AB631" s="6" t="s">
        <v>97</v>
      </c>
      <c r="AC631" t="s">
        <v>91</v>
      </c>
      <c r="AD631" t="s">
        <v>206</v>
      </c>
      <c r="AE631">
        <v>59</v>
      </c>
      <c r="AF631">
        <v>91</v>
      </c>
      <c r="AG631">
        <v>0</v>
      </c>
      <c r="AH631" s="6">
        <v>10.4</v>
      </c>
      <c r="AI631" s="6">
        <v>0</v>
      </c>
      <c r="AJ631" s="6">
        <v>0.755</v>
      </c>
      <c r="AK631" s="6">
        <v>0.29699999999999999</v>
      </c>
      <c r="AL631" s="8">
        <v>80166.990000000005</v>
      </c>
      <c r="AM631" s="6" t="s">
        <v>155</v>
      </c>
      <c r="AN631" s="6">
        <v>1</v>
      </c>
      <c r="AO631" s="6">
        <v>0</v>
      </c>
      <c r="AP631" s="6">
        <v>1</v>
      </c>
      <c r="AQ631" s="6">
        <v>0</v>
      </c>
      <c r="AR631" s="6">
        <v>1</v>
      </c>
      <c r="AS631" s="6">
        <v>0</v>
      </c>
      <c r="AT631" s="6">
        <v>1</v>
      </c>
      <c r="AU631" s="6">
        <v>1.87</v>
      </c>
      <c r="AV631" s="6">
        <v>1.37</v>
      </c>
      <c r="AW631" s="6">
        <v>80.930000000000007</v>
      </c>
      <c r="AX631" s="6">
        <v>17.64</v>
      </c>
      <c r="AY631" s="6">
        <v>76.790000000000006</v>
      </c>
      <c r="AZ631" s="6">
        <v>13.7</v>
      </c>
      <c r="BA631" s="6">
        <v>39.4</v>
      </c>
    </row>
    <row r="632" spans="1:53" x14ac:dyDescent="0.3">
      <c r="A632" s="6">
        <v>368438908</v>
      </c>
      <c r="B632" s="6">
        <v>198246</v>
      </c>
      <c r="C632" s="6">
        <v>9626108</v>
      </c>
      <c r="D632" s="6">
        <v>5555</v>
      </c>
      <c r="E632" s="6" t="s">
        <v>57</v>
      </c>
      <c r="F632" s="6">
        <v>52978</v>
      </c>
      <c r="G632" s="6" t="s">
        <v>203</v>
      </c>
      <c r="H632" s="10">
        <v>46002</v>
      </c>
      <c r="I632" s="10">
        <v>46002</v>
      </c>
      <c r="J632" s="4">
        <v>46002.743055555555</v>
      </c>
      <c r="K632" s="4">
        <v>46002.94672453704</v>
      </c>
      <c r="L632" s="11">
        <v>46002.900196759256</v>
      </c>
      <c r="M632" s="10">
        <v>46002</v>
      </c>
      <c r="N632" s="6" t="s">
        <v>176</v>
      </c>
      <c r="O632" t="s">
        <v>316</v>
      </c>
      <c r="P632" s="6" t="s">
        <v>116</v>
      </c>
      <c r="Q632" t="s">
        <v>117</v>
      </c>
      <c r="R632" t="s">
        <v>123</v>
      </c>
      <c r="S632" s="6">
        <v>774899</v>
      </c>
      <c r="T632" s="6" t="s">
        <v>1</v>
      </c>
      <c r="U632">
        <v>257</v>
      </c>
      <c r="V632" s="6">
        <v>23</v>
      </c>
      <c r="W632" s="6">
        <v>34.299999999999997</v>
      </c>
      <c r="X632" s="6">
        <v>268</v>
      </c>
      <c r="Y632" s="6">
        <v>325.3</v>
      </c>
      <c r="Z632" s="6" t="s">
        <v>80</v>
      </c>
      <c r="AA632" t="s">
        <v>662</v>
      </c>
      <c r="AB632" s="6" t="s">
        <v>90</v>
      </c>
      <c r="AC632" t="s">
        <v>137</v>
      </c>
      <c r="AD632" t="s">
        <v>67</v>
      </c>
      <c r="AE632">
        <v>-67</v>
      </c>
      <c r="AF632">
        <v>0</v>
      </c>
      <c r="AG632">
        <v>0</v>
      </c>
      <c r="AH632" s="6">
        <v>60.8</v>
      </c>
      <c r="AI632" s="6">
        <v>0</v>
      </c>
      <c r="AJ632" s="6">
        <v>0.47199999999999998</v>
      </c>
      <c r="AK632" s="6">
        <v>0.66900000000000004</v>
      </c>
      <c r="AL632" s="8">
        <v>5179.83</v>
      </c>
      <c r="AM632" s="6" t="s">
        <v>68</v>
      </c>
      <c r="AN632" s="6">
        <v>1</v>
      </c>
      <c r="AO632" s="6">
        <v>1</v>
      </c>
      <c r="AP632" s="6">
        <v>0</v>
      </c>
      <c r="AQ632" s="6">
        <v>1</v>
      </c>
      <c r="AR632" s="6">
        <v>0</v>
      </c>
      <c r="AS632" s="6">
        <v>1</v>
      </c>
      <c r="AT632" s="6">
        <v>0</v>
      </c>
      <c r="AU632" s="6">
        <v>2.04</v>
      </c>
      <c r="AV632" s="6">
        <v>1.38</v>
      </c>
      <c r="AW632" s="6">
        <v>268.41000000000003</v>
      </c>
      <c r="AX632" s="6">
        <v>41.06</v>
      </c>
      <c r="AY632" s="6">
        <v>217.22</v>
      </c>
      <c r="AZ632" s="6">
        <v>11.5</v>
      </c>
      <c r="BA632" s="6">
        <v>0</v>
      </c>
    </row>
    <row r="633" spans="1:53" x14ac:dyDescent="0.3">
      <c r="A633" s="6">
        <v>156027635</v>
      </c>
      <c r="B633" s="6">
        <v>662275</v>
      </c>
      <c r="C633" s="6">
        <v>7818496</v>
      </c>
      <c r="D633" s="6">
        <v>8629</v>
      </c>
      <c r="E633" s="6" t="s">
        <v>106</v>
      </c>
      <c r="F633" s="6">
        <v>59422</v>
      </c>
      <c r="G633" s="6" t="s">
        <v>77</v>
      </c>
      <c r="H633" s="10">
        <v>45942</v>
      </c>
      <c r="I633" s="10">
        <v>45942</v>
      </c>
      <c r="J633" s="4">
        <v>45942.409722222219</v>
      </c>
      <c r="K633" s="4">
        <v>45942.474780092591</v>
      </c>
      <c r="L633" s="11">
        <v>45942.428946759261</v>
      </c>
      <c r="M633" s="10">
        <v>45942</v>
      </c>
      <c r="N633" s="6" t="s">
        <v>200</v>
      </c>
      <c r="O633" t="s">
        <v>201</v>
      </c>
      <c r="P633" s="6" t="s">
        <v>59</v>
      </c>
      <c r="Q633" t="s">
        <v>167</v>
      </c>
      <c r="R633" t="s">
        <v>62</v>
      </c>
      <c r="S633" s="6">
        <v>791457</v>
      </c>
      <c r="T633" s="6" t="s">
        <v>3</v>
      </c>
      <c r="U633">
        <v>67</v>
      </c>
      <c r="V633" s="6">
        <v>8.6999999999999993</v>
      </c>
      <c r="W633" s="6">
        <v>15</v>
      </c>
      <c r="X633" s="6">
        <v>69.7</v>
      </c>
      <c r="Y633" s="6">
        <v>93.4</v>
      </c>
      <c r="Z633" s="6" t="s">
        <v>112</v>
      </c>
      <c r="AA633" t="s">
        <v>696</v>
      </c>
      <c r="AB633" s="6" t="s">
        <v>97</v>
      </c>
      <c r="AC633" t="s">
        <v>91</v>
      </c>
      <c r="AD633" t="s">
        <v>67</v>
      </c>
      <c r="AE633">
        <v>-66</v>
      </c>
      <c r="AF633">
        <v>0</v>
      </c>
      <c r="AG633">
        <v>0</v>
      </c>
      <c r="AH633" s="6">
        <v>46.8</v>
      </c>
      <c r="AI633" s="6">
        <v>0</v>
      </c>
      <c r="AJ633" s="6">
        <v>0.71799999999999997</v>
      </c>
      <c r="AK633" s="6">
        <v>0.77600000000000002</v>
      </c>
      <c r="AL633" s="8">
        <v>5239.46</v>
      </c>
      <c r="AM633" s="6" t="s">
        <v>68</v>
      </c>
      <c r="AN633" s="6">
        <v>1</v>
      </c>
      <c r="AO633" s="6">
        <v>1</v>
      </c>
      <c r="AP633" s="6">
        <v>0</v>
      </c>
      <c r="AQ633" s="6">
        <v>1</v>
      </c>
      <c r="AR633" s="6">
        <v>0</v>
      </c>
      <c r="AS633" s="6">
        <v>1</v>
      </c>
      <c r="AT633" s="6">
        <v>0</v>
      </c>
      <c r="AU633" s="6">
        <v>2.11</v>
      </c>
      <c r="AV633" s="6">
        <v>1.68</v>
      </c>
      <c r="AW633" s="6">
        <v>63.62</v>
      </c>
      <c r="AX633" s="6">
        <v>20.11</v>
      </c>
      <c r="AY633" s="6">
        <v>45.24</v>
      </c>
      <c r="AZ633" s="6">
        <v>31.4</v>
      </c>
      <c r="BA633" s="6">
        <v>53.4</v>
      </c>
    </row>
    <row r="634" spans="1:53" x14ac:dyDescent="0.3">
      <c r="A634" s="6">
        <v>788460744</v>
      </c>
      <c r="B634" s="6">
        <v>189814</v>
      </c>
      <c r="C634" s="6">
        <v>4188992</v>
      </c>
      <c r="D634" s="6">
        <v>2648</v>
      </c>
      <c r="E634" s="6" t="s">
        <v>101</v>
      </c>
      <c r="F634" s="6">
        <v>57313</v>
      </c>
      <c r="G634" s="6" t="s">
        <v>127</v>
      </c>
      <c r="H634" s="10">
        <v>45877</v>
      </c>
      <c r="I634" s="10">
        <v>45877</v>
      </c>
      <c r="J634" s="4">
        <v>45877.579861111109</v>
      </c>
      <c r="K634" s="4">
        <v>45877.890370370369</v>
      </c>
      <c r="L634" s="11">
        <v>45877.991064814814</v>
      </c>
      <c r="M634" s="10">
        <v>45877</v>
      </c>
      <c r="N634" s="6" t="s">
        <v>70</v>
      </c>
      <c r="O634" t="s">
        <v>138</v>
      </c>
      <c r="P634" s="6" t="s">
        <v>134</v>
      </c>
      <c r="Q634" t="s">
        <v>282</v>
      </c>
      <c r="R634" t="s">
        <v>73</v>
      </c>
      <c r="S634" s="6">
        <v>751684</v>
      </c>
      <c r="T634" s="6" t="s">
        <v>111</v>
      </c>
      <c r="U634">
        <v>399</v>
      </c>
      <c r="V634" s="6">
        <v>29</v>
      </c>
      <c r="W634" s="6">
        <v>32.5</v>
      </c>
      <c r="X634" s="6">
        <v>405.2</v>
      </c>
      <c r="Y634" s="6">
        <v>466.7</v>
      </c>
      <c r="Z634" s="6" t="s">
        <v>215</v>
      </c>
      <c r="AA634" t="s">
        <v>349</v>
      </c>
      <c r="AB634" s="6" t="s">
        <v>75</v>
      </c>
      <c r="AC634" t="s">
        <v>154</v>
      </c>
      <c r="AD634" t="s">
        <v>192</v>
      </c>
      <c r="AE634">
        <v>145</v>
      </c>
      <c r="AF634">
        <v>0</v>
      </c>
      <c r="AG634">
        <v>0</v>
      </c>
      <c r="AH634" s="6">
        <v>53.5</v>
      </c>
      <c r="AI634" s="6">
        <v>0</v>
      </c>
      <c r="AJ634" s="6">
        <v>0.46200000000000002</v>
      </c>
      <c r="AK634" s="6">
        <v>0.72499999999999998</v>
      </c>
      <c r="AL634" s="8">
        <v>4511.57</v>
      </c>
      <c r="AM634" s="6" t="s">
        <v>68</v>
      </c>
      <c r="AN634" s="6">
        <v>1</v>
      </c>
      <c r="AO634" s="6">
        <v>0</v>
      </c>
      <c r="AP634" s="6">
        <v>1</v>
      </c>
      <c r="AQ634" s="6">
        <v>0</v>
      </c>
      <c r="AR634" s="6">
        <v>1</v>
      </c>
      <c r="AS634" s="6">
        <v>0</v>
      </c>
      <c r="AT634" s="6">
        <v>1</v>
      </c>
      <c r="AU634" s="6">
        <v>2.5</v>
      </c>
      <c r="AV634" s="6">
        <v>1.45</v>
      </c>
      <c r="AW634" s="6">
        <v>333.12</v>
      </c>
      <c r="AX634" s="6">
        <v>47.6</v>
      </c>
      <c r="AY634" s="6">
        <v>326.86</v>
      </c>
      <c r="AZ634" s="6">
        <v>23.5</v>
      </c>
      <c r="BA634" s="6">
        <v>60.3</v>
      </c>
    </row>
    <row r="635" spans="1:53" x14ac:dyDescent="0.3">
      <c r="A635" s="6">
        <v>616030284</v>
      </c>
      <c r="B635" s="6">
        <v>835392</v>
      </c>
      <c r="C635" s="6">
        <v>4194548</v>
      </c>
      <c r="D635" s="6">
        <v>4005</v>
      </c>
      <c r="E635" s="6" t="s">
        <v>211</v>
      </c>
      <c r="F635" s="6">
        <v>57022</v>
      </c>
      <c r="G635" s="6" t="s">
        <v>58</v>
      </c>
      <c r="H635" s="10">
        <v>45824</v>
      </c>
      <c r="I635" s="10">
        <v>45824</v>
      </c>
      <c r="J635" s="4">
        <v>45824.277777777781</v>
      </c>
      <c r="K635" s="4">
        <v>45824.445810185185</v>
      </c>
      <c r="L635" s="11">
        <v>45824.442337962966</v>
      </c>
      <c r="M635" s="10">
        <v>45824</v>
      </c>
      <c r="N635" s="6" t="s">
        <v>200</v>
      </c>
      <c r="O635" t="s">
        <v>338</v>
      </c>
      <c r="P635" s="6" t="s">
        <v>170</v>
      </c>
      <c r="Q635" t="s">
        <v>171</v>
      </c>
      <c r="R635" t="s">
        <v>62</v>
      </c>
      <c r="S635" s="6">
        <v>754209</v>
      </c>
      <c r="T635" s="6" t="s">
        <v>1</v>
      </c>
      <c r="U635">
        <v>153</v>
      </c>
      <c r="V635" s="6">
        <v>6.3</v>
      </c>
      <c r="W635" s="6">
        <v>34.700000000000003</v>
      </c>
      <c r="X635" s="6">
        <v>143.30000000000001</v>
      </c>
      <c r="Y635" s="6">
        <v>184.3</v>
      </c>
      <c r="Z635" s="6" t="s">
        <v>63</v>
      </c>
      <c r="AA635" t="s">
        <v>697</v>
      </c>
      <c r="AB635" s="6" t="s">
        <v>97</v>
      </c>
      <c r="AC635" t="s">
        <v>83</v>
      </c>
      <c r="AD635" t="s">
        <v>67</v>
      </c>
      <c r="AE635">
        <v>-5</v>
      </c>
      <c r="AF635">
        <v>0</v>
      </c>
      <c r="AG635">
        <v>0</v>
      </c>
      <c r="AH635" s="6">
        <v>71.5</v>
      </c>
      <c r="AI635" s="6">
        <v>0</v>
      </c>
      <c r="AJ635" s="6">
        <v>0.49399999999999999</v>
      </c>
      <c r="AK635" s="6">
        <v>0.73</v>
      </c>
      <c r="AL635" s="8">
        <v>9072.0300000000007</v>
      </c>
      <c r="AM635" s="6" t="s">
        <v>114</v>
      </c>
      <c r="AN635" s="6">
        <v>1</v>
      </c>
      <c r="AO635" s="6">
        <v>1</v>
      </c>
      <c r="AP635" s="6">
        <v>0</v>
      </c>
      <c r="AQ635" s="6">
        <v>1</v>
      </c>
      <c r="AR635" s="6">
        <v>0</v>
      </c>
      <c r="AS635" s="6">
        <v>1</v>
      </c>
      <c r="AT635" s="6">
        <v>0</v>
      </c>
      <c r="AU635" s="6">
        <v>2.35</v>
      </c>
      <c r="AV635" s="6">
        <v>1.58</v>
      </c>
      <c r="AW635" s="6">
        <v>154.97999999999999</v>
      </c>
      <c r="AX635" s="6">
        <v>22.14</v>
      </c>
      <c r="AY635" s="6">
        <v>120.05</v>
      </c>
      <c r="AZ635" s="6">
        <v>31.7</v>
      </c>
      <c r="BA635" s="6">
        <v>54.9</v>
      </c>
    </row>
    <row r="636" spans="1:53" x14ac:dyDescent="0.3">
      <c r="A636" s="6">
        <v>498585961</v>
      </c>
      <c r="B636" s="6">
        <v>814825</v>
      </c>
      <c r="C636" s="6">
        <v>7817881</v>
      </c>
      <c r="D636" s="6">
        <v>9958</v>
      </c>
      <c r="E636" s="6" t="s">
        <v>84</v>
      </c>
      <c r="F636" s="6">
        <v>54975</v>
      </c>
      <c r="G636" s="6" t="s">
        <v>164</v>
      </c>
      <c r="H636" s="10">
        <v>45788</v>
      </c>
      <c r="I636" s="10">
        <v>45788</v>
      </c>
      <c r="J636" s="4">
        <v>45788.222222222219</v>
      </c>
      <c r="K636" s="4">
        <v>45788.643043981479</v>
      </c>
      <c r="L636" s="11">
        <v>45788.71943287037</v>
      </c>
      <c r="M636" s="10">
        <v>45788</v>
      </c>
      <c r="N636" s="6" t="s">
        <v>132</v>
      </c>
      <c r="O636" t="s">
        <v>229</v>
      </c>
      <c r="P636" s="6" t="s">
        <v>132</v>
      </c>
      <c r="Q636" t="s">
        <v>133</v>
      </c>
      <c r="R636" t="s">
        <v>62</v>
      </c>
      <c r="S636" s="6">
        <v>711807</v>
      </c>
      <c r="T636" s="6" t="s">
        <v>111</v>
      </c>
      <c r="U636">
        <v>452</v>
      </c>
      <c r="V636" s="6">
        <v>32.299999999999997</v>
      </c>
      <c r="W636" s="6">
        <v>27.9</v>
      </c>
      <c r="X636" s="6">
        <v>456.3</v>
      </c>
      <c r="Y636" s="6">
        <v>516.5</v>
      </c>
      <c r="Z636" s="6" t="s">
        <v>63</v>
      </c>
      <c r="AA636" t="s">
        <v>698</v>
      </c>
      <c r="AB636" s="6" t="s">
        <v>82</v>
      </c>
      <c r="AC636" t="s">
        <v>91</v>
      </c>
      <c r="AD636" t="s">
        <v>206</v>
      </c>
      <c r="AE636">
        <v>110</v>
      </c>
      <c r="AF636">
        <v>118</v>
      </c>
      <c r="AG636">
        <v>0</v>
      </c>
      <c r="AH636" s="6">
        <v>67.2</v>
      </c>
      <c r="AI636" s="6">
        <v>0</v>
      </c>
      <c r="AJ636" s="6">
        <v>0.84099999999999997</v>
      </c>
      <c r="AK636" s="6">
        <v>0.82799999999999996</v>
      </c>
      <c r="AL636" s="8">
        <v>37183.93</v>
      </c>
      <c r="AM636" s="6" t="s">
        <v>155</v>
      </c>
      <c r="AN636" s="6">
        <v>1</v>
      </c>
      <c r="AO636" s="6">
        <v>0</v>
      </c>
      <c r="AP636" s="6">
        <v>1</v>
      </c>
      <c r="AQ636" s="6">
        <v>0</v>
      </c>
      <c r="AR636" s="6">
        <v>1</v>
      </c>
      <c r="AS636" s="6">
        <v>0</v>
      </c>
      <c r="AT636" s="6">
        <v>1</v>
      </c>
      <c r="AU636" s="6">
        <v>2.08</v>
      </c>
      <c r="AV636" s="6">
        <v>1.33</v>
      </c>
      <c r="AW636" s="6">
        <v>439.74</v>
      </c>
      <c r="AX636" s="6">
        <v>80.59</v>
      </c>
      <c r="AY636" s="6">
        <v>357.66</v>
      </c>
      <c r="AZ636" s="6">
        <v>11.6</v>
      </c>
      <c r="BA636" s="6">
        <v>12.7</v>
      </c>
    </row>
    <row r="637" spans="1:53" x14ac:dyDescent="0.3">
      <c r="A637" s="6">
        <v>695433590</v>
      </c>
      <c r="B637" s="6">
        <v>629903</v>
      </c>
      <c r="C637" s="6">
        <v>9143903</v>
      </c>
      <c r="D637" s="6">
        <v>9666</v>
      </c>
      <c r="E637" s="6" t="s">
        <v>225</v>
      </c>
      <c r="F637" s="6">
        <v>54925</v>
      </c>
      <c r="G637" s="6" t="s">
        <v>115</v>
      </c>
      <c r="H637" s="10">
        <v>46003</v>
      </c>
      <c r="I637" s="10">
        <v>46003</v>
      </c>
      <c r="J637" s="4">
        <v>46003.753472222219</v>
      </c>
      <c r="K637" s="4">
        <v>46004.022106481483</v>
      </c>
      <c r="L637" s="11">
        <v>46004.004050925927</v>
      </c>
      <c r="M637" s="10">
        <v>46004</v>
      </c>
      <c r="N637" s="6" t="s">
        <v>132</v>
      </c>
      <c r="O637" t="s">
        <v>229</v>
      </c>
      <c r="P637" s="6" t="s">
        <v>176</v>
      </c>
      <c r="Q637" t="s">
        <v>316</v>
      </c>
      <c r="R637" t="s">
        <v>88</v>
      </c>
      <c r="S637" s="6">
        <v>722324</v>
      </c>
      <c r="T637" s="6" t="s">
        <v>111</v>
      </c>
      <c r="U637">
        <v>333</v>
      </c>
      <c r="V637" s="6">
        <v>43.3</v>
      </c>
      <c r="W637" s="6">
        <v>28.1</v>
      </c>
      <c r="X637" s="6">
        <v>326.7</v>
      </c>
      <c r="Y637" s="6">
        <v>398.1</v>
      </c>
      <c r="Z637" s="6" t="s">
        <v>112</v>
      </c>
      <c r="AA637" t="s">
        <v>494</v>
      </c>
      <c r="AB637" s="6" t="s">
        <v>65</v>
      </c>
      <c r="AC637" t="s">
        <v>154</v>
      </c>
      <c r="AD637" t="s">
        <v>67</v>
      </c>
      <c r="AE637">
        <v>-26</v>
      </c>
      <c r="AF637">
        <v>19</v>
      </c>
      <c r="AG637">
        <v>0</v>
      </c>
      <c r="AH637" s="6">
        <v>98</v>
      </c>
      <c r="AI637" s="6">
        <v>0</v>
      </c>
      <c r="AJ637" s="6">
        <v>0.66300000000000003</v>
      </c>
      <c r="AK637" s="6">
        <v>0.33300000000000002</v>
      </c>
      <c r="AL637" s="8">
        <v>5581.32</v>
      </c>
      <c r="AM637" s="6" t="s">
        <v>68</v>
      </c>
      <c r="AN637" s="6">
        <v>1</v>
      </c>
      <c r="AO637" s="6">
        <v>1</v>
      </c>
      <c r="AP637" s="6">
        <v>0</v>
      </c>
      <c r="AQ637" s="6">
        <v>1</v>
      </c>
      <c r="AR637" s="6">
        <v>0</v>
      </c>
      <c r="AS637" s="6">
        <v>1</v>
      </c>
      <c r="AT637" s="6">
        <v>0</v>
      </c>
      <c r="AU637" s="6">
        <v>2.34</v>
      </c>
      <c r="AV637" s="6">
        <v>1.79</v>
      </c>
      <c r="AW637" s="6">
        <v>288.12</v>
      </c>
      <c r="AX637" s="6">
        <v>47.79</v>
      </c>
      <c r="AY637" s="6">
        <v>282.77</v>
      </c>
      <c r="AZ637" s="6">
        <v>10.3</v>
      </c>
      <c r="BA637" s="6">
        <v>5.3</v>
      </c>
    </row>
    <row r="638" spans="1:53" x14ac:dyDescent="0.3">
      <c r="A638" s="6">
        <v>210154881</v>
      </c>
      <c r="B638" s="6">
        <v>479580</v>
      </c>
      <c r="C638" s="6">
        <v>8106422</v>
      </c>
      <c r="D638" s="6">
        <v>2495</v>
      </c>
      <c r="E638" s="6" t="s">
        <v>126</v>
      </c>
      <c r="F638" s="6">
        <v>58047</v>
      </c>
      <c r="G638" s="6" t="s">
        <v>102</v>
      </c>
      <c r="H638" s="10">
        <v>45878</v>
      </c>
      <c r="I638" s="10">
        <v>45878</v>
      </c>
      <c r="J638" s="4">
        <v>45878.513888888891</v>
      </c>
      <c r="K638" s="4">
        <v>45878.732546296298</v>
      </c>
      <c r="L638" s="11">
        <v>45878.724907407406</v>
      </c>
      <c r="M638" s="10">
        <v>45878</v>
      </c>
      <c r="N638" s="6" t="s">
        <v>121</v>
      </c>
      <c r="O638" t="s">
        <v>143</v>
      </c>
      <c r="P638" s="6" t="s">
        <v>78</v>
      </c>
      <c r="Q638" t="s">
        <v>79</v>
      </c>
      <c r="R638" t="s">
        <v>88</v>
      </c>
      <c r="S638" s="6">
        <v>763311</v>
      </c>
      <c r="T638" s="6" t="s">
        <v>1</v>
      </c>
      <c r="U638">
        <v>223</v>
      </c>
      <c r="V638" s="6">
        <v>30.4</v>
      </c>
      <c r="W638" s="6">
        <v>42.2</v>
      </c>
      <c r="X638" s="6">
        <v>221.7</v>
      </c>
      <c r="Y638" s="6">
        <v>294.3</v>
      </c>
      <c r="Z638" s="6" t="s">
        <v>63</v>
      </c>
      <c r="AA638" t="s">
        <v>581</v>
      </c>
      <c r="AB638" s="6" t="s">
        <v>75</v>
      </c>
      <c r="AC638" t="s">
        <v>76</v>
      </c>
      <c r="AD638" t="s">
        <v>67</v>
      </c>
      <c r="AE638">
        <v>-11</v>
      </c>
      <c r="AF638">
        <v>0</v>
      </c>
      <c r="AG638">
        <v>0</v>
      </c>
      <c r="AH638" s="6">
        <v>26.2</v>
      </c>
      <c r="AI638" s="6">
        <v>0</v>
      </c>
      <c r="AJ638" s="6">
        <v>0.252</v>
      </c>
      <c r="AK638" s="6">
        <v>0.746</v>
      </c>
      <c r="AL638" s="8">
        <v>2178.3200000000002</v>
      </c>
      <c r="AM638" s="6" t="s">
        <v>68</v>
      </c>
      <c r="AN638" s="6">
        <v>1</v>
      </c>
      <c r="AO638" s="6">
        <v>1</v>
      </c>
      <c r="AP638" s="6">
        <v>0</v>
      </c>
      <c r="AQ638" s="6">
        <v>1</v>
      </c>
      <c r="AR638" s="6">
        <v>0</v>
      </c>
      <c r="AS638" s="6">
        <v>1</v>
      </c>
      <c r="AT638" s="6">
        <v>0</v>
      </c>
      <c r="AU638" s="6">
        <v>2.31</v>
      </c>
      <c r="AV638" s="6">
        <v>1.49</v>
      </c>
      <c r="AW638" s="6">
        <v>190.34</v>
      </c>
      <c r="AX638" s="6">
        <v>35.32</v>
      </c>
      <c r="AY638" s="6">
        <v>157.22999999999999</v>
      </c>
      <c r="AZ638" s="6">
        <v>9.6999999999999993</v>
      </c>
      <c r="BA638" s="6">
        <v>64.599999999999994</v>
      </c>
    </row>
    <row r="639" spans="1:53" x14ac:dyDescent="0.3">
      <c r="A639" s="6">
        <v>863860982</v>
      </c>
      <c r="B639" s="6">
        <v>391476</v>
      </c>
      <c r="C639" s="6">
        <v>8999183</v>
      </c>
      <c r="D639" s="6">
        <v>6618</v>
      </c>
      <c r="E639" s="6" t="s">
        <v>92</v>
      </c>
      <c r="F639" s="6">
        <v>58090</v>
      </c>
      <c r="G639" s="6" t="s">
        <v>69</v>
      </c>
      <c r="H639" s="10">
        <v>45869</v>
      </c>
      <c r="I639" s="10">
        <v>45869</v>
      </c>
      <c r="J639" s="4">
        <v>45869.986111111109</v>
      </c>
      <c r="K639" s="4">
        <v>45870.46603009259</v>
      </c>
      <c r="L639" s="11">
        <v>45870.442418981482</v>
      </c>
      <c r="M639" s="10">
        <v>45870</v>
      </c>
      <c r="N639" s="6" t="s">
        <v>170</v>
      </c>
      <c r="O639" t="s">
        <v>183</v>
      </c>
      <c r="P639" s="6" t="s">
        <v>176</v>
      </c>
      <c r="Q639" t="s">
        <v>227</v>
      </c>
      <c r="R639" t="s">
        <v>88</v>
      </c>
      <c r="S639" s="6">
        <v>707148</v>
      </c>
      <c r="T639" s="6" t="s">
        <v>140</v>
      </c>
      <c r="U639">
        <v>624</v>
      </c>
      <c r="V639" s="6">
        <v>52.1</v>
      </c>
      <c r="W639" s="6">
        <v>25.1</v>
      </c>
      <c r="X639" s="6">
        <v>632.5</v>
      </c>
      <c r="Y639" s="6">
        <v>709.7</v>
      </c>
      <c r="Z639" s="6" t="s">
        <v>2</v>
      </c>
      <c r="AA639" t="s">
        <v>699</v>
      </c>
      <c r="AB639" s="6" t="s">
        <v>65</v>
      </c>
      <c r="AC639" t="s">
        <v>137</v>
      </c>
      <c r="AD639" t="s">
        <v>67</v>
      </c>
      <c r="AE639">
        <v>-34</v>
      </c>
      <c r="AF639">
        <v>0</v>
      </c>
      <c r="AG639">
        <v>0</v>
      </c>
      <c r="AH639" s="6">
        <v>55.7</v>
      </c>
      <c r="AI639" s="6">
        <v>0</v>
      </c>
      <c r="AJ639" s="6">
        <v>0.35799999999999998</v>
      </c>
      <c r="AK639" s="6">
        <v>0.45700000000000002</v>
      </c>
      <c r="AL639" s="8">
        <v>3525.14</v>
      </c>
      <c r="AM639" s="6" t="s">
        <v>68</v>
      </c>
      <c r="AN639" s="6">
        <v>1</v>
      </c>
      <c r="AO639" s="6">
        <v>1</v>
      </c>
      <c r="AP639" s="6">
        <v>0</v>
      </c>
      <c r="AQ639" s="6">
        <v>1</v>
      </c>
      <c r="AR639" s="6">
        <v>0</v>
      </c>
      <c r="AS639" s="6">
        <v>1</v>
      </c>
      <c r="AT639" s="6">
        <v>0</v>
      </c>
      <c r="AU639" s="6">
        <v>2.2799999999999998</v>
      </c>
      <c r="AV639" s="6">
        <v>1.6</v>
      </c>
      <c r="AW639" s="6">
        <v>603.89</v>
      </c>
      <c r="AX639" s="6">
        <v>124.99</v>
      </c>
      <c r="AY639" s="6">
        <v>439.16</v>
      </c>
      <c r="AZ639" s="6">
        <v>51.7</v>
      </c>
      <c r="BA639" s="6">
        <v>47.3</v>
      </c>
    </row>
    <row r="640" spans="1:53" x14ac:dyDescent="0.3">
      <c r="A640" s="6">
        <v>653953485</v>
      </c>
      <c r="B640" s="6">
        <v>982554</v>
      </c>
      <c r="C640" s="6">
        <v>4740036</v>
      </c>
      <c r="D640" s="6">
        <v>3976</v>
      </c>
      <c r="E640" s="6" t="s">
        <v>84</v>
      </c>
      <c r="F640" s="6">
        <v>58051</v>
      </c>
      <c r="G640" s="6" t="s">
        <v>203</v>
      </c>
      <c r="H640" s="10">
        <v>45742</v>
      </c>
      <c r="I640" s="10">
        <v>45742</v>
      </c>
      <c r="J640" s="4">
        <v>45742.329861111109</v>
      </c>
      <c r="K640" s="4">
        <v>45742.623368055552</v>
      </c>
      <c r="L640" s="11">
        <v>45742.598368055558</v>
      </c>
      <c r="M640" s="10">
        <v>45742</v>
      </c>
      <c r="N640" s="6" t="s">
        <v>116</v>
      </c>
      <c r="O640" t="s">
        <v>212</v>
      </c>
      <c r="P640" s="6" t="s">
        <v>116</v>
      </c>
      <c r="Q640" t="s">
        <v>212</v>
      </c>
      <c r="R640" t="s">
        <v>123</v>
      </c>
      <c r="S640" s="6">
        <v>748114</v>
      </c>
      <c r="T640" s="6" t="s">
        <v>1</v>
      </c>
      <c r="U640">
        <v>310</v>
      </c>
      <c r="V640" s="6">
        <v>13.8</v>
      </c>
      <c r="W640" s="6">
        <v>9.1999999999999993</v>
      </c>
      <c r="X640" s="6">
        <v>312.10000000000002</v>
      </c>
      <c r="Y640" s="6">
        <v>335.1</v>
      </c>
      <c r="Z640" s="6" t="s">
        <v>63</v>
      </c>
      <c r="AA640" t="s">
        <v>700</v>
      </c>
      <c r="AB640" s="6" t="s">
        <v>97</v>
      </c>
      <c r="AC640" t="s">
        <v>125</v>
      </c>
      <c r="AD640" t="s">
        <v>67</v>
      </c>
      <c r="AE640">
        <v>-36</v>
      </c>
      <c r="AF640">
        <v>0</v>
      </c>
      <c r="AG640">
        <v>0</v>
      </c>
      <c r="AH640" s="6">
        <v>87</v>
      </c>
      <c r="AI640" s="6">
        <v>0</v>
      </c>
      <c r="AJ640" s="6">
        <v>0.75900000000000001</v>
      </c>
      <c r="AK640" s="6">
        <v>0.754</v>
      </c>
      <c r="AL640" s="8">
        <v>1663.87</v>
      </c>
      <c r="AM640" s="6" t="s">
        <v>68</v>
      </c>
      <c r="AN640" s="6">
        <v>1</v>
      </c>
      <c r="AO640" s="6">
        <v>1</v>
      </c>
      <c r="AP640" s="6">
        <v>0</v>
      </c>
      <c r="AQ640" s="6">
        <v>1</v>
      </c>
      <c r="AR640" s="6">
        <v>0</v>
      </c>
      <c r="AS640" s="6">
        <v>1</v>
      </c>
      <c r="AT640" s="6">
        <v>0</v>
      </c>
      <c r="AU640" s="6">
        <v>2.13</v>
      </c>
      <c r="AV640" s="6">
        <v>1.58</v>
      </c>
      <c r="AW640" s="6">
        <v>295.24</v>
      </c>
      <c r="AX640" s="6">
        <v>66.44</v>
      </c>
      <c r="AY640" s="6">
        <v>199.94</v>
      </c>
      <c r="AZ640" s="6">
        <v>44.5</v>
      </c>
      <c r="BA640" s="6">
        <v>26.4</v>
      </c>
    </row>
    <row r="641" spans="1:53" x14ac:dyDescent="0.3">
      <c r="A641" s="6">
        <v>233871736</v>
      </c>
      <c r="B641" s="6">
        <v>946335</v>
      </c>
      <c r="C641" s="6">
        <v>1247595</v>
      </c>
      <c r="D641" s="6">
        <v>6675</v>
      </c>
      <c r="E641" s="6" t="s">
        <v>84</v>
      </c>
      <c r="F641" s="6">
        <v>55292</v>
      </c>
      <c r="G641" s="6" t="s">
        <v>203</v>
      </c>
      <c r="H641" s="10">
        <v>45675</v>
      </c>
      <c r="I641" s="10">
        <v>45675</v>
      </c>
      <c r="J641" s="4">
        <v>45675.4375</v>
      </c>
      <c r="K641" s="4">
        <v>45675.53634259259</v>
      </c>
      <c r="L641" s="11">
        <v>45675.514120370368</v>
      </c>
      <c r="M641" s="10">
        <v>45675</v>
      </c>
      <c r="N641" s="6" t="s">
        <v>121</v>
      </c>
      <c r="O641" t="s">
        <v>122</v>
      </c>
      <c r="P641" s="6" t="s">
        <v>86</v>
      </c>
      <c r="Q641" t="s">
        <v>243</v>
      </c>
      <c r="R641" t="s">
        <v>88</v>
      </c>
      <c r="S641" s="6">
        <v>781681</v>
      </c>
      <c r="T641" s="6" t="s">
        <v>1</v>
      </c>
      <c r="U641">
        <v>111</v>
      </c>
      <c r="V641" s="6">
        <v>0.4</v>
      </c>
      <c r="W641" s="6">
        <v>7.6</v>
      </c>
      <c r="X641" s="6">
        <v>115.9</v>
      </c>
      <c r="Y641" s="6">
        <v>123.9</v>
      </c>
      <c r="Z641" s="6" t="s">
        <v>63</v>
      </c>
      <c r="AA641" t="s">
        <v>701</v>
      </c>
      <c r="AB641" s="6" t="s">
        <v>75</v>
      </c>
      <c r="AC641" t="s">
        <v>76</v>
      </c>
      <c r="AD641" t="s">
        <v>67</v>
      </c>
      <c r="AE641">
        <v>-32</v>
      </c>
      <c r="AF641">
        <v>0</v>
      </c>
      <c r="AG641">
        <v>0</v>
      </c>
      <c r="AH641" s="6">
        <v>35.5</v>
      </c>
      <c r="AI641" s="6">
        <v>0</v>
      </c>
      <c r="AJ641" s="6">
        <v>0.91</v>
      </c>
      <c r="AK641" s="6">
        <v>0.755</v>
      </c>
      <c r="AL641" s="8">
        <v>14439.26</v>
      </c>
      <c r="AM641" s="6" t="s">
        <v>114</v>
      </c>
      <c r="AN641" s="6">
        <v>1</v>
      </c>
      <c r="AO641" s="6">
        <v>1</v>
      </c>
      <c r="AP641" s="6">
        <v>0</v>
      </c>
      <c r="AQ641" s="6">
        <v>1</v>
      </c>
      <c r="AR641" s="6">
        <v>0</v>
      </c>
      <c r="AS641" s="6">
        <v>1</v>
      </c>
      <c r="AT641" s="6">
        <v>0</v>
      </c>
      <c r="AU641" s="6">
        <v>2.15</v>
      </c>
      <c r="AV641" s="6">
        <v>1.48</v>
      </c>
      <c r="AW641" s="6">
        <v>112.66</v>
      </c>
      <c r="AX641" s="6">
        <v>22.23</v>
      </c>
      <c r="AY641" s="6">
        <v>75.459999999999994</v>
      </c>
      <c r="AZ641" s="6">
        <v>32.6</v>
      </c>
      <c r="BA641" s="6">
        <v>0.1</v>
      </c>
    </row>
    <row r="642" spans="1:53" x14ac:dyDescent="0.3">
      <c r="A642" s="6">
        <v>406084084</v>
      </c>
      <c r="B642" s="6">
        <v>245051</v>
      </c>
      <c r="C642" s="6">
        <v>1739653</v>
      </c>
      <c r="D642" s="6">
        <v>4763</v>
      </c>
      <c r="E642" s="6" t="s">
        <v>185</v>
      </c>
      <c r="F642" s="6">
        <v>56645</v>
      </c>
      <c r="G642" s="6" t="s">
        <v>77</v>
      </c>
      <c r="H642" s="10">
        <v>46002</v>
      </c>
      <c r="I642" s="10">
        <v>46002</v>
      </c>
      <c r="J642" s="4">
        <v>46002.295138888891</v>
      </c>
      <c r="K642" s="4">
        <v>46002.418020833335</v>
      </c>
      <c r="L642" s="11">
        <v>46002.394409722219</v>
      </c>
      <c r="M642" s="10">
        <v>46002</v>
      </c>
      <c r="N642" s="6" t="s">
        <v>86</v>
      </c>
      <c r="O642" t="s">
        <v>108</v>
      </c>
      <c r="P642" s="6" t="s">
        <v>170</v>
      </c>
      <c r="Q642" t="s">
        <v>189</v>
      </c>
      <c r="R642" t="s">
        <v>62</v>
      </c>
      <c r="S642" s="6">
        <v>743829</v>
      </c>
      <c r="T642" s="6" t="s">
        <v>1</v>
      </c>
      <c r="U642">
        <v>147</v>
      </c>
      <c r="V642" s="6">
        <v>19.100000000000001</v>
      </c>
      <c r="W642" s="6">
        <v>6</v>
      </c>
      <c r="X642" s="6">
        <v>145.9</v>
      </c>
      <c r="Y642" s="6">
        <v>171</v>
      </c>
      <c r="Z642" s="6" t="s">
        <v>63</v>
      </c>
      <c r="AA642" t="s">
        <v>702</v>
      </c>
      <c r="AB642" s="6" t="s">
        <v>97</v>
      </c>
      <c r="AC642" t="s">
        <v>137</v>
      </c>
      <c r="AD642" t="s">
        <v>67</v>
      </c>
      <c r="AE642">
        <v>-34</v>
      </c>
      <c r="AF642">
        <v>0</v>
      </c>
      <c r="AG642">
        <v>0</v>
      </c>
      <c r="AH642" s="6">
        <v>78.400000000000006</v>
      </c>
      <c r="AI642" s="6">
        <v>0</v>
      </c>
      <c r="AJ642" s="6">
        <v>0.48099999999999998</v>
      </c>
      <c r="AK642" s="6">
        <v>0.67300000000000004</v>
      </c>
      <c r="AL642" s="8">
        <v>4320.3900000000003</v>
      </c>
      <c r="AM642" s="6" t="s">
        <v>68</v>
      </c>
      <c r="AN642" s="6">
        <v>1</v>
      </c>
      <c r="AO642" s="6">
        <v>1</v>
      </c>
      <c r="AP642" s="6">
        <v>0</v>
      </c>
      <c r="AQ642" s="6">
        <v>1</v>
      </c>
      <c r="AR642" s="6">
        <v>0</v>
      </c>
      <c r="AS642" s="6">
        <v>1</v>
      </c>
      <c r="AT642" s="6">
        <v>0</v>
      </c>
      <c r="AU642" s="6">
        <v>1.83</v>
      </c>
      <c r="AV642" s="6">
        <v>1.23</v>
      </c>
      <c r="AW642" s="6">
        <v>122.32</v>
      </c>
      <c r="AX642" s="6">
        <v>19.18</v>
      </c>
      <c r="AY642" s="6">
        <v>84.02</v>
      </c>
      <c r="AZ642" s="6">
        <v>12.9</v>
      </c>
      <c r="BA642" s="6">
        <v>60.3</v>
      </c>
    </row>
    <row r="643" spans="1:53" x14ac:dyDescent="0.3">
      <c r="A643" s="6">
        <v>190060226</v>
      </c>
      <c r="B643" s="6">
        <v>946335</v>
      </c>
      <c r="C643" s="6">
        <v>1247595</v>
      </c>
      <c r="D643" s="6">
        <v>6675</v>
      </c>
      <c r="E643" s="6" t="s">
        <v>84</v>
      </c>
      <c r="F643" s="6">
        <v>55403</v>
      </c>
      <c r="G643" s="6" t="s">
        <v>98</v>
      </c>
      <c r="H643" s="10">
        <v>45772</v>
      </c>
      <c r="I643" s="10">
        <v>45772</v>
      </c>
      <c r="J643" s="4">
        <v>45772.666666666664</v>
      </c>
      <c r="K643" s="4">
        <v>45773.216909722221</v>
      </c>
      <c r="L643" s="11">
        <v>45773.205104166664</v>
      </c>
      <c r="M643" s="10">
        <v>45773</v>
      </c>
      <c r="N643" s="6" t="s">
        <v>134</v>
      </c>
      <c r="O643" t="s">
        <v>135</v>
      </c>
      <c r="P643" s="6" t="s">
        <v>200</v>
      </c>
      <c r="Q643" t="s">
        <v>201</v>
      </c>
      <c r="R643" t="s">
        <v>62</v>
      </c>
      <c r="S643" s="6">
        <v>727770</v>
      </c>
      <c r="T643" s="6" t="s">
        <v>140</v>
      </c>
      <c r="U643">
        <v>618</v>
      </c>
      <c r="V643" s="6">
        <v>24.7</v>
      </c>
      <c r="W643" s="6">
        <v>14.4</v>
      </c>
      <c r="X643" s="6">
        <v>606.4</v>
      </c>
      <c r="Y643" s="6">
        <v>645.5</v>
      </c>
      <c r="Z643" s="6" t="s">
        <v>63</v>
      </c>
      <c r="AA643" t="s">
        <v>703</v>
      </c>
      <c r="AB643" s="6" t="s">
        <v>90</v>
      </c>
      <c r="AC643" t="s">
        <v>154</v>
      </c>
      <c r="AD643" t="s">
        <v>67</v>
      </c>
      <c r="AE643">
        <v>-17</v>
      </c>
      <c r="AF643">
        <v>0</v>
      </c>
      <c r="AG643">
        <v>0</v>
      </c>
      <c r="AH643" s="6">
        <v>54.6</v>
      </c>
      <c r="AI643" s="6">
        <v>0</v>
      </c>
      <c r="AJ643" s="6">
        <v>0.442</v>
      </c>
      <c r="AK643" s="6">
        <v>0.78200000000000003</v>
      </c>
      <c r="AL643" s="8">
        <v>88263.82</v>
      </c>
      <c r="AM643" s="6" t="s">
        <v>155</v>
      </c>
      <c r="AN643" s="6">
        <v>1</v>
      </c>
      <c r="AO643" s="6">
        <v>1</v>
      </c>
      <c r="AP643" s="6">
        <v>0</v>
      </c>
      <c r="AQ643" s="6">
        <v>1</v>
      </c>
      <c r="AR643" s="6">
        <v>0</v>
      </c>
      <c r="AS643" s="6">
        <v>1</v>
      </c>
      <c r="AT643" s="6">
        <v>0</v>
      </c>
      <c r="AU643" s="6">
        <v>2.59</v>
      </c>
      <c r="AW643" s="6">
        <v>424.19</v>
      </c>
      <c r="AX643" s="6">
        <v>133.91</v>
      </c>
      <c r="AY643" s="6">
        <v>451.43</v>
      </c>
      <c r="AZ643" s="6">
        <v>32.6</v>
      </c>
      <c r="BA643" s="6">
        <v>10.1</v>
      </c>
    </row>
    <row r="644" spans="1:53" x14ac:dyDescent="0.3">
      <c r="A644" s="6">
        <v>919390458</v>
      </c>
      <c r="B644" s="6">
        <v>220116</v>
      </c>
      <c r="C644" s="6">
        <v>6933742</v>
      </c>
      <c r="D644" s="6">
        <v>5218</v>
      </c>
      <c r="E644" s="6" t="s">
        <v>57</v>
      </c>
      <c r="F644" s="6">
        <v>53430</v>
      </c>
      <c r="G644" s="6" t="s">
        <v>115</v>
      </c>
      <c r="H644" s="10">
        <v>45819</v>
      </c>
      <c r="I644" s="10">
        <v>45819</v>
      </c>
      <c r="J644" s="4">
        <v>45819.621527777781</v>
      </c>
      <c r="K644" s="4">
        <v>45819.987337962964</v>
      </c>
      <c r="L644" s="11">
        <v>45820.000532407408</v>
      </c>
      <c r="M644" s="10">
        <v>45820</v>
      </c>
      <c r="N644" s="6" t="s">
        <v>134</v>
      </c>
      <c r="O644" t="s">
        <v>282</v>
      </c>
      <c r="P644" s="6" t="s">
        <v>129</v>
      </c>
      <c r="Q644" t="s">
        <v>156</v>
      </c>
      <c r="R644" t="s">
        <v>123</v>
      </c>
      <c r="S644" s="6">
        <v>702410</v>
      </c>
      <c r="T644" s="6" t="s">
        <v>111</v>
      </c>
      <c r="U644">
        <v>385</v>
      </c>
      <c r="V644" s="6">
        <v>13.1</v>
      </c>
      <c r="W644" s="6">
        <v>18.8</v>
      </c>
      <c r="X644" s="6">
        <v>379.4</v>
      </c>
      <c r="Y644" s="6">
        <v>411.3</v>
      </c>
      <c r="Z644" s="6" t="s">
        <v>63</v>
      </c>
      <c r="AA644" t="s">
        <v>704</v>
      </c>
      <c r="AB644" s="6" t="s">
        <v>90</v>
      </c>
      <c r="AC644" t="s">
        <v>125</v>
      </c>
      <c r="AD644" t="s">
        <v>67</v>
      </c>
      <c r="AE644">
        <v>19</v>
      </c>
      <c r="AF644">
        <v>0</v>
      </c>
      <c r="AG644">
        <v>0</v>
      </c>
      <c r="AH644" s="6">
        <v>28.6</v>
      </c>
      <c r="AI644" s="6">
        <v>0</v>
      </c>
      <c r="AJ644" s="6">
        <v>0.64800000000000002</v>
      </c>
      <c r="AK644" s="6">
        <v>0.68200000000000005</v>
      </c>
      <c r="AL644" s="8">
        <v>2157.4699999999998</v>
      </c>
      <c r="AM644" s="6" t="s">
        <v>68</v>
      </c>
      <c r="AN644" s="6">
        <v>1</v>
      </c>
      <c r="AO644" s="6">
        <v>0</v>
      </c>
      <c r="AP644" s="6">
        <v>1</v>
      </c>
      <c r="AQ644" s="6">
        <v>0</v>
      </c>
      <c r="AR644" s="6">
        <v>1</v>
      </c>
      <c r="AS644" s="6">
        <v>0</v>
      </c>
      <c r="AT644" s="6">
        <v>1</v>
      </c>
      <c r="AU644" s="6">
        <v>2.27</v>
      </c>
      <c r="AV644" s="6">
        <v>1.33</v>
      </c>
      <c r="AW644" s="6">
        <v>370.7</v>
      </c>
      <c r="AX644" s="6">
        <v>86.67</v>
      </c>
      <c r="AY644" s="6">
        <v>291.66000000000003</v>
      </c>
      <c r="AZ644" s="6">
        <v>31.9</v>
      </c>
      <c r="BA644" s="6">
        <v>42.9</v>
      </c>
    </row>
    <row r="645" spans="1:53" x14ac:dyDescent="0.3">
      <c r="A645" s="6">
        <v>272134062</v>
      </c>
      <c r="B645" s="6">
        <v>352572</v>
      </c>
      <c r="C645" s="6">
        <v>9580255</v>
      </c>
      <c r="D645" s="6">
        <v>5499</v>
      </c>
      <c r="E645" s="6" t="s">
        <v>84</v>
      </c>
      <c r="F645" s="6">
        <v>51995</v>
      </c>
      <c r="G645" s="6" t="s">
        <v>77</v>
      </c>
      <c r="H645" s="10">
        <v>45699</v>
      </c>
      <c r="I645" s="10">
        <v>45699</v>
      </c>
      <c r="J645" s="4">
        <v>45699.34375</v>
      </c>
      <c r="K645" s="4">
        <v>45699.521817129629</v>
      </c>
      <c r="L645" s="11">
        <v>45699.494039351855</v>
      </c>
      <c r="M645" s="10">
        <v>45699</v>
      </c>
      <c r="N645" s="6" t="s">
        <v>121</v>
      </c>
      <c r="O645" t="s">
        <v>179</v>
      </c>
      <c r="P645" s="6" t="s">
        <v>70</v>
      </c>
      <c r="Q645" t="s">
        <v>322</v>
      </c>
      <c r="R645" t="s">
        <v>73</v>
      </c>
      <c r="S645" s="6">
        <v>725703</v>
      </c>
      <c r="T645" s="6" t="s">
        <v>1</v>
      </c>
      <c r="U645">
        <v>155</v>
      </c>
      <c r="V645" s="6">
        <v>18</v>
      </c>
      <c r="W645" s="6">
        <v>22.1</v>
      </c>
      <c r="X645" s="6">
        <v>159.1</v>
      </c>
      <c r="Y645" s="6">
        <v>199.2</v>
      </c>
      <c r="Z645" s="6" t="s">
        <v>63</v>
      </c>
      <c r="AA645" t="s">
        <v>588</v>
      </c>
      <c r="AB645" s="6" t="s">
        <v>97</v>
      </c>
      <c r="AC645" t="s">
        <v>66</v>
      </c>
      <c r="AD645" t="s">
        <v>67</v>
      </c>
      <c r="AE645">
        <v>-40</v>
      </c>
      <c r="AF645">
        <v>0</v>
      </c>
      <c r="AG645">
        <v>0</v>
      </c>
      <c r="AH645" s="6">
        <v>24.9</v>
      </c>
      <c r="AI645" s="6">
        <v>0</v>
      </c>
      <c r="AJ645" s="6">
        <v>0.622</v>
      </c>
      <c r="AK645" s="6">
        <v>0.89300000000000002</v>
      </c>
      <c r="AL645" s="8">
        <v>31288.97</v>
      </c>
      <c r="AM645" s="6" t="s">
        <v>155</v>
      </c>
      <c r="AN645" s="6">
        <v>1</v>
      </c>
      <c r="AO645" s="6">
        <v>1</v>
      </c>
      <c r="AP645" s="6">
        <v>0</v>
      </c>
      <c r="AQ645" s="6">
        <v>1</v>
      </c>
      <c r="AR645" s="6">
        <v>0</v>
      </c>
      <c r="AS645" s="6">
        <v>1</v>
      </c>
      <c r="AT645" s="6">
        <v>0</v>
      </c>
      <c r="AU645" s="6">
        <v>2.25</v>
      </c>
      <c r="AV645" s="6">
        <v>1.78</v>
      </c>
      <c r="AW645" s="6">
        <v>147.38999999999999</v>
      </c>
      <c r="AX645" s="6">
        <v>26.64</v>
      </c>
      <c r="AY645" s="6">
        <v>128.37</v>
      </c>
      <c r="AZ645" s="6">
        <v>12.6</v>
      </c>
      <c r="BA645" s="6">
        <v>64</v>
      </c>
    </row>
    <row r="646" spans="1:53" x14ac:dyDescent="0.3">
      <c r="A646" s="6">
        <v>392907427</v>
      </c>
      <c r="B646" s="6">
        <v>308496</v>
      </c>
      <c r="C646" s="6">
        <v>5076817</v>
      </c>
      <c r="D646" s="6">
        <v>3747</v>
      </c>
      <c r="E646" s="6" t="s">
        <v>126</v>
      </c>
      <c r="F646" s="6">
        <v>56030</v>
      </c>
      <c r="G646" s="6" t="s">
        <v>146</v>
      </c>
      <c r="H646" s="10">
        <v>45963</v>
      </c>
      <c r="I646" s="10">
        <v>45963</v>
      </c>
      <c r="J646" s="4">
        <v>45963.944444444445</v>
      </c>
      <c r="K646" s="4">
        <v>45964.1325</v>
      </c>
      <c r="L646" s="11">
        <v>45964.118611111109</v>
      </c>
      <c r="M646" s="10">
        <v>45964</v>
      </c>
      <c r="N646" s="6" t="s">
        <v>86</v>
      </c>
      <c r="O646" t="s">
        <v>87</v>
      </c>
      <c r="P646" s="6" t="s">
        <v>86</v>
      </c>
      <c r="Q646" t="s">
        <v>87</v>
      </c>
      <c r="R646" t="s">
        <v>88</v>
      </c>
      <c r="S646" s="6">
        <v>742558</v>
      </c>
      <c r="T646" s="6" t="s">
        <v>1</v>
      </c>
      <c r="U646">
        <v>210</v>
      </c>
      <c r="V646" s="6">
        <v>25.2</v>
      </c>
      <c r="W646" s="6">
        <v>12.7</v>
      </c>
      <c r="X646" s="6">
        <v>212</v>
      </c>
      <c r="Y646" s="6">
        <v>249.9</v>
      </c>
      <c r="Z646" s="6" t="s">
        <v>80</v>
      </c>
      <c r="AA646" t="s">
        <v>467</v>
      </c>
      <c r="AB646" s="6" t="s">
        <v>65</v>
      </c>
      <c r="AC646" t="s">
        <v>91</v>
      </c>
      <c r="AD646" t="s">
        <v>67</v>
      </c>
      <c r="AE646">
        <v>-20</v>
      </c>
      <c r="AF646">
        <v>0</v>
      </c>
      <c r="AG646">
        <v>0</v>
      </c>
      <c r="AH646" s="6">
        <v>37.6</v>
      </c>
      <c r="AI646" s="6">
        <v>0</v>
      </c>
      <c r="AJ646" s="6">
        <v>0.79700000000000004</v>
      </c>
      <c r="AK646" s="6">
        <v>0.45600000000000002</v>
      </c>
      <c r="AL646" s="8">
        <v>2413.09</v>
      </c>
      <c r="AM646" s="6" t="s">
        <v>68</v>
      </c>
      <c r="AN646" s="6">
        <v>1</v>
      </c>
      <c r="AO646" s="6">
        <v>1</v>
      </c>
      <c r="AP646" s="6">
        <v>0</v>
      </c>
      <c r="AQ646" s="6">
        <v>1</v>
      </c>
      <c r="AR646" s="6">
        <v>0</v>
      </c>
      <c r="AS646" s="6">
        <v>1</v>
      </c>
      <c r="AT646" s="6">
        <v>0</v>
      </c>
      <c r="AU646" s="6">
        <v>2.0099999999999998</v>
      </c>
      <c r="AV646" s="6">
        <v>1.45</v>
      </c>
      <c r="AW646" s="6">
        <v>161.94999999999999</v>
      </c>
      <c r="AX646" s="6">
        <v>41.58</v>
      </c>
      <c r="AY646" s="6">
        <v>135.44</v>
      </c>
      <c r="AZ646" s="6">
        <v>15.5</v>
      </c>
      <c r="BA646" s="6">
        <v>60.7</v>
      </c>
    </row>
    <row r="647" spans="1:53" x14ac:dyDescent="0.3">
      <c r="A647" s="6">
        <v>582452834</v>
      </c>
      <c r="B647" s="6">
        <v>972064</v>
      </c>
      <c r="C647" s="6">
        <v>2818692</v>
      </c>
      <c r="D647" s="6">
        <v>8158</v>
      </c>
      <c r="E647" s="6" t="s">
        <v>84</v>
      </c>
      <c r="F647" s="6">
        <v>53891</v>
      </c>
      <c r="G647" s="6" t="s">
        <v>102</v>
      </c>
      <c r="H647" s="10">
        <v>45668</v>
      </c>
      <c r="I647" s="10">
        <v>45668</v>
      </c>
      <c r="J647" s="4">
        <v>45668.256944444445</v>
      </c>
      <c r="K647" s="4">
        <v>45668.774733796294</v>
      </c>
      <c r="L647" s="11">
        <v>45668.769178240742</v>
      </c>
      <c r="M647" s="10">
        <v>45668</v>
      </c>
      <c r="N647" s="6" t="s">
        <v>78</v>
      </c>
      <c r="O647" t="s">
        <v>147</v>
      </c>
      <c r="P647" s="6" t="s">
        <v>116</v>
      </c>
      <c r="Q647" t="s">
        <v>251</v>
      </c>
      <c r="R647" t="s">
        <v>123</v>
      </c>
      <c r="S647" s="6">
        <v>781663</v>
      </c>
      <c r="T647" s="6" t="s">
        <v>111</v>
      </c>
      <c r="U647">
        <v>490</v>
      </c>
      <c r="V647" s="6">
        <v>22.4</v>
      </c>
      <c r="W647" s="6">
        <v>9.1999999999999993</v>
      </c>
      <c r="X647" s="6">
        <v>500</v>
      </c>
      <c r="Y647" s="6">
        <v>531.6</v>
      </c>
      <c r="Z647" s="6" t="s">
        <v>2</v>
      </c>
      <c r="AA647" t="s">
        <v>705</v>
      </c>
      <c r="AB647" s="6" t="s">
        <v>97</v>
      </c>
      <c r="AC647" t="s">
        <v>76</v>
      </c>
      <c r="AD647" t="s">
        <v>192</v>
      </c>
      <c r="AE647">
        <v>-8</v>
      </c>
      <c r="AF647">
        <v>0</v>
      </c>
      <c r="AG647">
        <v>0</v>
      </c>
      <c r="AH647" s="6">
        <v>58.4</v>
      </c>
      <c r="AI647" s="6">
        <v>0</v>
      </c>
      <c r="AJ647" s="6">
        <v>0.86199999999999999</v>
      </c>
      <c r="AK647" s="6">
        <v>0.314</v>
      </c>
      <c r="AL647" s="8">
        <v>15346.27</v>
      </c>
      <c r="AM647" s="6" t="s">
        <v>114</v>
      </c>
      <c r="AN647" s="6">
        <v>1</v>
      </c>
      <c r="AO647" s="6">
        <v>1</v>
      </c>
      <c r="AP647" s="6">
        <v>0</v>
      </c>
      <c r="AQ647" s="6">
        <v>1</v>
      </c>
      <c r="AR647" s="6">
        <v>0</v>
      </c>
      <c r="AS647" s="6">
        <v>1</v>
      </c>
      <c r="AT647" s="6">
        <v>0</v>
      </c>
      <c r="AU647" s="6">
        <v>2.58</v>
      </c>
      <c r="AV647" s="6">
        <v>1.96</v>
      </c>
      <c r="AW647" s="6">
        <v>409.14</v>
      </c>
      <c r="AX647" s="6">
        <v>84.11</v>
      </c>
      <c r="AY647" s="6">
        <v>355.6</v>
      </c>
      <c r="AZ647" s="6">
        <v>10</v>
      </c>
      <c r="BA647" s="6">
        <v>26</v>
      </c>
    </row>
    <row r="648" spans="1:53" x14ac:dyDescent="0.3">
      <c r="A648" s="6">
        <v>651208305</v>
      </c>
      <c r="B648" s="6">
        <v>358607</v>
      </c>
      <c r="C648" s="6">
        <v>5727085</v>
      </c>
      <c r="D648" s="6">
        <v>6864</v>
      </c>
      <c r="E648" s="6" t="s">
        <v>84</v>
      </c>
      <c r="F648" s="6">
        <v>57145</v>
      </c>
      <c r="G648" s="6" t="s">
        <v>175</v>
      </c>
      <c r="H648" s="10">
        <v>45962</v>
      </c>
      <c r="I648" s="10">
        <v>45962</v>
      </c>
      <c r="J648" s="4">
        <v>45962.465277777781</v>
      </c>
      <c r="K648" s="4">
        <v>45962.876689814817</v>
      </c>
      <c r="L648" s="11">
        <v>45962.872523148151</v>
      </c>
      <c r="M648" s="10">
        <v>45962</v>
      </c>
      <c r="N648" s="6" t="s">
        <v>129</v>
      </c>
      <c r="O648" t="s">
        <v>130</v>
      </c>
      <c r="P648" s="6" t="s">
        <v>150</v>
      </c>
      <c r="Q648" t="s">
        <v>151</v>
      </c>
      <c r="R648" t="s">
        <v>73</v>
      </c>
      <c r="S648" s="6">
        <v>734732</v>
      </c>
      <c r="T648" s="6" t="s">
        <v>111</v>
      </c>
      <c r="U648">
        <v>453</v>
      </c>
      <c r="V648" s="6">
        <v>37.200000000000003</v>
      </c>
      <c r="W648" s="6">
        <v>26.9</v>
      </c>
      <c r="X648" s="6">
        <v>453.8</v>
      </c>
      <c r="Y648" s="6">
        <v>517.9</v>
      </c>
      <c r="Z648" s="6" t="s">
        <v>63</v>
      </c>
      <c r="AA648" t="s">
        <v>706</v>
      </c>
      <c r="AB648" s="6" t="s">
        <v>75</v>
      </c>
      <c r="AC648" t="s">
        <v>76</v>
      </c>
      <c r="AD648" t="s">
        <v>67</v>
      </c>
      <c r="AE648">
        <v>-6</v>
      </c>
      <c r="AF648">
        <v>0</v>
      </c>
      <c r="AG648">
        <v>0</v>
      </c>
      <c r="AH648" s="6">
        <v>70.3</v>
      </c>
      <c r="AI648" s="6">
        <v>0</v>
      </c>
      <c r="AJ648" s="6">
        <v>0.85799999999999998</v>
      </c>
      <c r="AK648" s="6">
        <v>0.73499999999999999</v>
      </c>
      <c r="AL648" s="8">
        <v>82019.12</v>
      </c>
      <c r="AM648" s="6" t="s">
        <v>155</v>
      </c>
      <c r="AN648" s="6">
        <v>1</v>
      </c>
      <c r="AO648" s="6">
        <v>1</v>
      </c>
      <c r="AP648" s="6">
        <v>0</v>
      </c>
      <c r="AQ648" s="6">
        <v>1</v>
      </c>
      <c r="AR648" s="6">
        <v>0</v>
      </c>
      <c r="AS648" s="6">
        <v>1</v>
      </c>
      <c r="AT648" s="6">
        <v>0</v>
      </c>
      <c r="AU648" s="6">
        <v>2.12</v>
      </c>
      <c r="AV648" s="6">
        <v>1.45</v>
      </c>
      <c r="AW648" s="6">
        <v>350.7</v>
      </c>
      <c r="AX648" s="6">
        <v>93.32</v>
      </c>
      <c r="AY648" s="6">
        <v>339.43</v>
      </c>
      <c r="AZ648" s="6">
        <v>7.3</v>
      </c>
      <c r="BA648" s="6">
        <v>36.1</v>
      </c>
    </row>
    <row r="649" spans="1:53" x14ac:dyDescent="0.3">
      <c r="A649" s="6">
        <v>258214411</v>
      </c>
      <c r="B649" s="6">
        <v>308496</v>
      </c>
      <c r="C649" s="6">
        <v>5076817</v>
      </c>
      <c r="D649" s="6">
        <v>3747</v>
      </c>
      <c r="E649" s="6" t="s">
        <v>126</v>
      </c>
      <c r="F649" s="6">
        <v>58498</v>
      </c>
      <c r="G649" s="6" t="s">
        <v>164</v>
      </c>
      <c r="H649" s="10">
        <v>45709</v>
      </c>
      <c r="I649" s="10">
        <v>45709</v>
      </c>
      <c r="J649" s="4">
        <v>45709.822916666664</v>
      </c>
      <c r="K649" s="4">
        <v>45710.174513888887</v>
      </c>
      <c r="L649" s="11">
        <v>45710.154374999998</v>
      </c>
      <c r="M649" s="10">
        <v>45710</v>
      </c>
      <c r="N649" s="6" t="s">
        <v>70</v>
      </c>
      <c r="O649" t="s">
        <v>322</v>
      </c>
      <c r="P649" s="6" t="s">
        <v>86</v>
      </c>
      <c r="Q649" t="s">
        <v>87</v>
      </c>
      <c r="R649" t="s">
        <v>88</v>
      </c>
      <c r="S649" s="6">
        <v>760943</v>
      </c>
      <c r="T649" s="6" t="s">
        <v>111</v>
      </c>
      <c r="U649">
        <v>423</v>
      </c>
      <c r="V649" s="6">
        <v>32</v>
      </c>
      <c r="W649" s="6">
        <v>6.1</v>
      </c>
      <c r="X649" s="6">
        <v>417.6</v>
      </c>
      <c r="Y649" s="6">
        <v>455.7</v>
      </c>
      <c r="Z649" s="6" t="s">
        <v>80</v>
      </c>
      <c r="AA649" t="s">
        <v>707</v>
      </c>
      <c r="AB649" s="6" t="s">
        <v>65</v>
      </c>
      <c r="AC649" t="s">
        <v>154</v>
      </c>
      <c r="AD649" t="s">
        <v>67</v>
      </c>
      <c r="AE649">
        <v>-29</v>
      </c>
      <c r="AF649">
        <v>71</v>
      </c>
      <c r="AG649">
        <v>0</v>
      </c>
      <c r="AH649" s="6">
        <v>46.4</v>
      </c>
      <c r="AI649" s="6">
        <v>0</v>
      </c>
      <c r="AJ649" s="6">
        <v>0.72599999999999998</v>
      </c>
      <c r="AK649" s="6">
        <v>0.40699999999999997</v>
      </c>
      <c r="AL649" s="8">
        <v>48518.84</v>
      </c>
      <c r="AM649" s="6" t="s">
        <v>155</v>
      </c>
      <c r="AN649" s="6">
        <v>1</v>
      </c>
      <c r="AO649" s="6">
        <v>1</v>
      </c>
      <c r="AP649" s="6">
        <v>0</v>
      </c>
      <c r="AQ649" s="6">
        <v>1</v>
      </c>
      <c r="AR649" s="6">
        <v>0</v>
      </c>
      <c r="AS649" s="6">
        <v>1</v>
      </c>
      <c r="AT649" s="6">
        <v>0</v>
      </c>
      <c r="AU649" s="6">
        <v>2.15</v>
      </c>
      <c r="AV649" s="6">
        <v>1.37</v>
      </c>
      <c r="AW649" s="6">
        <v>331.1</v>
      </c>
      <c r="AX649" s="6">
        <v>99.05</v>
      </c>
      <c r="AY649" s="6">
        <v>281.58</v>
      </c>
      <c r="AZ649" s="6">
        <v>15.5</v>
      </c>
      <c r="BA649" s="6">
        <v>60.3</v>
      </c>
    </row>
    <row r="650" spans="1:53" x14ac:dyDescent="0.3">
      <c r="A650" s="6">
        <v>992329618</v>
      </c>
      <c r="B650" s="6">
        <v>779514</v>
      </c>
      <c r="C650" s="6">
        <v>5130808</v>
      </c>
      <c r="D650" s="6">
        <v>3731</v>
      </c>
      <c r="E650" s="6" t="s">
        <v>106</v>
      </c>
      <c r="F650" s="6">
        <v>59554</v>
      </c>
      <c r="G650" s="6" t="s">
        <v>102</v>
      </c>
      <c r="H650" s="10">
        <v>45981</v>
      </c>
      <c r="I650" s="10">
        <v>45981</v>
      </c>
      <c r="J650" s="4">
        <v>45981.916666666664</v>
      </c>
      <c r="K650" s="4">
        <v>45982.010081018518</v>
      </c>
      <c r="L650" s="11">
        <v>45982.007303240738</v>
      </c>
      <c r="M650" s="10">
        <v>45982</v>
      </c>
      <c r="N650" s="6" t="s">
        <v>121</v>
      </c>
      <c r="O650" t="s">
        <v>237</v>
      </c>
      <c r="P650" s="6" t="s">
        <v>93</v>
      </c>
      <c r="Q650" t="s">
        <v>144</v>
      </c>
      <c r="R650" t="s">
        <v>73</v>
      </c>
      <c r="S650" s="6">
        <v>717705</v>
      </c>
      <c r="T650" s="6" t="s">
        <v>1</v>
      </c>
      <c r="U650">
        <v>124</v>
      </c>
      <c r="V650" s="6">
        <v>18.8</v>
      </c>
      <c r="W650" s="6">
        <v>15.2</v>
      </c>
      <c r="X650" s="6">
        <v>123.8</v>
      </c>
      <c r="Y650" s="6">
        <v>157.80000000000001</v>
      </c>
      <c r="Z650" s="6" t="s">
        <v>63</v>
      </c>
      <c r="AA650" t="s">
        <v>223</v>
      </c>
      <c r="AB650" s="6" t="s">
        <v>65</v>
      </c>
      <c r="AC650" t="s">
        <v>137</v>
      </c>
      <c r="AD650" t="s">
        <v>67</v>
      </c>
      <c r="AE650">
        <v>-4</v>
      </c>
      <c r="AF650">
        <v>0</v>
      </c>
      <c r="AG650">
        <v>0</v>
      </c>
      <c r="AH650" s="6">
        <v>69.599999999999994</v>
      </c>
      <c r="AI650" s="6">
        <v>0</v>
      </c>
      <c r="AJ650" s="6">
        <v>0.82699999999999996</v>
      </c>
      <c r="AK650" s="6">
        <v>0.79100000000000004</v>
      </c>
      <c r="AL650" s="8">
        <v>8930.5300000000007</v>
      </c>
      <c r="AM650" s="6" t="s">
        <v>114</v>
      </c>
      <c r="AN650" s="6">
        <v>1</v>
      </c>
      <c r="AO650" s="6">
        <v>1</v>
      </c>
      <c r="AP650" s="6">
        <v>0</v>
      </c>
      <c r="AQ650" s="6">
        <v>1</v>
      </c>
      <c r="AR650" s="6">
        <v>0</v>
      </c>
      <c r="AS650" s="6">
        <v>1</v>
      </c>
      <c r="AT650" s="6">
        <v>0</v>
      </c>
      <c r="AU650" s="6">
        <v>2.38</v>
      </c>
      <c r="AV650" s="6">
        <v>1.53</v>
      </c>
      <c r="AW650" s="6">
        <v>113</v>
      </c>
      <c r="AX650" s="6">
        <v>34.46</v>
      </c>
      <c r="AY650" s="6">
        <v>82.19</v>
      </c>
      <c r="AZ650" s="6">
        <v>38.9</v>
      </c>
      <c r="BA650" s="6">
        <v>50.8</v>
      </c>
    </row>
    <row r="651" spans="1:53" x14ac:dyDescent="0.3">
      <c r="A651" s="6">
        <v>569732588</v>
      </c>
      <c r="B651" s="6">
        <v>263032</v>
      </c>
      <c r="C651" s="6">
        <v>4191175</v>
      </c>
      <c r="D651" s="6">
        <v>6486</v>
      </c>
      <c r="E651" s="6" t="s">
        <v>225</v>
      </c>
      <c r="F651" s="6">
        <v>52102</v>
      </c>
      <c r="G651" s="6" t="s">
        <v>115</v>
      </c>
      <c r="H651" s="10">
        <v>45924</v>
      </c>
      <c r="I651" s="10">
        <v>45924</v>
      </c>
      <c r="J651" s="4">
        <v>45924.878472222219</v>
      </c>
      <c r="K651" s="4">
        <v>45925.20207175926</v>
      </c>
      <c r="L651" s="11">
        <v>45925.195821759262</v>
      </c>
      <c r="M651" s="10">
        <v>45925</v>
      </c>
      <c r="N651" s="6" t="s">
        <v>59</v>
      </c>
      <c r="O651" t="s">
        <v>85</v>
      </c>
      <c r="P651" s="6" t="s">
        <v>70</v>
      </c>
      <c r="Q651" t="s">
        <v>72</v>
      </c>
      <c r="R651" t="s">
        <v>73</v>
      </c>
      <c r="S651" s="6">
        <v>736170</v>
      </c>
      <c r="T651" s="6" t="s">
        <v>111</v>
      </c>
      <c r="U651">
        <v>449</v>
      </c>
      <c r="V651" s="6">
        <v>38.4</v>
      </c>
      <c r="W651" s="6">
        <v>33.299999999999997</v>
      </c>
      <c r="X651" s="6">
        <v>455</v>
      </c>
      <c r="Y651" s="6">
        <v>526.70000000000005</v>
      </c>
      <c r="Z651" s="6" t="s">
        <v>215</v>
      </c>
      <c r="AA651" t="s">
        <v>708</v>
      </c>
      <c r="AB651" s="6" t="s">
        <v>65</v>
      </c>
      <c r="AC651" t="s">
        <v>125</v>
      </c>
      <c r="AD651" t="s">
        <v>67</v>
      </c>
      <c r="AE651">
        <v>-9</v>
      </c>
      <c r="AF651">
        <v>0</v>
      </c>
      <c r="AG651">
        <v>0</v>
      </c>
      <c r="AH651" s="6">
        <v>49.9</v>
      </c>
      <c r="AI651" s="6">
        <v>0</v>
      </c>
      <c r="AJ651" s="6">
        <v>0.63</v>
      </c>
      <c r="AK651" s="6">
        <v>0.53400000000000003</v>
      </c>
      <c r="AL651" s="8">
        <v>5176.1899999999996</v>
      </c>
      <c r="AM651" s="6" t="s">
        <v>68</v>
      </c>
      <c r="AN651" s="6">
        <v>1</v>
      </c>
      <c r="AO651" s="6">
        <v>1</v>
      </c>
      <c r="AP651" s="6">
        <v>0</v>
      </c>
      <c r="AQ651" s="6">
        <v>1</v>
      </c>
      <c r="AR651" s="6">
        <v>0</v>
      </c>
      <c r="AS651" s="6">
        <v>1</v>
      </c>
      <c r="AT651" s="6">
        <v>0</v>
      </c>
      <c r="AU651" s="6">
        <v>2.15</v>
      </c>
      <c r="AV651" s="6">
        <v>1.27</v>
      </c>
      <c r="AW651" s="6">
        <v>482.56</v>
      </c>
      <c r="AX651" s="6">
        <v>84.85</v>
      </c>
      <c r="AY651" s="6">
        <v>278.25</v>
      </c>
      <c r="AZ651" s="6">
        <v>13.2</v>
      </c>
      <c r="BA651" s="6">
        <v>18.2</v>
      </c>
    </row>
    <row r="652" spans="1:53" x14ac:dyDescent="0.3">
      <c r="A652" s="6">
        <v>198476695</v>
      </c>
      <c r="B652" s="6">
        <v>363626</v>
      </c>
      <c r="C652" s="6">
        <v>1669324</v>
      </c>
      <c r="D652" s="6">
        <v>6791</v>
      </c>
      <c r="E652" s="6" t="s">
        <v>211</v>
      </c>
      <c r="F652" s="6">
        <v>53030</v>
      </c>
      <c r="G652" s="6" t="s">
        <v>149</v>
      </c>
      <c r="H652" s="10">
        <v>45718</v>
      </c>
      <c r="I652" s="10">
        <v>45718</v>
      </c>
      <c r="J652" s="4">
        <v>45718.4375</v>
      </c>
      <c r="K652" s="4">
        <v>45718.577002314814</v>
      </c>
      <c r="L652" s="11">
        <v>45718.557557870372</v>
      </c>
      <c r="M652" s="10">
        <v>45718</v>
      </c>
      <c r="N652" s="6" t="s">
        <v>86</v>
      </c>
      <c r="O652" t="s">
        <v>268</v>
      </c>
      <c r="P652" s="6" t="s">
        <v>116</v>
      </c>
      <c r="Q652" t="s">
        <v>251</v>
      </c>
      <c r="R652" t="s">
        <v>123</v>
      </c>
      <c r="S652" s="6">
        <v>775534</v>
      </c>
      <c r="T652" s="6" t="s">
        <v>1</v>
      </c>
      <c r="U652">
        <v>140</v>
      </c>
      <c r="V652" s="6">
        <v>38</v>
      </c>
      <c r="W652" s="6">
        <v>11.3</v>
      </c>
      <c r="X652" s="6">
        <v>129.5</v>
      </c>
      <c r="Y652" s="6">
        <v>178.8</v>
      </c>
      <c r="Z652" s="6" t="s">
        <v>215</v>
      </c>
      <c r="AA652" t="s">
        <v>709</v>
      </c>
      <c r="AB652" s="6" t="s">
        <v>75</v>
      </c>
      <c r="AC652" t="s">
        <v>91</v>
      </c>
      <c r="AD652" t="s">
        <v>67</v>
      </c>
      <c r="AE652">
        <v>-28</v>
      </c>
      <c r="AF652">
        <v>0</v>
      </c>
      <c r="AG652">
        <v>0</v>
      </c>
      <c r="AH652" s="6">
        <v>60.2</v>
      </c>
      <c r="AI652" s="6">
        <v>0</v>
      </c>
      <c r="AJ652" s="6">
        <v>0.70599999999999996</v>
      </c>
      <c r="AK652" s="6">
        <v>0.79200000000000004</v>
      </c>
      <c r="AL652" s="8">
        <v>5261.21</v>
      </c>
      <c r="AM652" s="6" t="s">
        <v>68</v>
      </c>
      <c r="AN652" s="6">
        <v>1</v>
      </c>
      <c r="AO652" s="6">
        <v>1</v>
      </c>
      <c r="AP652" s="6">
        <v>0</v>
      </c>
      <c r="AQ652" s="6">
        <v>1</v>
      </c>
      <c r="AR652" s="6">
        <v>0</v>
      </c>
      <c r="AS652" s="6">
        <v>1</v>
      </c>
      <c r="AT652" s="6">
        <v>0</v>
      </c>
      <c r="AU652" s="6">
        <v>2.79</v>
      </c>
      <c r="AV652" s="6">
        <v>2.1</v>
      </c>
      <c r="AW652" s="6">
        <v>145.16</v>
      </c>
      <c r="AX652" s="6">
        <v>19.850000000000001</v>
      </c>
      <c r="AY652" s="6">
        <v>111.12</v>
      </c>
      <c r="AZ652" s="6">
        <v>13</v>
      </c>
      <c r="BA652" s="6">
        <v>15.8</v>
      </c>
    </row>
    <row r="653" spans="1:53" x14ac:dyDescent="0.3">
      <c r="A653" s="6">
        <v>338411494</v>
      </c>
      <c r="B653" s="6">
        <v>854639</v>
      </c>
      <c r="C653" s="6">
        <v>7417985</v>
      </c>
      <c r="D653" s="6">
        <v>3811</v>
      </c>
      <c r="E653" s="6" t="s">
        <v>142</v>
      </c>
      <c r="F653" s="6">
        <v>58524</v>
      </c>
      <c r="G653" s="6" t="s">
        <v>164</v>
      </c>
      <c r="H653" s="10">
        <v>45864</v>
      </c>
      <c r="I653" s="10">
        <v>45864</v>
      </c>
      <c r="J653" s="4">
        <v>45864.277777777781</v>
      </c>
      <c r="K653" s="4">
        <v>45864.470057870371</v>
      </c>
      <c r="L653" s="11">
        <v>45864.436724537038</v>
      </c>
      <c r="M653" s="10">
        <v>45864</v>
      </c>
      <c r="N653" s="6" t="s">
        <v>78</v>
      </c>
      <c r="O653" t="s">
        <v>222</v>
      </c>
      <c r="P653" s="6" t="s">
        <v>78</v>
      </c>
      <c r="Q653" t="s">
        <v>166</v>
      </c>
      <c r="R653" t="s">
        <v>88</v>
      </c>
      <c r="S653" s="6">
        <v>739562</v>
      </c>
      <c r="T653" s="6" t="s">
        <v>1</v>
      </c>
      <c r="U653">
        <v>274</v>
      </c>
      <c r="V653" s="6">
        <v>13.2</v>
      </c>
      <c r="W653" s="6">
        <v>23.3</v>
      </c>
      <c r="X653" s="6">
        <v>276.10000000000002</v>
      </c>
      <c r="Y653" s="6">
        <v>312.60000000000002</v>
      </c>
      <c r="Z653" s="6" t="s">
        <v>63</v>
      </c>
      <c r="AA653" t="s">
        <v>710</v>
      </c>
      <c r="AB653" s="6" t="s">
        <v>97</v>
      </c>
      <c r="AC653" t="s">
        <v>76</v>
      </c>
      <c r="AD653" t="s">
        <v>67</v>
      </c>
      <c r="AE653">
        <v>-48</v>
      </c>
      <c r="AF653">
        <v>0</v>
      </c>
      <c r="AG653">
        <v>0</v>
      </c>
      <c r="AH653" s="6">
        <v>42.7</v>
      </c>
      <c r="AI653" s="6">
        <v>0</v>
      </c>
      <c r="AJ653" s="6">
        <v>0.61599999999999999</v>
      </c>
      <c r="AK653" s="6">
        <v>0.74099999999999999</v>
      </c>
      <c r="AL653" s="8">
        <v>10479.299999999999</v>
      </c>
      <c r="AM653" s="6" t="s">
        <v>114</v>
      </c>
      <c r="AN653" s="6">
        <v>1</v>
      </c>
      <c r="AO653" s="6">
        <v>1</v>
      </c>
      <c r="AP653" s="6">
        <v>0</v>
      </c>
      <c r="AQ653" s="6">
        <v>1</v>
      </c>
      <c r="AR653" s="6">
        <v>0</v>
      </c>
      <c r="AS653" s="6">
        <v>1</v>
      </c>
      <c r="AT653" s="6">
        <v>0</v>
      </c>
      <c r="AU653" s="6">
        <v>2.0499999999999998</v>
      </c>
      <c r="AV653" s="6">
        <v>1.45</v>
      </c>
      <c r="AW653" s="6">
        <v>239.93</v>
      </c>
      <c r="AX653" s="6">
        <v>43.81</v>
      </c>
      <c r="AY653" s="6">
        <v>159.71</v>
      </c>
      <c r="AZ653" s="6">
        <v>11.8</v>
      </c>
      <c r="BA653" s="6">
        <v>21.1</v>
      </c>
    </row>
    <row r="654" spans="1:53" x14ac:dyDescent="0.3">
      <c r="A654" s="6">
        <v>976928440</v>
      </c>
      <c r="B654" s="6">
        <v>629903</v>
      </c>
      <c r="C654" s="6">
        <v>9143903</v>
      </c>
      <c r="D654" s="6">
        <v>9666</v>
      </c>
      <c r="E654" s="6" t="s">
        <v>225</v>
      </c>
      <c r="F654" s="6">
        <v>58107</v>
      </c>
      <c r="G654" s="6" t="s">
        <v>207</v>
      </c>
      <c r="H654" s="10">
        <v>45772</v>
      </c>
      <c r="I654" s="10">
        <v>45772</v>
      </c>
      <c r="J654" s="4">
        <v>45772.256944444445</v>
      </c>
      <c r="K654" s="4">
        <v>45772.463923611111</v>
      </c>
      <c r="L654" s="11">
        <v>45772.434062499997</v>
      </c>
      <c r="M654" s="10">
        <v>45772</v>
      </c>
      <c r="N654" s="6" t="s">
        <v>129</v>
      </c>
      <c r="O654" t="s">
        <v>130</v>
      </c>
      <c r="P654" s="6" t="s">
        <v>93</v>
      </c>
      <c r="Q654" t="s">
        <v>290</v>
      </c>
      <c r="R654" t="s">
        <v>73</v>
      </c>
      <c r="S654" s="6">
        <v>750133</v>
      </c>
      <c r="T654" s="6" t="s">
        <v>1</v>
      </c>
      <c r="U654">
        <v>158</v>
      </c>
      <c r="V654" s="6">
        <v>25.5</v>
      </c>
      <c r="W654" s="6">
        <v>32.4</v>
      </c>
      <c r="X654" s="6">
        <v>150.4</v>
      </c>
      <c r="Y654" s="6">
        <v>208.3</v>
      </c>
      <c r="Z654" s="6" t="s">
        <v>112</v>
      </c>
      <c r="AA654" t="s">
        <v>326</v>
      </c>
      <c r="AB654" s="6" t="s">
        <v>97</v>
      </c>
      <c r="AC654" t="s">
        <v>154</v>
      </c>
      <c r="AD654" t="s">
        <v>67</v>
      </c>
      <c r="AE654">
        <v>-43</v>
      </c>
      <c r="AF654">
        <v>0</v>
      </c>
      <c r="AG654">
        <v>0</v>
      </c>
      <c r="AH654" s="6">
        <v>65.7</v>
      </c>
      <c r="AI654" s="6">
        <v>0</v>
      </c>
      <c r="AJ654" s="6">
        <v>0.89400000000000002</v>
      </c>
      <c r="AK654" s="6">
        <v>0.63900000000000001</v>
      </c>
      <c r="AL654" s="8">
        <v>76891.06</v>
      </c>
      <c r="AM654" s="6" t="s">
        <v>155</v>
      </c>
      <c r="AN654" s="6">
        <v>1</v>
      </c>
      <c r="AO654" s="6">
        <v>1</v>
      </c>
      <c r="AP654" s="6">
        <v>0</v>
      </c>
      <c r="AQ654" s="6">
        <v>1</v>
      </c>
      <c r="AR654" s="6">
        <v>0</v>
      </c>
      <c r="AS654" s="6">
        <v>1</v>
      </c>
      <c r="AT654" s="6">
        <v>0</v>
      </c>
      <c r="AU654" s="6">
        <v>2.08</v>
      </c>
      <c r="AV654" s="6">
        <v>1.43</v>
      </c>
      <c r="AW654" s="6">
        <v>161.25</v>
      </c>
      <c r="AX654" s="6">
        <v>31.17</v>
      </c>
      <c r="AY654" s="6">
        <v>136.16999999999999</v>
      </c>
      <c r="AZ654" s="6">
        <v>10.3</v>
      </c>
      <c r="BA654" s="6">
        <v>7.5</v>
      </c>
    </row>
    <row r="655" spans="1:53" x14ac:dyDescent="0.3">
      <c r="A655" s="6">
        <v>584394989</v>
      </c>
      <c r="B655" s="6">
        <v>944151</v>
      </c>
      <c r="C655" s="6">
        <v>6855396</v>
      </c>
      <c r="D655" s="6">
        <v>8574</v>
      </c>
      <c r="E655" s="6" t="s">
        <v>225</v>
      </c>
      <c r="F655" s="6">
        <v>50242</v>
      </c>
      <c r="G655" s="6" t="s">
        <v>127</v>
      </c>
      <c r="H655" s="10">
        <v>45723</v>
      </c>
      <c r="I655" s="10">
        <v>45723</v>
      </c>
      <c r="J655" s="4">
        <v>45723.572916666664</v>
      </c>
      <c r="K655" s="4">
        <v>45724.184594907405</v>
      </c>
      <c r="L655" s="11">
        <v>45724.183206018519</v>
      </c>
      <c r="M655" s="10">
        <v>45724</v>
      </c>
      <c r="N655" s="6" t="s">
        <v>200</v>
      </c>
      <c r="O655" t="s">
        <v>201</v>
      </c>
      <c r="P655" s="6" t="s">
        <v>86</v>
      </c>
      <c r="Q655" t="s">
        <v>87</v>
      </c>
      <c r="R655" t="s">
        <v>88</v>
      </c>
      <c r="S655" s="6">
        <v>775527</v>
      </c>
      <c r="T655" s="6" t="s">
        <v>140</v>
      </c>
      <c r="U655">
        <v>717</v>
      </c>
      <c r="V655" s="6">
        <v>72.3</v>
      </c>
      <c r="W655" s="6">
        <v>5.6</v>
      </c>
      <c r="X655" s="6">
        <v>718</v>
      </c>
      <c r="Y655" s="6">
        <v>795.9</v>
      </c>
      <c r="Z655" s="6" t="s">
        <v>112</v>
      </c>
      <c r="AA655" t="s">
        <v>711</v>
      </c>
      <c r="AB655" s="6" t="s">
        <v>75</v>
      </c>
      <c r="AC655" t="s">
        <v>154</v>
      </c>
      <c r="AD655" t="s">
        <v>67</v>
      </c>
      <c r="AE655">
        <v>-2</v>
      </c>
      <c r="AF655">
        <v>0</v>
      </c>
      <c r="AG655">
        <v>0</v>
      </c>
      <c r="AH655" s="6">
        <v>50.3</v>
      </c>
      <c r="AI655" s="6">
        <v>0</v>
      </c>
      <c r="AJ655" s="6">
        <v>0.46200000000000002</v>
      </c>
      <c r="AK655" s="6">
        <v>0.77700000000000002</v>
      </c>
      <c r="AL655" s="8">
        <v>3087.1</v>
      </c>
      <c r="AM655" s="6" t="s">
        <v>68</v>
      </c>
      <c r="AN655" s="6">
        <v>1</v>
      </c>
      <c r="AO655" s="6">
        <v>1</v>
      </c>
      <c r="AP655" s="6">
        <v>0</v>
      </c>
      <c r="AQ655" s="6">
        <v>1</v>
      </c>
      <c r="AR655" s="6">
        <v>0</v>
      </c>
      <c r="AS655" s="6">
        <v>1</v>
      </c>
      <c r="AT655" s="6">
        <v>0</v>
      </c>
      <c r="AU655" s="6">
        <v>2.1</v>
      </c>
      <c r="AV655" s="6">
        <v>1.61</v>
      </c>
      <c r="AW655" s="6">
        <v>637.70000000000005</v>
      </c>
      <c r="AX655" s="6">
        <v>130.65</v>
      </c>
      <c r="AY655" s="6">
        <v>422.64</v>
      </c>
      <c r="AZ655" s="6">
        <v>12.8</v>
      </c>
      <c r="BA655" s="6">
        <v>33.200000000000003</v>
      </c>
    </row>
    <row r="656" spans="1:53" x14ac:dyDescent="0.3">
      <c r="A656" s="6">
        <v>475364113</v>
      </c>
      <c r="B656" s="6">
        <v>899550</v>
      </c>
      <c r="C656" s="6">
        <v>5682940</v>
      </c>
      <c r="D656" s="6">
        <v>9155</v>
      </c>
      <c r="E656" s="6" t="s">
        <v>225</v>
      </c>
      <c r="F656" s="6">
        <v>51884</v>
      </c>
      <c r="G656" s="6" t="s">
        <v>115</v>
      </c>
      <c r="H656" s="10">
        <v>45971</v>
      </c>
      <c r="I656" s="10">
        <v>45971</v>
      </c>
      <c r="J656" s="4">
        <v>45971.635416666664</v>
      </c>
      <c r="K656" s="4">
        <v>45971.793379629627</v>
      </c>
      <c r="L656" s="11">
        <v>45971.802407407406</v>
      </c>
      <c r="M656" s="10">
        <v>45971</v>
      </c>
      <c r="N656" s="6" t="s">
        <v>150</v>
      </c>
      <c r="O656" t="s">
        <v>151</v>
      </c>
      <c r="P656" s="6" t="s">
        <v>134</v>
      </c>
      <c r="Q656" t="s">
        <v>135</v>
      </c>
      <c r="R656" t="s">
        <v>73</v>
      </c>
      <c r="S656" s="6">
        <v>765850</v>
      </c>
      <c r="T656" s="6" t="s">
        <v>1</v>
      </c>
      <c r="U656">
        <v>180</v>
      </c>
      <c r="V656" s="6">
        <v>27.9</v>
      </c>
      <c r="W656" s="6">
        <v>3.7</v>
      </c>
      <c r="X656" s="6">
        <v>184.4</v>
      </c>
      <c r="Y656" s="6">
        <v>216</v>
      </c>
      <c r="Z656" s="6" t="s">
        <v>2</v>
      </c>
      <c r="AA656" t="s">
        <v>712</v>
      </c>
      <c r="AB656" s="6" t="s">
        <v>90</v>
      </c>
      <c r="AC656" t="s">
        <v>83</v>
      </c>
      <c r="AD656" t="s">
        <v>67</v>
      </c>
      <c r="AE656">
        <v>13</v>
      </c>
      <c r="AF656">
        <v>57</v>
      </c>
      <c r="AG656">
        <v>1.1000000000000001</v>
      </c>
      <c r="AH656" s="6">
        <v>34.799999999999997</v>
      </c>
      <c r="AI656" s="6">
        <v>0</v>
      </c>
      <c r="AJ656" s="6">
        <v>0.77300000000000002</v>
      </c>
      <c r="AK656" s="6">
        <v>0.82699999999999996</v>
      </c>
      <c r="AL656" s="8">
        <v>37786.300000000003</v>
      </c>
      <c r="AM656" s="6" t="s">
        <v>155</v>
      </c>
      <c r="AN656" s="6">
        <v>1</v>
      </c>
      <c r="AO656" s="6">
        <v>1</v>
      </c>
      <c r="AP656" s="6">
        <v>0</v>
      </c>
      <c r="AQ656" s="6">
        <v>1</v>
      </c>
      <c r="AR656" s="6">
        <v>0</v>
      </c>
      <c r="AS656" s="6">
        <v>1</v>
      </c>
      <c r="AT656" s="6">
        <v>0</v>
      </c>
      <c r="AU656" s="6">
        <v>2.37</v>
      </c>
      <c r="AV656" s="6">
        <v>1.61</v>
      </c>
      <c r="AW656" s="6">
        <v>190.47</v>
      </c>
      <c r="AX656" s="6">
        <v>46.49</v>
      </c>
      <c r="AY656" s="6">
        <v>150.88</v>
      </c>
      <c r="AZ656" s="6">
        <v>16.100000000000001</v>
      </c>
      <c r="BA656" s="6">
        <v>59.2</v>
      </c>
    </row>
    <row r="657" spans="1:53" x14ac:dyDescent="0.3">
      <c r="A657" s="6">
        <v>128636900</v>
      </c>
      <c r="B657" s="6">
        <v>598369</v>
      </c>
      <c r="C657" s="6">
        <v>6266630</v>
      </c>
      <c r="D657" s="6">
        <v>3869</v>
      </c>
      <c r="E657" s="6" t="s">
        <v>126</v>
      </c>
      <c r="F657" s="6">
        <v>58015</v>
      </c>
      <c r="G657" s="6" t="s">
        <v>77</v>
      </c>
      <c r="H657" s="10">
        <v>45805</v>
      </c>
      <c r="I657" s="10">
        <v>45805</v>
      </c>
      <c r="J657" s="4">
        <v>45805.263888888891</v>
      </c>
      <c r="K657" s="4">
        <v>45805.502569444441</v>
      </c>
      <c r="L657" s="11">
        <v>45805.490069444444</v>
      </c>
      <c r="M657" s="10">
        <v>45805</v>
      </c>
      <c r="N657" s="6" t="s">
        <v>134</v>
      </c>
      <c r="O657" t="s">
        <v>282</v>
      </c>
      <c r="P657" s="6" t="s">
        <v>134</v>
      </c>
      <c r="Q657" t="s">
        <v>248</v>
      </c>
      <c r="R657" t="s">
        <v>73</v>
      </c>
      <c r="S657" s="6">
        <v>752322</v>
      </c>
      <c r="T657" s="6" t="s">
        <v>1</v>
      </c>
      <c r="U657">
        <v>289</v>
      </c>
      <c r="V657" s="6">
        <v>7.2</v>
      </c>
      <c r="W657" s="6">
        <v>4.3</v>
      </c>
      <c r="X657" s="6">
        <v>292.3</v>
      </c>
      <c r="Y657" s="6">
        <v>303.8</v>
      </c>
      <c r="Z657" s="6" t="s">
        <v>63</v>
      </c>
      <c r="AA657" t="s">
        <v>495</v>
      </c>
      <c r="AB657" s="6" t="s">
        <v>97</v>
      </c>
      <c r="AC657" t="s">
        <v>125</v>
      </c>
      <c r="AD657" t="s">
        <v>67</v>
      </c>
      <c r="AE657">
        <v>-18</v>
      </c>
      <c r="AF657">
        <v>43</v>
      </c>
      <c r="AG657">
        <v>0</v>
      </c>
      <c r="AH657" s="6">
        <v>54</v>
      </c>
      <c r="AI657" s="6">
        <v>0</v>
      </c>
      <c r="AJ657" s="6">
        <v>0.69899999999999995</v>
      </c>
      <c r="AK657" s="6">
        <v>0.65200000000000002</v>
      </c>
      <c r="AL657" s="8">
        <v>21049.38</v>
      </c>
      <c r="AM657" s="6" t="s">
        <v>114</v>
      </c>
      <c r="AN657" s="6">
        <v>1</v>
      </c>
      <c r="AO657" s="6">
        <v>1</v>
      </c>
      <c r="AP657" s="6">
        <v>0</v>
      </c>
      <c r="AQ657" s="6">
        <v>1</v>
      </c>
      <c r="AR657" s="6">
        <v>0</v>
      </c>
      <c r="AS657" s="6">
        <v>1</v>
      </c>
      <c r="AT657" s="6">
        <v>0</v>
      </c>
      <c r="AU657" s="6">
        <v>2.2000000000000002</v>
      </c>
      <c r="AV657" s="6">
        <v>1.73</v>
      </c>
      <c r="AW657" s="6">
        <v>201.66</v>
      </c>
      <c r="AX657" s="6">
        <v>39.950000000000003</v>
      </c>
      <c r="AY657" s="6">
        <v>211.42</v>
      </c>
      <c r="AZ657" s="6">
        <v>26.1</v>
      </c>
      <c r="BA657" s="6">
        <v>41.9</v>
      </c>
    </row>
    <row r="658" spans="1:53" x14ac:dyDescent="0.3">
      <c r="A658" s="6">
        <v>545492166</v>
      </c>
      <c r="B658" s="6">
        <v>520651</v>
      </c>
      <c r="C658" s="6">
        <v>5098412</v>
      </c>
      <c r="D658" s="6">
        <v>7892</v>
      </c>
      <c r="E658" s="6" t="s">
        <v>84</v>
      </c>
      <c r="F658" s="6">
        <v>59624</v>
      </c>
      <c r="G658" s="6" t="s">
        <v>107</v>
      </c>
      <c r="H658" s="10">
        <v>45803</v>
      </c>
      <c r="I658" s="10">
        <v>45803</v>
      </c>
      <c r="J658" s="4">
        <v>45803.645833333336</v>
      </c>
      <c r="K658" s="4">
        <v>45803.954155092593</v>
      </c>
      <c r="L658" s="11">
        <v>45804.379155092596</v>
      </c>
      <c r="M658" s="10">
        <v>45804</v>
      </c>
      <c r="N658" s="6" t="s">
        <v>59</v>
      </c>
      <c r="O658" t="s">
        <v>61</v>
      </c>
      <c r="P658" s="6" t="s">
        <v>121</v>
      </c>
      <c r="Q658" t="s">
        <v>122</v>
      </c>
      <c r="R658" t="s">
        <v>123</v>
      </c>
      <c r="S658" s="6">
        <v>785820</v>
      </c>
      <c r="T658" s="6" t="s">
        <v>111</v>
      </c>
      <c r="U658">
        <v>319</v>
      </c>
      <c r="V658" s="6">
        <v>1.8</v>
      </c>
      <c r="W658" s="6">
        <v>24.7</v>
      </c>
      <c r="X658" s="6">
        <v>327</v>
      </c>
      <c r="Y658" s="6">
        <v>353.5</v>
      </c>
      <c r="Z658" s="6" t="s">
        <v>63</v>
      </c>
      <c r="AA658" t="s">
        <v>713</v>
      </c>
      <c r="AB658" s="6" t="s">
        <v>90</v>
      </c>
      <c r="AC658" t="s">
        <v>83</v>
      </c>
      <c r="AD658" t="s">
        <v>120</v>
      </c>
      <c r="AE658">
        <v>612</v>
      </c>
      <c r="AF658">
        <v>0</v>
      </c>
      <c r="AG658">
        <v>0</v>
      </c>
      <c r="AH658" s="6">
        <v>51.8</v>
      </c>
      <c r="AI658" s="6">
        <v>1</v>
      </c>
      <c r="AJ658" s="6">
        <v>0.41899999999999998</v>
      </c>
      <c r="AK658" s="6">
        <v>0.76800000000000002</v>
      </c>
      <c r="AL658" s="8">
        <v>850.87</v>
      </c>
      <c r="AM658" s="6" t="s">
        <v>68</v>
      </c>
      <c r="AN658" s="6">
        <v>1</v>
      </c>
      <c r="AO658" s="6">
        <v>0</v>
      </c>
      <c r="AP658" s="6">
        <v>1</v>
      </c>
      <c r="AQ658" s="6">
        <v>0</v>
      </c>
      <c r="AR658" s="6">
        <v>1</v>
      </c>
      <c r="AS658" s="6">
        <v>0</v>
      </c>
      <c r="AT658" s="6">
        <v>1</v>
      </c>
      <c r="AU658" s="6">
        <v>2.16</v>
      </c>
      <c r="AV658" s="6">
        <v>1.26</v>
      </c>
      <c r="AW658" s="6">
        <v>282.76</v>
      </c>
      <c r="AX658" s="6">
        <v>991.61</v>
      </c>
      <c r="AY658" s="6">
        <v>194.59</v>
      </c>
      <c r="AZ658" s="6">
        <v>45.8</v>
      </c>
      <c r="BA658" s="6">
        <v>78.8</v>
      </c>
    </row>
    <row r="659" spans="1:53" x14ac:dyDescent="0.3">
      <c r="A659" s="6">
        <v>157184151</v>
      </c>
      <c r="B659" s="6">
        <v>653306</v>
      </c>
      <c r="C659" s="6">
        <v>6188935</v>
      </c>
      <c r="D659" s="6">
        <v>7944</v>
      </c>
      <c r="E659" s="6" t="s">
        <v>84</v>
      </c>
      <c r="F659" s="6">
        <v>56747</v>
      </c>
      <c r="G659" s="6" t="s">
        <v>146</v>
      </c>
      <c r="H659" s="10">
        <v>45720</v>
      </c>
      <c r="I659" s="10">
        <v>45720</v>
      </c>
      <c r="J659" s="4">
        <v>45720.288194444445</v>
      </c>
      <c r="K659" s="4">
        <v>45720.501736111109</v>
      </c>
      <c r="L659" s="11">
        <v>45720.488541666666</v>
      </c>
      <c r="M659" s="10">
        <v>45720</v>
      </c>
      <c r="N659" s="6" t="s">
        <v>93</v>
      </c>
      <c r="O659" t="s">
        <v>290</v>
      </c>
      <c r="P659" s="6" t="s">
        <v>93</v>
      </c>
      <c r="Q659" t="s">
        <v>95</v>
      </c>
      <c r="R659" t="s">
        <v>73</v>
      </c>
      <c r="S659" s="6">
        <v>758654</v>
      </c>
      <c r="T659" s="6" t="s">
        <v>1</v>
      </c>
      <c r="U659">
        <v>226</v>
      </c>
      <c r="V659" s="6">
        <v>4.5</v>
      </c>
      <c r="W659" s="6">
        <v>7.5</v>
      </c>
      <c r="X659" s="6">
        <v>227.5</v>
      </c>
      <c r="Y659" s="6">
        <v>239.5</v>
      </c>
      <c r="Z659" s="6" t="s">
        <v>2</v>
      </c>
      <c r="AA659" t="s">
        <v>445</v>
      </c>
      <c r="AB659" s="6" t="s">
        <v>97</v>
      </c>
      <c r="AC659" t="s">
        <v>66</v>
      </c>
      <c r="AD659" t="s">
        <v>67</v>
      </c>
      <c r="AE659">
        <v>-19</v>
      </c>
      <c r="AF659">
        <v>0</v>
      </c>
      <c r="AG659">
        <v>0</v>
      </c>
      <c r="AH659" s="6">
        <v>38.799999999999997</v>
      </c>
      <c r="AI659" s="6">
        <v>0</v>
      </c>
      <c r="AJ659" s="6">
        <v>0.60699999999999998</v>
      </c>
      <c r="AK659" s="6">
        <v>0.60899999999999999</v>
      </c>
      <c r="AL659" s="8">
        <v>2286.6799999999998</v>
      </c>
      <c r="AM659" s="6" t="s">
        <v>68</v>
      </c>
      <c r="AN659" s="6">
        <v>1</v>
      </c>
      <c r="AO659" s="6">
        <v>1</v>
      </c>
      <c r="AP659" s="6">
        <v>0</v>
      </c>
      <c r="AQ659" s="6">
        <v>1</v>
      </c>
      <c r="AR659" s="6">
        <v>0</v>
      </c>
      <c r="AS659" s="6">
        <v>1</v>
      </c>
      <c r="AT659" s="6">
        <v>0</v>
      </c>
      <c r="AU659" s="6">
        <v>2.12</v>
      </c>
      <c r="AV659" s="6">
        <v>1.69</v>
      </c>
      <c r="AW659" s="6">
        <v>171.64</v>
      </c>
      <c r="AX659" s="6">
        <v>32.31</v>
      </c>
      <c r="AY659" s="6">
        <v>119.75</v>
      </c>
      <c r="AZ659" s="6">
        <v>23.9</v>
      </c>
      <c r="BA659" s="6">
        <v>65.2</v>
      </c>
    </row>
    <row r="660" spans="1:53" x14ac:dyDescent="0.3">
      <c r="A660" s="6">
        <v>525689202</v>
      </c>
      <c r="B660" s="6">
        <v>852787</v>
      </c>
      <c r="C660" s="6">
        <v>6075395</v>
      </c>
      <c r="D660" s="6">
        <v>7668</v>
      </c>
      <c r="E660" s="6" t="s">
        <v>211</v>
      </c>
      <c r="F660" s="6">
        <v>58494</v>
      </c>
      <c r="G660" s="6" t="s">
        <v>149</v>
      </c>
      <c r="H660" s="10">
        <v>45797</v>
      </c>
      <c r="I660" s="10">
        <v>45797</v>
      </c>
      <c r="J660" s="4">
        <v>45797.569444444445</v>
      </c>
      <c r="K660" s="4">
        <v>45797.909745370373</v>
      </c>
      <c r="L660" s="11">
        <v>45797.879884259259</v>
      </c>
      <c r="M660" s="10">
        <v>45797</v>
      </c>
      <c r="N660" s="6" t="s">
        <v>116</v>
      </c>
      <c r="O660" t="s">
        <v>139</v>
      </c>
      <c r="P660" s="6" t="s">
        <v>121</v>
      </c>
      <c r="Q660" t="s">
        <v>122</v>
      </c>
      <c r="R660" t="s">
        <v>123</v>
      </c>
      <c r="S660" s="6">
        <v>795786</v>
      </c>
      <c r="T660" s="6" t="s">
        <v>111</v>
      </c>
      <c r="U660">
        <v>322</v>
      </c>
      <c r="V660" s="6">
        <v>14.9</v>
      </c>
      <c r="W660" s="6">
        <v>32.299999999999997</v>
      </c>
      <c r="X660" s="6">
        <v>325.10000000000002</v>
      </c>
      <c r="Y660" s="6">
        <v>372.3</v>
      </c>
      <c r="Z660" s="6" t="s">
        <v>112</v>
      </c>
      <c r="AA660" t="s">
        <v>648</v>
      </c>
      <c r="AB660" s="6" t="s">
        <v>75</v>
      </c>
      <c r="AC660" t="s">
        <v>66</v>
      </c>
      <c r="AD660" t="s">
        <v>67</v>
      </c>
      <c r="AE660">
        <v>-43</v>
      </c>
      <c r="AF660">
        <v>0</v>
      </c>
      <c r="AG660">
        <v>0</v>
      </c>
      <c r="AH660" s="6">
        <v>81.3</v>
      </c>
      <c r="AI660" s="6">
        <v>0</v>
      </c>
      <c r="AJ660" s="6">
        <v>0.81299999999999994</v>
      </c>
      <c r="AK660" s="6">
        <v>0.45</v>
      </c>
      <c r="AL660" s="8">
        <v>2596.94</v>
      </c>
      <c r="AM660" s="6" t="s">
        <v>68</v>
      </c>
      <c r="AN660" s="6">
        <v>1</v>
      </c>
      <c r="AO660" s="6">
        <v>1</v>
      </c>
      <c r="AP660" s="6">
        <v>0</v>
      </c>
      <c r="AQ660" s="6">
        <v>1</v>
      </c>
      <c r="AR660" s="6">
        <v>0</v>
      </c>
      <c r="AS660" s="6">
        <v>1</v>
      </c>
      <c r="AT660" s="6">
        <v>0</v>
      </c>
      <c r="AU660" s="6">
        <v>2.42</v>
      </c>
      <c r="AV660" s="6">
        <v>1.84</v>
      </c>
      <c r="AW660" s="6">
        <v>294.64999999999998</v>
      </c>
      <c r="AX660" s="6">
        <v>78.31</v>
      </c>
      <c r="AY660" s="6">
        <v>233.34</v>
      </c>
      <c r="AZ660" s="6">
        <v>15.7</v>
      </c>
      <c r="BA660" s="6">
        <v>69.7</v>
      </c>
    </row>
    <row r="661" spans="1:53" x14ac:dyDescent="0.3">
      <c r="A661" s="6">
        <v>639026034</v>
      </c>
      <c r="B661" s="6">
        <v>835911</v>
      </c>
      <c r="C661" s="6">
        <v>7774229</v>
      </c>
      <c r="D661" s="6">
        <v>3454</v>
      </c>
      <c r="E661" s="6" t="s">
        <v>92</v>
      </c>
      <c r="F661" s="6">
        <v>54330</v>
      </c>
      <c r="G661" s="6" t="s">
        <v>77</v>
      </c>
      <c r="H661" s="10">
        <v>45976</v>
      </c>
      <c r="I661" s="10">
        <v>45976</v>
      </c>
      <c r="J661" s="4">
        <v>45976.666666666664</v>
      </c>
      <c r="K661" s="4">
        <v>45977.068009259259</v>
      </c>
      <c r="L661" s="11">
        <v>45977.052037037036</v>
      </c>
      <c r="M661" s="10">
        <v>45977</v>
      </c>
      <c r="N661" s="6" t="s">
        <v>93</v>
      </c>
      <c r="O661" t="s">
        <v>94</v>
      </c>
      <c r="P661" s="6" t="s">
        <v>121</v>
      </c>
      <c r="Q661" t="s">
        <v>179</v>
      </c>
      <c r="R661" t="s">
        <v>123</v>
      </c>
      <c r="S661" s="6">
        <v>710118</v>
      </c>
      <c r="T661" s="6" t="s">
        <v>111</v>
      </c>
      <c r="U661">
        <v>452</v>
      </c>
      <c r="V661" s="6">
        <v>13.3</v>
      </c>
      <c r="W661" s="6">
        <v>14.6</v>
      </c>
      <c r="X661" s="6">
        <v>455.3</v>
      </c>
      <c r="Y661" s="6">
        <v>483.2</v>
      </c>
      <c r="Z661" s="6" t="s">
        <v>2</v>
      </c>
      <c r="AA661" t="s">
        <v>714</v>
      </c>
      <c r="AB661" s="6" t="s">
        <v>90</v>
      </c>
      <c r="AC661" t="s">
        <v>76</v>
      </c>
      <c r="AD661" t="s">
        <v>67</v>
      </c>
      <c r="AE661">
        <v>-23</v>
      </c>
      <c r="AF661">
        <v>0</v>
      </c>
      <c r="AG661">
        <v>0</v>
      </c>
      <c r="AH661" s="6">
        <v>57.1</v>
      </c>
      <c r="AI661" s="6">
        <v>0</v>
      </c>
      <c r="AJ661" s="6">
        <v>0.69799999999999995</v>
      </c>
      <c r="AK661" s="6">
        <v>0.55600000000000005</v>
      </c>
      <c r="AL661" s="8">
        <v>6493.45</v>
      </c>
      <c r="AM661" s="6" t="s">
        <v>68</v>
      </c>
      <c r="AN661" s="6">
        <v>1</v>
      </c>
      <c r="AO661" s="6">
        <v>1</v>
      </c>
      <c r="AP661" s="6">
        <v>0</v>
      </c>
      <c r="AQ661" s="6">
        <v>1</v>
      </c>
      <c r="AR661" s="6">
        <v>0</v>
      </c>
      <c r="AS661" s="6">
        <v>1</v>
      </c>
      <c r="AT661" s="6">
        <v>0</v>
      </c>
      <c r="AU661" s="6">
        <v>2.48</v>
      </c>
      <c r="AV661" s="6">
        <v>1.63</v>
      </c>
      <c r="AW661" s="6">
        <v>374.63</v>
      </c>
      <c r="AX661" s="6">
        <v>105.72</v>
      </c>
      <c r="AY661" s="6">
        <v>283.94</v>
      </c>
      <c r="AZ661" s="6">
        <v>11.7</v>
      </c>
      <c r="BA661" s="6">
        <v>54.6</v>
      </c>
    </row>
    <row r="662" spans="1:53" x14ac:dyDescent="0.3">
      <c r="A662" s="6">
        <v>501538092</v>
      </c>
      <c r="B662" s="6">
        <v>217301</v>
      </c>
      <c r="C662" s="6">
        <v>5453786</v>
      </c>
      <c r="D662" s="6">
        <v>5548</v>
      </c>
      <c r="E662" s="6" t="s">
        <v>142</v>
      </c>
      <c r="F662" s="6">
        <v>57863</v>
      </c>
      <c r="G662" s="6" t="s">
        <v>77</v>
      </c>
      <c r="H662" s="10">
        <v>45790</v>
      </c>
      <c r="I662" s="10">
        <v>45790</v>
      </c>
      <c r="J662" s="4">
        <v>45790.486111111109</v>
      </c>
      <c r="K662" s="4">
        <v>45790.620486111111</v>
      </c>
      <c r="L662" s="11">
        <v>45790.630902777775</v>
      </c>
      <c r="M662" s="10">
        <v>45790</v>
      </c>
      <c r="N662" s="6" t="s">
        <v>129</v>
      </c>
      <c r="O662" t="s">
        <v>157</v>
      </c>
      <c r="P662" s="6" t="s">
        <v>93</v>
      </c>
      <c r="Q662" t="s">
        <v>144</v>
      </c>
      <c r="R662" t="s">
        <v>73</v>
      </c>
      <c r="S662" s="6">
        <v>750133</v>
      </c>
      <c r="T662" s="6" t="s">
        <v>3</v>
      </c>
      <c r="U662">
        <v>101</v>
      </c>
      <c r="V662" s="6">
        <v>18.899999999999999</v>
      </c>
      <c r="W662" s="6">
        <v>29.6</v>
      </c>
      <c r="X662" s="6">
        <v>95.2</v>
      </c>
      <c r="Y662" s="6">
        <v>143.69999999999999</v>
      </c>
      <c r="Z662" s="6" t="s">
        <v>112</v>
      </c>
      <c r="AA662" t="s">
        <v>715</v>
      </c>
      <c r="AB662" s="6" t="s">
        <v>75</v>
      </c>
      <c r="AC662" t="s">
        <v>66</v>
      </c>
      <c r="AD662" t="s">
        <v>67</v>
      </c>
      <c r="AE662">
        <v>15</v>
      </c>
      <c r="AF662">
        <v>0</v>
      </c>
      <c r="AG662">
        <v>0</v>
      </c>
      <c r="AH662" s="6">
        <v>86.4</v>
      </c>
      <c r="AI662" s="6">
        <v>0</v>
      </c>
      <c r="AJ662" s="6">
        <v>0.61499999999999999</v>
      </c>
      <c r="AK662" s="6">
        <v>0.72899999999999998</v>
      </c>
      <c r="AL662" s="8">
        <v>18618.46</v>
      </c>
      <c r="AM662" s="6" t="s">
        <v>114</v>
      </c>
      <c r="AN662" s="6">
        <v>1</v>
      </c>
      <c r="AO662" s="6">
        <v>1</v>
      </c>
      <c r="AP662" s="6">
        <v>0</v>
      </c>
      <c r="AQ662" s="6">
        <v>1</v>
      </c>
      <c r="AR662" s="6">
        <v>0</v>
      </c>
      <c r="AS662" s="6">
        <v>1</v>
      </c>
      <c r="AT662" s="6">
        <v>0</v>
      </c>
      <c r="AU662" s="6">
        <v>2.39</v>
      </c>
      <c r="AV662" s="6">
        <v>1.7</v>
      </c>
      <c r="AW662" s="6">
        <v>90.38</v>
      </c>
      <c r="AX662" s="6">
        <v>29.39</v>
      </c>
      <c r="AY662" s="6">
        <v>73.930000000000007</v>
      </c>
      <c r="AZ662" s="6">
        <v>13</v>
      </c>
      <c r="BA662" s="6">
        <v>39.9</v>
      </c>
    </row>
    <row r="663" spans="1:53" x14ac:dyDescent="0.3">
      <c r="A663" s="6">
        <v>353164777</v>
      </c>
      <c r="B663" s="6">
        <v>913694</v>
      </c>
      <c r="C663" s="6">
        <v>2229110</v>
      </c>
      <c r="D663" s="6">
        <v>8408</v>
      </c>
      <c r="E663" s="6" t="s">
        <v>106</v>
      </c>
      <c r="F663" s="6">
        <v>53109</v>
      </c>
      <c r="G663" s="6" t="s">
        <v>127</v>
      </c>
      <c r="H663" s="10">
        <v>46005</v>
      </c>
      <c r="I663" s="10">
        <v>46005</v>
      </c>
      <c r="J663" s="4">
        <v>46005.71875</v>
      </c>
      <c r="K663" s="4">
        <v>46006.405462962961</v>
      </c>
      <c r="L663" s="11">
        <v>46006.383935185186</v>
      </c>
      <c r="M663" s="10">
        <v>46006</v>
      </c>
      <c r="N663" s="6" t="s">
        <v>70</v>
      </c>
      <c r="O663" t="s">
        <v>138</v>
      </c>
      <c r="P663" s="6" t="s">
        <v>150</v>
      </c>
      <c r="Q663" t="s">
        <v>159</v>
      </c>
      <c r="R663" t="s">
        <v>73</v>
      </c>
      <c r="S663" s="6">
        <v>737982</v>
      </c>
      <c r="T663" s="6" t="s">
        <v>140</v>
      </c>
      <c r="U663">
        <v>727</v>
      </c>
      <c r="V663" s="6">
        <v>-1.2</v>
      </c>
      <c r="W663" s="6">
        <v>32.4</v>
      </c>
      <c r="X663" s="6">
        <v>726.2</v>
      </c>
      <c r="Y663" s="6">
        <v>758.6</v>
      </c>
      <c r="Z663" s="6" t="s">
        <v>63</v>
      </c>
      <c r="AA663" t="s">
        <v>716</v>
      </c>
      <c r="AB663" s="6" t="s">
        <v>90</v>
      </c>
      <c r="AC663" t="s">
        <v>91</v>
      </c>
      <c r="AD663" t="s">
        <v>67</v>
      </c>
      <c r="AE663">
        <v>-31</v>
      </c>
      <c r="AF663">
        <v>0</v>
      </c>
      <c r="AG663">
        <v>0</v>
      </c>
      <c r="AH663" s="6">
        <v>61.2</v>
      </c>
      <c r="AI663" s="6">
        <v>0</v>
      </c>
      <c r="AJ663" s="6">
        <v>0.78600000000000003</v>
      </c>
      <c r="AK663" s="6">
        <v>0.71099999999999997</v>
      </c>
      <c r="AL663" s="8">
        <v>3815.4</v>
      </c>
      <c r="AM663" s="6" t="s">
        <v>68</v>
      </c>
      <c r="AN663" s="6">
        <v>1</v>
      </c>
      <c r="AO663" s="6">
        <v>1</v>
      </c>
      <c r="AP663" s="6">
        <v>0</v>
      </c>
      <c r="AQ663" s="6">
        <v>1</v>
      </c>
      <c r="AR663" s="6">
        <v>0</v>
      </c>
      <c r="AS663" s="6">
        <v>1</v>
      </c>
      <c r="AT663" s="6">
        <v>0</v>
      </c>
      <c r="AU663" s="6">
        <v>2.35</v>
      </c>
      <c r="AV663" s="6">
        <v>1.81</v>
      </c>
      <c r="AW663" s="6">
        <v>602.89</v>
      </c>
      <c r="AX663" s="6">
        <v>106.7</v>
      </c>
      <c r="AY663" s="6">
        <v>460.89</v>
      </c>
      <c r="AZ663" s="6">
        <v>9.1</v>
      </c>
      <c r="BA663" s="6">
        <v>53.3</v>
      </c>
    </row>
    <row r="664" spans="1:53" x14ac:dyDescent="0.3">
      <c r="A664" s="6">
        <v>514642708</v>
      </c>
      <c r="B664" s="6">
        <v>440035</v>
      </c>
      <c r="C664" s="6">
        <v>1156287</v>
      </c>
      <c r="D664" s="6">
        <v>8858</v>
      </c>
      <c r="E664" s="6" t="s">
        <v>57</v>
      </c>
      <c r="F664" s="6">
        <v>52186</v>
      </c>
      <c r="G664" s="6" t="s">
        <v>175</v>
      </c>
      <c r="H664" s="10">
        <v>46003</v>
      </c>
      <c r="I664" s="10">
        <v>46003</v>
      </c>
      <c r="J664" s="4">
        <v>46003.329861111109</v>
      </c>
      <c r="K664" s="4">
        <v>46003.684652777774</v>
      </c>
      <c r="L664" s="11">
        <v>46003.670069444444</v>
      </c>
      <c r="M664" s="10">
        <v>46003</v>
      </c>
      <c r="N664" s="6" t="s">
        <v>170</v>
      </c>
      <c r="O664" t="s">
        <v>189</v>
      </c>
      <c r="P664" s="6" t="s">
        <v>150</v>
      </c>
      <c r="Q664" t="s">
        <v>151</v>
      </c>
      <c r="R664" t="s">
        <v>73</v>
      </c>
      <c r="S664" s="6">
        <v>741853</v>
      </c>
      <c r="T664" s="6" t="s">
        <v>111</v>
      </c>
      <c r="U664">
        <v>402</v>
      </c>
      <c r="V664" s="6">
        <v>9.6999999999999993</v>
      </c>
      <c r="W664" s="6">
        <v>4</v>
      </c>
      <c r="X664" s="6">
        <v>387.2</v>
      </c>
      <c r="Y664" s="6">
        <v>400.9</v>
      </c>
      <c r="Z664" s="6" t="s">
        <v>63</v>
      </c>
      <c r="AA664" t="s">
        <v>717</v>
      </c>
      <c r="AB664" s="6" t="s">
        <v>97</v>
      </c>
      <c r="AC664" t="s">
        <v>154</v>
      </c>
      <c r="AD664" t="s">
        <v>67</v>
      </c>
      <c r="AE664">
        <v>-21</v>
      </c>
      <c r="AF664">
        <v>0</v>
      </c>
      <c r="AG664">
        <v>0</v>
      </c>
      <c r="AH664" s="6">
        <v>34.200000000000003</v>
      </c>
      <c r="AI664" s="6">
        <v>0</v>
      </c>
      <c r="AJ664" s="6">
        <v>0.45500000000000002</v>
      </c>
      <c r="AK664" s="6">
        <v>0.46400000000000002</v>
      </c>
      <c r="AL664" s="8">
        <v>17120.34</v>
      </c>
      <c r="AM664" s="6" t="s">
        <v>114</v>
      </c>
      <c r="AN664" s="6">
        <v>1</v>
      </c>
      <c r="AO664" s="6">
        <v>1</v>
      </c>
      <c r="AP664" s="6">
        <v>0</v>
      </c>
      <c r="AQ664" s="6">
        <v>1</v>
      </c>
      <c r="AR664" s="6">
        <v>0</v>
      </c>
      <c r="AS664" s="6">
        <v>1</v>
      </c>
      <c r="AT664" s="6">
        <v>0</v>
      </c>
      <c r="AU664" s="6">
        <v>2.36</v>
      </c>
      <c r="AV664" s="6">
        <v>1.62</v>
      </c>
      <c r="AW664" s="6">
        <v>333.86</v>
      </c>
      <c r="AX664" s="6">
        <v>53.46</v>
      </c>
      <c r="AY664" s="6">
        <v>287.95</v>
      </c>
      <c r="AZ664" s="6">
        <v>8.3000000000000007</v>
      </c>
      <c r="BA664" s="6">
        <v>27.1</v>
      </c>
    </row>
    <row r="665" spans="1:53" x14ac:dyDescent="0.3">
      <c r="A665" s="6">
        <v>187623171</v>
      </c>
      <c r="B665" s="6">
        <v>905635</v>
      </c>
      <c r="C665" s="6">
        <v>2677407</v>
      </c>
      <c r="D665" s="6">
        <v>3790</v>
      </c>
      <c r="E665" s="6" t="s">
        <v>106</v>
      </c>
      <c r="F665" s="6">
        <v>51550</v>
      </c>
      <c r="G665" s="6" t="s">
        <v>115</v>
      </c>
      <c r="H665" s="10">
        <v>45710</v>
      </c>
      <c r="I665" s="10">
        <v>45710</v>
      </c>
      <c r="J665" s="4">
        <v>45710.715277777781</v>
      </c>
      <c r="K665" s="4">
        <v>45711.175428240742</v>
      </c>
      <c r="L665" s="11">
        <v>45711.27820601852</v>
      </c>
      <c r="M665" s="10">
        <v>45711</v>
      </c>
      <c r="N665" s="6" t="s">
        <v>86</v>
      </c>
      <c r="O665" t="s">
        <v>253</v>
      </c>
      <c r="P665" s="6" t="s">
        <v>86</v>
      </c>
      <c r="Q665" t="s">
        <v>108</v>
      </c>
      <c r="R665" t="s">
        <v>88</v>
      </c>
      <c r="S665" s="6">
        <v>742558</v>
      </c>
      <c r="T665" s="6" t="s">
        <v>111</v>
      </c>
      <c r="U665">
        <v>503</v>
      </c>
      <c r="V665" s="6">
        <v>8.4</v>
      </c>
      <c r="W665" s="6">
        <v>14.7</v>
      </c>
      <c r="X665" s="6">
        <v>505.3</v>
      </c>
      <c r="Y665" s="6">
        <v>528.4</v>
      </c>
      <c r="Z665" s="6" t="s">
        <v>63</v>
      </c>
      <c r="AA665" t="s">
        <v>718</v>
      </c>
      <c r="AB665" s="6" t="s">
        <v>90</v>
      </c>
      <c r="AC665" t="s">
        <v>76</v>
      </c>
      <c r="AD665" t="s">
        <v>192</v>
      </c>
      <c r="AE665">
        <v>148</v>
      </c>
      <c r="AF665">
        <v>0</v>
      </c>
      <c r="AG665">
        <v>1.1000000000000001</v>
      </c>
      <c r="AH665" s="6">
        <v>58.2</v>
      </c>
      <c r="AI665" s="6">
        <v>0</v>
      </c>
      <c r="AJ665" s="6">
        <v>0.92500000000000004</v>
      </c>
      <c r="AK665" s="6">
        <v>0.59099999999999997</v>
      </c>
      <c r="AL665" s="8">
        <v>11454.59</v>
      </c>
      <c r="AM665" s="6" t="s">
        <v>114</v>
      </c>
      <c r="AN665" s="6">
        <v>1</v>
      </c>
      <c r="AO665" s="6">
        <v>0</v>
      </c>
      <c r="AP665" s="6">
        <v>1</v>
      </c>
      <c r="AQ665" s="6">
        <v>0</v>
      </c>
      <c r="AR665" s="6">
        <v>1</v>
      </c>
      <c r="AS665" s="6">
        <v>0</v>
      </c>
      <c r="AT665" s="6">
        <v>1</v>
      </c>
      <c r="AU665" s="6">
        <v>2.35</v>
      </c>
      <c r="AV665" s="6">
        <v>1.39</v>
      </c>
      <c r="AW665" s="6">
        <v>366.6</v>
      </c>
      <c r="AX665" s="6">
        <v>80.180000000000007</v>
      </c>
      <c r="AY665" s="6">
        <v>262.38</v>
      </c>
      <c r="AZ665" s="6">
        <v>27.7</v>
      </c>
      <c r="BA665" s="6">
        <v>28.8</v>
      </c>
    </row>
    <row r="666" spans="1:53" x14ac:dyDescent="0.3">
      <c r="A666" s="6">
        <v>502559419</v>
      </c>
      <c r="B666" s="6">
        <v>217301</v>
      </c>
      <c r="C666" s="6">
        <v>5453786</v>
      </c>
      <c r="D666" s="6">
        <v>5548</v>
      </c>
      <c r="E666" s="6" t="s">
        <v>142</v>
      </c>
      <c r="F666" s="6">
        <v>59984</v>
      </c>
      <c r="G666" s="6" t="s">
        <v>107</v>
      </c>
      <c r="H666" s="10">
        <v>45722</v>
      </c>
      <c r="I666" s="10">
        <v>45722</v>
      </c>
      <c r="J666" s="4">
        <v>45722.090277777781</v>
      </c>
      <c r="K666" s="4">
        <v>45722.410810185182</v>
      </c>
      <c r="L666" s="11">
        <v>45722.511504629627</v>
      </c>
      <c r="M666" s="10">
        <v>45722</v>
      </c>
      <c r="N666" s="6" t="s">
        <v>176</v>
      </c>
      <c r="O666" t="s">
        <v>355</v>
      </c>
      <c r="P666" s="6" t="s">
        <v>176</v>
      </c>
      <c r="Q666" t="s">
        <v>316</v>
      </c>
      <c r="R666" t="s">
        <v>88</v>
      </c>
      <c r="S666" s="6">
        <v>745653</v>
      </c>
      <c r="T666" s="6" t="s">
        <v>111</v>
      </c>
      <c r="U666">
        <v>409</v>
      </c>
      <c r="V666" s="6">
        <v>6.4</v>
      </c>
      <c r="W666" s="6">
        <v>21.2</v>
      </c>
      <c r="X666" s="6">
        <v>392.5</v>
      </c>
      <c r="Y666" s="6">
        <v>420.1</v>
      </c>
      <c r="Z666" s="6" t="s">
        <v>112</v>
      </c>
      <c r="AA666" t="s">
        <v>719</v>
      </c>
      <c r="AB666" s="6" t="s">
        <v>82</v>
      </c>
      <c r="AC666" t="s">
        <v>137</v>
      </c>
      <c r="AD666" t="s">
        <v>192</v>
      </c>
      <c r="AE666">
        <v>145</v>
      </c>
      <c r="AF666">
        <v>58</v>
      </c>
      <c r="AG666">
        <v>0</v>
      </c>
      <c r="AH666" s="6">
        <v>46.8</v>
      </c>
      <c r="AI666" s="6">
        <v>0</v>
      </c>
      <c r="AJ666" s="6">
        <v>0.85</v>
      </c>
      <c r="AK666" s="6">
        <v>0.59699999999999998</v>
      </c>
      <c r="AL666" s="8">
        <v>114173.07</v>
      </c>
      <c r="AM666" s="6" t="s">
        <v>155</v>
      </c>
      <c r="AN666" s="6">
        <v>1</v>
      </c>
      <c r="AO666" s="6">
        <v>0</v>
      </c>
      <c r="AP666" s="6">
        <v>1</v>
      </c>
      <c r="AQ666" s="6">
        <v>0</v>
      </c>
      <c r="AR666" s="6">
        <v>1</v>
      </c>
      <c r="AS666" s="6">
        <v>0</v>
      </c>
      <c r="AT666" s="6">
        <v>1</v>
      </c>
      <c r="AU666" s="6">
        <v>1.99</v>
      </c>
      <c r="AV666" s="6">
        <v>1.55</v>
      </c>
      <c r="AW666" s="6">
        <v>273.93</v>
      </c>
      <c r="AX666" s="6">
        <v>79.7</v>
      </c>
      <c r="AY666" s="6">
        <v>228.25</v>
      </c>
      <c r="AZ666" s="6">
        <v>13</v>
      </c>
      <c r="BA666" s="6">
        <v>43.2</v>
      </c>
    </row>
    <row r="667" spans="1:53" x14ac:dyDescent="0.3">
      <c r="A667" s="6">
        <v>341096660</v>
      </c>
      <c r="B667" s="6">
        <v>728038</v>
      </c>
      <c r="C667" s="6">
        <v>1463060</v>
      </c>
      <c r="D667" s="6">
        <v>7287</v>
      </c>
      <c r="E667" s="6" t="s">
        <v>57</v>
      </c>
      <c r="F667" s="6">
        <v>50646</v>
      </c>
      <c r="G667" s="6" t="s">
        <v>149</v>
      </c>
      <c r="H667" s="10">
        <v>45972</v>
      </c>
      <c r="I667" s="10">
        <v>45972</v>
      </c>
      <c r="J667" s="4">
        <v>45972.361111111109</v>
      </c>
      <c r="K667" s="4">
        <v>45972.726678240739</v>
      </c>
      <c r="L667" s="11">
        <v>45972.719039351854</v>
      </c>
      <c r="M667" s="10">
        <v>45972</v>
      </c>
      <c r="N667" s="6" t="s">
        <v>129</v>
      </c>
      <c r="O667" t="s">
        <v>162</v>
      </c>
      <c r="P667" s="6" t="s">
        <v>170</v>
      </c>
      <c r="Q667" t="s">
        <v>221</v>
      </c>
      <c r="R667" t="s">
        <v>62</v>
      </c>
      <c r="S667" s="6">
        <v>731856</v>
      </c>
      <c r="T667" s="6" t="s">
        <v>111</v>
      </c>
      <c r="U667">
        <v>402</v>
      </c>
      <c r="V667" s="6">
        <v>18.899999999999999</v>
      </c>
      <c r="W667" s="6">
        <v>14.1</v>
      </c>
      <c r="X667" s="6">
        <v>407.1</v>
      </c>
      <c r="Y667" s="6">
        <v>440.1</v>
      </c>
      <c r="Z667" s="6" t="s">
        <v>63</v>
      </c>
      <c r="AA667" t="s">
        <v>720</v>
      </c>
      <c r="AB667" s="6" t="s">
        <v>97</v>
      </c>
      <c r="AC667" t="s">
        <v>66</v>
      </c>
      <c r="AD667" t="s">
        <v>67</v>
      </c>
      <c r="AE667">
        <v>-11</v>
      </c>
      <c r="AF667">
        <v>0</v>
      </c>
      <c r="AG667">
        <v>0</v>
      </c>
      <c r="AH667" s="6">
        <v>58.9</v>
      </c>
      <c r="AI667" s="6">
        <v>0</v>
      </c>
      <c r="AJ667" s="6">
        <v>0.62</v>
      </c>
      <c r="AK667" s="6">
        <v>0.63400000000000001</v>
      </c>
      <c r="AL667" s="8">
        <v>6428.6</v>
      </c>
      <c r="AM667" s="6" t="s">
        <v>114</v>
      </c>
      <c r="AN667" s="6">
        <v>1</v>
      </c>
      <c r="AO667" s="6">
        <v>1</v>
      </c>
      <c r="AP667" s="6">
        <v>0</v>
      </c>
      <c r="AQ667" s="6">
        <v>1</v>
      </c>
      <c r="AR667" s="6">
        <v>0</v>
      </c>
      <c r="AS667" s="6">
        <v>1</v>
      </c>
      <c r="AT667" s="6">
        <v>0</v>
      </c>
      <c r="AU667" s="6">
        <v>2.15</v>
      </c>
      <c r="AV667" s="6">
        <v>1.49</v>
      </c>
      <c r="AW667" s="6">
        <v>300.81</v>
      </c>
      <c r="AX667" s="6">
        <v>44.5</v>
      </c>
      <c r="AY667" s="6">
        <v>268.14</v>
      </c>
      <c r="AZ667" s="6">
        <v>13.6</v>
      </c>
      <c r="BA667" s="6">
        <v>43</v>
      </c>
    </row>
    <row r="668" spans="1:53" x14ac:dyDescent="0.3">
      <c r="A668" s="6">
        <v>130266145</v>
      </c>
      <c r="B668" s="6">
        <v>816751</v>
      </c>
      <c r="C668" s="6">
        <v>3011363</v>
      </c>
      <c r="D668" s="6">
        <v>9996</v>
      </c>
      <c r="E668" s="6" t="s">
        <v>185</v>
      </c>
      <c r="F668" s="6">
        <v>56144</v>
      </c>
      <c r="G668" s="6" t="s">
        <v>149</v>
      </c>
      <c r="H668" s="10">
        <v>45801</v>
      </c>
      <c r="I668" s="10">
        <v>45801</v>
      </c>
      <c r="J668" s="4">
        <v>45801.739583333336</v>
      </c>
      <c r="K668" s="4">
        <v>45801.802083333336</v>
      </c>
      <c r="L668" s="11">
        <v>45801.79791666667</v>
      </c>
      <c r="M668" s="10">
        <v>45801</v>
      </c>
      <c r="N668" s="6" t="s">
        <v>150</v>
      </c>
      <c r="O668" t="s">
        <v>265</v>
      </c>
      <c r="P668" s="6" t="s">
        <v>170</v>
      </c>
      <c r="Q668" t="s">
        <v>221</v>
      </c>
      <c r="R668" t="s">
        <v>62</v>
      </c>
      <c r="S668" s="6">
        <v>769048</v>
      </c>
      <c r="T668" s="6" t="s">
        <v>3</v>
      </c>
      <c r="U668">
        <v>72</v>
      </c>
      <c r="V668" s="6">
        <v>34</v>
      </c>
      <c r="W668" s="6">
        <v>7</v>
      </c>
      <c r="X668" s="6">
        <v>81.900000000000006</v>
      </c>
      <c r="Y668" s="6">
        <v>122.9</v>
      </c>
      <c r="Z668" s="6" t="s">
        <v>63</v>
      </c>
      <c r="AA668" t="s">
        <v>633</v>
      </c>
      <c r="AB668" s="6" t="s">
        <v>90</v>
      </c>
      <c r="AC668" t="s">
        <v>76</v>
      </c>
      <c r="AD668" t="s">
        <v>67</v>
      </c>
      <c r="AE668">
        <v>-6</v>
      </c>
      <c r="AF668">
        <v>0</v>
      </c>
      <c r="AG668">
        <v>0</v>
      </c>
      <c r="AH668" s="6">
        <v>32.6</v>
      </c>
      <c r="AI668" s="6">
        <v>0</v>
      </c>
      <c r="AJ668" s="6">
        <v>0.71099999999999997</v>
      </c>
      <c r="AK668" s="6">
        <v>0.65400000000000003</v>
      </c>
      <c r="AL668" s="8">
        <v>7614.86</v>
      </c>
      <c r="AM668" s="6" t="s">
        <v>114</v>
      </c>
      <c r="AN668" s="6">
        <v>1</v>
      </c>
      <c r="AO668" s="6">
        <v>1</v>
      </c>
      <c r="AP668" s="6">
        <v>0</v>
      </c>
      <c r="AQ668" s="6">
        <v>1</v>
      </c>
      <c r="AR668" s="6">
        <v>0</v>
      </c>
      <c r="AS668" s="6">
        <v>1</v>
      </c>
      <c r="AT668" s="6">
        <v>0</v>
      </c>
      <c r="AU668" s="6">
        <v>2.33</v>
      </c>
      <c r="AV668" s="6">
        <v>1.63</v>
      </c>
      <c r="AW668" s="6">
        <v>99.66</v>
      </c>
      <c r="AX668" s="6">
        <v>26.97</v>
      </c>
      <c r="AY668" s="6">
        <v>82.39</v>
      </c>
      <c r="AZ668" s="6">
        <v>13.3</v>
      </c>
      <c r="BA668" s="6">
        <v>39.6</v>
      </c>
    </row>
    <row r="669" spans="1:53" x14ac:dyDescent="0.3">
      <c r="A669" s="6">
        <v>442185272</v>
      </c>
      <c r="B669" s="6">
        <v>172933</v>
      </c>
      <c r="C669" s="6">
        <v>8096887</v>
      </c>
      <c r="D669" s="6">
        <v>9684</v>
      </c>
      <c r="E669" s="6" t="s">
        <v>101</v>
      </c>
      <c r="F669" s="6">
        <v>54656</v>
      </c>
      <c r="G669" s="6" t="s">
        <v>146</v>
      </c>
      <c r="H669" s="10">
        <v>45659</v>
      </c>
      <c r="I669" s="10">
        <v>45659</v>
      </c>
      <c r="J669" s="4">
        <v>45659.670138888891</v>
      </c>
      <c r="K669" s="4">
        <v>45659.851018518515</v>
      </c>
      <c r="L669" s="11">
        <v>45659.854490740741</v>
      </c>
      <c r="M669" s="10">
        <v>45659</v>
      </c>
      <c r="N669" s="6" t="s">
        <v>200</v>
      </c>
      <c r="O669" t="s">
        <v>171</v>
      </c>
      <c r="P669" s="6" t="s">
        <v>200</v>
      </c>
      <c r="Q669" t="s">
        <v>275</v>
      </c>
      <c r="R669" t="s">
        <v>62</v>
      </c>
      <c r="S669" s="6">
        <v>725966</v>
      </c>
      <c r="T669" s="6" t="s">
        <v>1</v>
      </c>
      <c r="U669">
        <v>253</v>
      </c>
      <c r="V669" s="6">
        <v>12.8</v>
      </c>
      <c r="W669" s="6">
        <v>30.6</v>
      </c>
      <c r="X669" s="6">
        <v>256</v>
      </c>
      <c r="Y669" s="6">
        <v>299.39999999999998</v>
      </c>
      <c r="Z669" s="6" t="s">
        <v>63</v>
      </c>
      <c r="AA669" t="s">
        <v>721</v>
      </c>
      <c r="AB669" s="6" t="s">
        <v>90</v>
      </c>
      <c r="AC669" t="s">
        <v>137</v>
      </c>
      <c r="AD669" t="s">
        <v>67</v>
      </c>
      <c r="AE669">
        <v>5</v>
      </c>
      <c r="AF669">
        <v>0</v>
      </c>
      <c r="AG669">
        <v>0</v>
      </c>
      <c r="AH669" s="6">
        <v>7.2</v>
      </c>
      <c r="AI669" s="6">
        <v>0</v>
      </c>
      <c r="AJ669" s="6">
        <v>0.77100000000000002</v>
      </c>
      <c r="AK669" s="6">
        <v>0.502</v>
      </c>
      <c r="AL669" s="8">
        <v>112704.28</v>
      </c>
      <c r="AM669" s="6" t="s">
        <v>155</v>
      </c>
      <c r="AN669" s="6">
        <v>1</v>
      </c>
      <c r="AO669" s="6">
        <v>1</v>
      </c>
      <c r="AP669" s="6">
        <v>0</v>
      </c>
      <c r="AQ669" s="6">
        <v>1</v>
      </c>
      <c r="AR669" s="6">
        <v>0</v>
      </c>
      <c r="AS669" s="6">
        <v>1</v>
      </c>
      <c r="AT669" s="6">
        <v>0</v>
      </c>
      <c r="AU669" s="6">
        <v>2.2999999999999998</v>
      </c>
      <c r="AV669" s="6">
        <v>1.34</v>
      </c>
      <c r="AW669" s="6">
        <v>227.73</v>
      </c>
      <c r="AX669" s="6">
        <v>61.68</v>
      </c>
      <c r="AY669" s="6">
        <v>145.06</v>
      </c>
      <c r="AZ669" s="6">
        <v>12.2</v>
      </c>
      <c r="BA669" s="6">
        <v>34.799999999999997</v>
      </c>
    </row>
    <row r="670" spans="1:53" x14ac:dyDescent="0.3">
      <c r="A670" s="6">
        <v>206389694</v>
      </c>
      <c r="B670" s="6">
        <v>905635</v>
      </c>
      <c r="C670" s="6">
        <v>2677407</v>
      </c>
      <c r="D670" s="6">
        <v>3790</v>
      </c>
      <c r="E670" s="6" t="s">
        <v>106</v>
      </c>
      <c r="F670" s="6">
        <v>58904</v>
      </c>
      <c r="G670" s="6" t="s">
        <v>102</v>
      </c>
      <c r="H670" s="10">
        <v>45757</v>
      </c>
      <c r="I670" s="10">
        <v>45757</v>
      </c>
      <c r="J670" s="4">
        <v>45757.395833333336</v>
      </c>
      <c r="K670" s="4">
        <v>45757.703750000001</v>
      </c>
      <c r="L670" s="11">
        <v>45757.696111111109</v>
      </c>
      <c r="M670" s="10">
        <v>45757</v>
      </c>
      <c r="N670" s="6" t="s">
        <v>103</v>
      </c>
      <c r="O670" t="s">
        <v>232</v>
      </c>
      <c r="P670" s="6" t="s">
        <v>103</v>
      </c>
      <c r="Q670" t="s">
        <v>99</v>
      </c>
      <c r="R670" t="s">
        <v>73</v>
      </c>
      <c r="S670" s="6">
        <v>783084</v>
      </c>
      <c r="T670" s="6" t="s">
        <v>111</v>
      </c>
      <c r="U670">
        <v>314</v>
      </c>
      <c r="V670" s="6">
        <v>42.4</v>
      </c>
      <c r="W670" s="6">
        <v>12.4</v>
      </c>
      <c r="X670" s="6">
        <v>317.89999999999998</v>
      </c>
      <c r="Y670" s="6">
        <v>372.7</v>
      </c>
      <c r="Z670" s="6" t="s">
        <v>63</v>
      </c>
      <c r="AA670" t="s">
        <v>722</v>
      </c>
      <c r="AB670" s="6" t="s">
        <v>97</v>
      </c>
      <c r="AC670" t="s">
        <v>137</v>
      </c>
      <c r="AD670" t="s">
        <v>67</v>
      </c>
      <c r="AE670">
        <v>-11</v>
      </c>
      <c r="AF670">
        <v>0</v>
      </c>
      <c r="AG670">
        <v>0</v>
      </c>
      <c r="AH670" s="6">
        <v>18.3</v>
      </c>
      <c r="AI670" s="6">
        <v>0</v>
      </c>
      <c r="AJ670" s="6">
        <v>0.69599999999999995</v>
      </c>
      <c r="AK670" s="6">
        <v>0.35299999999999998</v>
      </c>
      <c r="AL670" s="8">
        <v>5714.27</v>
      </c>
      <c r="AM670" s="6" t="s">
        <v>68</v>
      </c>
      <c r="AN670" s="6">
        <v>1</v>
      </c>
      <c r="AO670" s="6">
        <v>1</v>
      </c>
      <c r="AP670" s="6">
        <v>0</v>
      </c>
      <c r="AQ670" s="6">
        <v>1</v>
      </c>
      <c r="AR670" s="6">
        <v>0</v>
      </c>
      <c r="AS670" s="6">
        <v>1</v>
      </c>
      <c r="AT670" s="6">
        <v>0</v>
      </c>
      <c r="AU670" s="6">
        <v>2.59</v>
      </c>
      <c r="AV670" s="6">
        <v>1.56</v>
      </c>
      <c r="AW670" s="6">
        <v>327.82</v>
      </c>
      <c r="AX670" s="6">
        <v>38.340000000000003</v>
      </c>
      <c r="AY670" s="6">
        <v>244.44</v>
      </c>
      <c r="AZ670" s="6">
        <v>27.7</v>
      </c>
      <c r="BA670" s="6">
        <v>18.8</v>
      </c>
    </row>
    <row r="671" spans="1:53" x14ac:dyDescent="0.3">
      <c r="A671" s="6">
        <v>867407868</v>
      </c>
      <c r="B671" s="6">
        <v>514850</v>
      </c>
      <c r="C671" s="6">
        <v>3253031</v>
      </c>
      <c r="D671" s="6">
        <v>6450</v>
      </c>
      <c r="E671" s="6" t="s">
        <v>101</v>
      </c>
      <c r="F671" s="6">
        <v>50537</v>
      </c>
      <c r="G671" s="6" t="s">
        <v>175</v>
      </c>
      <c r="H671" s="10">
        <v>45876</v>
      </c>
      <c r="I671" s="10">
        <v>45876</v>
      </c>
      <c r="J671" s="4">
        <v>45876.385416666664</v>
      </c>
      <c r="K671" s="4">
        <v>45876.639502314814</v>
      </c>
      <c r="L671" s="11">
        <v>45876.64644675926</v>
      </c>
      <c r="M671" s="10">
        <v>45876</v>
      </c>
      <c r="N671" s="6" t="s">
        <v>132</v>
      </c>
      <c r="O671" t="s">
        <v>328</v>
      </c>
      <c r="P671" s="6" t="s">
        <v>116</v>
      </c>
      <c r="Q671" t="s">
        <v>117</v>
      </c>
      <c r="R671" t="s">
        <v>123</v>
      </c>
      <c r="S671" s="6">
        <v>742039</v>
      </c>
      <c r="T671" s="6" t="s">
        <v>1</v>
      </c>
      <c r="U671">
        <v>281</v>
      </c>
      <c r="V671" s="6">
        <v>24.8</v>
      </c>
      <c r="W671" s="6">
        <v>10.3</v>
      </c>
      <c r="X671" s="6">
        <v>288.2</v>
      </c>
      <c r="Y671" s="6">
        <v>323.3</v>
      </c>
      <c r="Z671" s="6" t="s">
        <v>63</v>
      </c>
      <c r="AA671" t="s">
        <v>688</v>
      </c>
      <c r="AB671" s="6" t="s">
        <v>97</v>
      </c>
      <c r="AC671" t="s">
        <v>137</v>
      </c>
      <c r="AD671" t="s">
        <v>67</v>
      </c>
      <c r="AE671">
        <v>10</v>
      </c>
      <c r="AF671">
        <v>0</v>
      </c>
      <c r="AG671">
        <v>0</v>
      </c>
      <c r="AH671" s="6">
        <v>40.1</v>
      </c>
      <c r="AI671" s="6">
        <v>0</v>
      </c>
      <c r="AJ671" s="6">
        <v>0.77700000000000002</v>
      </c>
      <c r="AK671" s="6">
        <v>0.79300000000000004</v>
      </c>
      <c r="AL671" s="8">
        <v>3350.97</v>
      </c>
      <c r="AM671" s="6" t="s">
        <v>68</v>
      </c>
      <c r="AN671" s="6">
        <v>1</v>
      </c>
      <c r="AO671" s="6">
        <v>1</v>
      </c>
      <c r="AP671" s="6">
        <v>0</v>
      </c>
      <c r="AQ671" s="6">
        <v>1</v>
      </c>
      <c r="AR671" s="6">
        <v>0</v>
      </c>
      <c r="AS671" s="6">
        <v>1</v>
      </c>
      <c r="AT671" s="6">
        <v>0</v>
      </c>
      <c r="AU671" s="6">
        <v>2.4300000000000002</v>
      </c>
      <c r="AV671" s="6">
        <v>1.82</v>
      </c>
      <c r="AW671" s="6">
        <v>228.09</v>
      </c>
      <c r="AX671" s="6">
        <v>47.15</v>
      </c>
      <c r="AY671" s="6">
        <v>166.04</v>
      </c>
      <c r="AZ671" s="6">
        <v>0.1</v>
      </c>
      <c r="BA671" s="6">
        <v>71.099999999999994</v>
      </c>
    </row>
    <row r="672" spans="1:53" x14ac:dyDescent="0.3">
      <c r="A672" s="6">
        <v>797889971</v>
      </c>
      <c r="B672" s="6">
        <v>946335</v>
      </c>
      <c r="C672" s="6">
        <v>1247595</v>
      </c>
      <c r="D672" s="6">
        <v>6675</v>
      </c>
      <c r="E672" s="6" t="s">
        <v>84</v>
      </c>
      <c r="F672" s="6">
        <v>56572</v>
      </c>
      <c r="G672" s="6" t="s">
        <v>127</v>
      </c>
      <c r="H672" s="10">
        <v>45949</v>
      </c>
      <c r="I672" s="10">
        <v>45949</v>
      </c>
      <c r="J672" s="4">
        <v>45949.545138888891</v>
      </c>
      <c r="K672" s="4">
        <v>45949.607638888891</v>
      </c>
      <c r="L672" s="11">
        <v>45949.751388888886</v>
      </c>
      <c r="M672" s="10">
        <v>45949</v>
      </c>
      <c r="N672" s="6" t="s">
        <v>129</v>
      </c>
      <c r="O672" t="s">
        <v>162</v>
      </c>
      <c r="P672" s="6" t="s">
        <v>129</v>
      </c>
      <c r="Q672" t="s">
        <v>157</v>
      </c>
      <c r="R672" t="s">
        <v>123</v>
      </c>
      <c r="S672" s="6">
        <v>739365</v>
      </c>
      <c r="T672" s="6" t="s">
        <v>3</v>
      </c>
      <c r="U672">
        <v>59</v>
      </c>
      <c r="V672" s="6">
        <v>38.1</v>
      </c>
      <c r="W672" s="6">
        <v>30.7</v>
      </c>
      <c r="X672" s="6">
        <v>56.4</v>
      </c>
      <c r="Y672" s="6">
        <v>125.2</v>
      </c>
      <c r="Z672" s="6" t="s">
        <v>63</v>
      </c>
      <c r="AA672" t="s">
        <v>163</v>
      </c>
      <c r="AB672" s="6" t="s">
        <v>75</v>
      </c>
      <c r="AC672" t="s">
        <v>91</v>
      </c>
      <c r="AD672" t="s">
        <v>206</v>
      </c>
      <c r="AE672">
        <v>207</v>
      </c>
      <c r="AF672">
        <v>263</v>
      </c>
      <c r="AG672">
        <v>0</v>
      </c>
      <c r="AH672" s="6">
        <v>66.099999999999994</v>
      </c>
      <c r="AI672" s="6">
        <v>0</v>
      </c>
      <c r="AJ672" s="6">
        <v>0.82499999999999996</v>
      </c>
      <c r="AK672" s="6">
        <v>0.54800000000000004</v>
      </c>
      <c r="AL672" s="8">
        <v>15223.37</v>
      </c>
      <c r="AM672" s="6" t="s">
        <v>114</v>
      </c>
      <c r="AN672" s="6">
        <v>1</v>
      </c>
      <c r="AO672" s="6">
        <v>0</v>
      </c>
      <c r="AP672" s="6">
        <v>1</v>
      </c>
      <c r="AQ672" s="6">
        <v>0</v>
      </c>
      <c r="AR672" s="6">
        <v>1</v>
      </c>
      <c r="AS672" s="6">
        <v>0</v>
      </c>
      <c r="AT672" s="6">
        <v>1</v>
      </c>
      <c r="AU672" s="6">
        <v>2.0299999999999998</v>
      </c>
      <c r="AV672" s="6">
        <v>1.37</v>
      </c>
      <c r="AW672" s="6">
        <v>91.34</v>
      </c>
      <c r="AX672" s="6">
        <v>22.85</v>
      </c>
      <c r="AY672" s="6">
        <v>85.06</v>
      </c>
      <c r="AZ672" s="6">
        <v>32.6</v>
      </c>
      <c r="BA672" s="6">
        <v>5.3</v>
      </c>
    </row>
    <row r="673" spans="1:53" x14ac:dyDescent="0.3">
      <c r="A673" s="6">
        <v>460015275</v>
      </c>
      <c r="B673" s="6">
        <v>982554</v>
      </c>
      <c r="C673" s="6">
        <v>4740036</v>
      </c>
      <c r="D673" s="6">
        <v>3976</v>
      </c>
      <c r="E673" s="6" t="s">
        <v>84</v>
      </c>
      <c r="F673" s="6">
        <v>50234</v>
      </c>
      <c r="G673" s="6" t="s">
        <v>203</v>
      </c>
      <c r="H673" s="10">
        <v>45706</v>
      </c>
      <c r="I673" s="10">
        <v>45706</v>
      </c>
      <c r="J673" s="4">
        <v>45706.378472222219</v>
      </c>
      <c r="K673" s="4">
        <v>45706.613923611112</v>
      </c>
      <c r="L673" s="11">
        <v>45706.599340277775</v>
      </c>
      <c r="M673" s="10">
        <v>45706</v>
      </c>
      <c r="N673" s="6" t="s">
        <v>86</v>
      </c>
      <c r="O673" t="s">
        <v>108</v>
      </c>
      <c r="P673" s="6" t="s">
        <v>170</v>
      </c>
      <c r="Q673" t="s">
        <v>189</v>
      </c>
      <c r="R673" t="s">
        <v>62</v>
      </c>
      <c r="S673" s="6">
        <v>743829</v>
      </c>
      <c r="T673" s="6" t="s">
        <v>111</v>
      </c>
      <c r="U673">
        <v>306</v>
      </c>
      <c r="V673" s="6">
        <v>22.6</v>
      </c>
      <c r="W673" s="6">
        <v>26.7</v>
      </c>
      <c r="X673" s="6">
        <v>298.39999999999998</v>
      </c>
      <c r="Y673" s="6">
        <v>347.7</v>
      </c>
      <c r="Z673" s="6" t="s">
        <v>63</v>
      </c>
      <c r="AA673" t="s">
        <v>723</v>
      </c>
      <c r="AB673" s="6" t="s">
        <v>97</v>
      </c>
      <c r="AC673" t="s">
        <v>66</v>
      </c>
      <c r="AD673" t="s">
        <v>67</v>
      </c>
      <c r="AE673">
        <v>-21</v>
      </c>
      <c r="AF673">
        <v>0</v>
      </c>
      <c r="AG673">
        <v>0</v>
      </c>
      <c r="AH673" s="6">
        <v>46.5</v>
      </c>
      <c r="AI673" s="6">
        <v>0</v>
      </c>
      <c r="AJ673" s="6">
        <v>0.499</v>
      </c>
      <c r="AK673" s="6">
        <v>0.65400000000000003</v>
      </c>
      <c r="AL673" s="8">
        <v>5493.2</v>
      </c>
      <c r="AM673" s="6" t="s">
        <v>68</v>
      </c>
      <c r="AN673" s="6">
        <v>1</v>
      </c>
      <c r="AO673" s="6">
        <v>1</v>
      </c>
      <c r="AP673" s="6">
        <v>0</v>
      </c>
      <c r="AQ673" s="6">
        <v>1</v>
      </c>
      <c r="AR673" s="6">
        <v>0</v>
      </c>
      <c r="AS673" s="6">
        <v>1</v>
      </c>
      <c r="AT673" s="6">
        <v>0</v>
      </c>
      <c r="AU673" s="6">
        <v>1.87</v>
      </c>
      <c r="AV673" s="6">
        <v>1.5</v>
      </c>
      <c r="AW673" s="6">
        <v>270.64999999999998</v>
      </c>
      <c r="AX673" s="6">
        <v>44.84</v>
      </c>
      <c r="AY673" s="6">
        <v>224.66</v>
      </c>
      <c r="AZ673" s="6">
        <v>44.5</v>
      </c>
      <c r="BA673" s="6">
        <v>26.1</v>
      </c>
    </row>
    <row r="674" spans="1:53" x14ac:dyDescent="0.3">
      <c r="A674" s="6">
        <v>949738493</v>
      </c>
      <c r="B674" s="6">
        <v>983794</v>
      </c>
      <c r="C674" s="6">
        <v>8688755</v>
      </c>
      <c r="D674" s="6">
        <v>1863</v>
      </c>
      <c r="E674" s="6" t="s">
        <v>57</v>
      </c>
      <c r="F674" s="6">
        <v>59696</v>
      </c>
      <c r="G674" s="6" t="s">
        <v>127</v>
      </c>
      <c r="H674" s="10">
        <v>45698</v>
      </c>
      <c r="I674" s="10">
        <v>45698</v>
      </c>
      <c r="J674" s="4">
        <v>45698.628472222219</v>
      </c>
      <c r="K674" s="4">
        <v>45699.063518518517</v>
      </c>
      <c r="L674" s="11">
        <v>45699.057962962965</v>
      </c>
      <c r="M674" s="10">
        <v>45699</v>
      </c>
      <c r="N674" s="6" t="s">
        <v>200</v>
      </c>
      <c r="O674" t="s">
        <v>275</v>
      </c>
      <c r="P674" s="6" t="s">
        <v>109</v>
      </c>
      <c r="Q674" t="s">
        <v>198</v>
      </c>
      <c r="R674" t="s">
        <v>88</v>
      </c>
      <c r="S674" s="6">
        <v>701092</v>
      </c>
      <c r="T674" s="6" t="s">
        <v>111</v>
      </c>
      <c r="U674">
        <v>470</v>
      </c>
      <c r="V674" s="6">
        <v>34.1</v>
      </c>
      <c r="W674" s="6">
        <v>29.4</v>
      </c>
      <c r="X674" s="6">
        <v>469.5</v>
      </c>
      <c r="Y674" s="6">
        <v>533</v>
      </c>
      <c r="Z674" s="6" t="s">
        <v>63</v>
      </c>
      <c r="AA674" t="s">
        <v>724</v>
      </c>
      <c r="AB674" s="6" t="s">
        <v>90</v>
      </c>
      <c r="AC674" t="s">
        <v>83</v>
      </c>
      <c r="AD674" t="s">
        <v>67</v>
      </c>
      <c r="AE674">
        <v>-8</v>
      </c>
      <c r="AF674">
        <v>0</v>
      </c>
      <c r="AG674">
        <v>0</v>
      </c>
      <c r="AH674" s="6">
        <v>65</v>
      </c>
      <c r="AI674" s="6">
        <v>0</v>
      </c>
      <c r="AJ674" s="6">
        <v>0.49099999999999999</v>
      </c>
      <c r="AK674" s="6">
        <v>0.502</v>
      </c>
      <c r="AL674" s="8">
        <v>5237.8599999999997</v>
      </c>
      <c r="AM674" s="6" t="s">
        <v>68</v>
      </c>
      <c r="AN674" s="6">
        <v>1</v>
      </c>
      <c r="AO674" s="6">
        <v>1</v>
      </c>
      <c r="AP674" s="6">
        <v>0</v>
      </c>
      <c r="AQ674" s="6">
        <v>1</v>
      </c>
      <c r="AR674" s="6">
        <v>0</v>
      </c>
      <c r="AS674" s="6">
        <v>1</v>
      </c>
      <c r="AT674" s="6">
        <v>0</v>
      </c>
      <c r="AU674" s="6">
        <v>2.16</v>
      </c>
      <c r="AV674" s="6">
        <v>1.58</v>
      </c>
      <c r="AW674" s="6">
        <v>404.02</v>
      </c>
      <c r="AX674" s="6">
        <v>62.44</v>
      </c>
      <c r="AY674" s="6">
        <v>314.24</v>
      </c>
      <c r="AZ674" s="6">
        <v>22.3</v>
      </c>
      <c r="BA674" s="6">
        <v>37.799999999999997</v>
      </c>
    </row>
    <row r="675" spans="1:53" x14ac:dyDescent="0.3">
      <c r="A675" s="6">
        <v>256819248</v>
      </c>
      <c r="B675" s="6">
        <v>148050</v>
      </c>
      <c r="C675" s="6">
        <v>9164991</v>
      </c>
      <c r="D675" s="6">
        <v>8208</v>
      </c>
      <c r="E675" s="6" t="s">
        <v>106</v>
      </c>
      <c r="F675" s="6">
        <v>56539</v>
      </c>
      <c r="G675" s="6" t="s">
        <v>77</v>
      </c>
      <c r="H675" s="10">
        <v>45994</v>
      </c>
      <c r="I675" s="10">
        <v>45994</v>
      </c>
      <c r="J675" s="4">
        <v>45994.625</v>
      </c>
      <c r="K675" s="4">
        <v>45994.6875</v>
      </c>
      <c r="L675" s="11">
        <v>45994.669444444444</v>
      </c>
      <c r="M675" s="10">
        <v>45994</v>
      </c>
      <c r="N675" s="6" t="s">
        <v>70</v>
      </c>
      <c r="O675" t="s">
        <v>72</v>
      </c>
      <c r="P675" s="6" t="s">
        <v>103</v>
      </c>
      <c r="Q675" t="s">
        <v>99</v>
      </c>
      <c r="R675" t="s">
        <v>73</v>
      </c>
      <c r="S675" s="6">
        <v>732275</v>
      </c>
      <c r="T675" s="6" t="s">
        <v>3</v>
      </c>
      <c r="U675">
        <v>53</v>
      </c>
      <c r="V675" s="6">
        <v>3.4</v>
      </c>
      <c r="W675" s="6">
        <v>9.5</v>
      </c>
      <c r="X675" s="6">
        <v>48.4</v>
      </c>
      <c r="Y675" s="6">
        <v>61.3</v>
      </c>
      <c r="Z675" s="6" t="s">
        <v>63</v>
      </c>
      <c r="AA675" t="s">
        <v>725</v>
      </c>
      <c r="AB675" s="6" t="s">
        <v>90</v>
      </c>
      <c r="AC675" t="s">
        <v>125</v>
      </c>
      <c r="AD675" t="s">
        <v>67</v>
      </c>
      <c r="AE675">
        <v>-26</v>
      </c>
      <c r="AF675">
        <v>0</v>
      </c>
      <c r="AG675">
        <v>0.7</v>
      </c>
      <c r="AH675" s="6">
        <v>31.7</v>
      </c>
      <c r="AI675" s="6">
        <v>0</v>
      </c>
      <c r="AJ675" s="6">
        <v>0.67300000000000004</v>
      </c>
      <c r="AK675" s="6">
        <v>0.442</v>
      </c>
      <c r="AL675" s="8">
        <v>5282.15</v>
      </c>
      <c r="AM675" s="6" t="s">
        <v>68</v>
      </c>
      <c r="AN675" s="6">
        <v>1</v>
      </c>
      <c r="AO675" s="6">
        <v>1</v>
      </c>
      <c r="AP675" s="6">
        <v>0</v>
      </c>
      <c r="AQ675" s="6">
        <v>1</v>
      </c>
      <c r="AR675" s="6">
        <v>0</v>
      </c>
      <c r="AS675" s="6">
        <v>1</v>
      </c>
      <c r="AT675" s="6">
        <v>0</v>
      </c>
      <c r="AU675" s="6">
        <v>2.1800000000000002</v>
      </c>
      <c r="AV675" s="6">
        <v>1.72</v>
      </c>
      <c r="AW675" s="6">
        <v>48.08</v>
      </c>
      <c r="AX675" s="6">
        <v>10.76</v>
      </c>
      <c r="AY675" s="6">
        <v>41.51</v>
      </c>
      <c r="AZ675" s="6">
        <v>2.2000000000000002</v>
      </c>
      <c r="BA675" s="6">
        <v>19.899999999999999</v>
      </c>
    </row>
    <row r="676" spans="1:53" x14ac:dyDescent="0.3">
      <c r="A676" s="6">
        <v>247746438</v>
      </c>
      <c r="B676" s="6">
        <v>731262</v>
      </c>
      <c r="C676" s="6">
        <v>4594297</v>
      </c>
      <c r="D676" s="6">
        <v>3558</v>
      </c>
      <c r="E676" s="6" t="s">
        <v>126</v>
      </c>
      <c r="F676" s="6">
        <v>51374</v>
      </c>
      <c r="G676" s="6" t="s">
        <v>115</v>
      </c>
      <c r="H676" s="10">
        <v>45932</v>
      </c>
      <c r="I676" s="10">
        <v>45932</v>
      </c>
      <c r="J676" s="4">
        <v>45932.378472222219</v>
      </c>
      <c r="K676" s="4">
        <v>45932.756435185183</v>
      </c>
      <c r="L676" s="11">
        <v>45932.792546296296</v>
      </c>
      <c r="M676" s="10">
        <v>45932</v>
      </c>
      <c r="N676" s="6" t="s">
        <v>109</v>
      </c>
      <c r="O676" t="s">
        <v>118</v>
      </c>
      <c r="P676" s="6" t="s">
        <v>129</v>
      </c>
      <c r="Q676" t="s">
        <v>156</v>
      </c>
      <c r="R676" t="s">
        <v>123</v>
      </c>
      <c r="S676" s="6">
        <v>728157</v>
      </c>
      <c r="T676" s="6" t="s">
        <v>111</v>
      </c>
      <c r="U676">
        <v>313</v>
      </c>
      <c r="V676" s="6">
        <v>37.200000000000003</v>
      </c>
      <c r="W676" s="6">
        <v>35.5</v>
      </c>
      <c r="X676" s="6">
        <v>313.5</v>
      </c>
      <c r="Y676" s="6">
        <v>386.2</v>
      </c>
      <c r="Z676" s="6" t="s">
        <v>2</v>
      </c>
      <c r="AA676" t="s">
        <v>726</v>
      </c>
      <c r="AB676" s="6" t="s">
        <v>97</v>
      </c>
      <c r="AC676" t="s">
        <v>137</v>
      </c>
      <c r="AD676" t="s">
        <v>192</v>
      </c>
      <c r="AE676">
        <v>52</v>
      </c>
      <c r="AF676">
        <v>0</v>
      </c>
      <c r="AG676">
        <v>0</v>
      </c>
      <c r="AH676" s="6">
        <v>67</v>
      </c>
      <c r="AI676" s="6">
        <v>0</v>
      </c>
      <c r="AJ676" s="6">
        <v>0.628</v>
      </c>
      <c r="AK676" s="6">
        <v>0.432</v>
      </c>
      <c r="AL676" s="8">
        <v>3981.99</v>
      </c>
      <c r="AM676" s="6" t="s">
        <v>68</v>
      </c>
      <c r="AN676" s="6">
        <v>1</v>
      </c>
      <c r="AO676" s="6">
        <v>0</v>
      </c>
      <c r="AP676" s="6">
        <v>1</v>
      </c>
      <c r="AQ676" s="6">
        <v>0</v>
      </c>
      <c r="AR676" s="6">
        <v>1</v>
      </c>
      <c r="AS676" s="6">
        <v>0</v>
      </c>
      <c r="AT676" s="6">
        <v>1</v>
      </c>
      <c r="AU676" s="6">
        <v>2.37</v>
      </c>
      <c r="AV676" s="6">
        <v>1.52</v>
      </c>
      <c r="AW676" s="6">
        <v>275.60000000000002</v>
      </c>
      <c r="AX676" s="6">
        <v>80.489999999999995</v>
      </c>
      <c r="AY676" s="6">
        <v>253.32</v>
      </c>
      <c r="AZ676" s="6">
        <v>10</v>
      </c>
      <c r="BA676" s="6">
        <v>88.9</v>
      </c>
    </row>
    <row r="677" spans="1:53" x14ac:dyDescent="0.3">
      <c r="A677" s="6">
        <v>141127742</v>
      </c>
      <c r="B677" s="6">
        <v>946335</v>
      </c>
      <c r="C677" s="6">
        <v>1247595</v>
      </c>
      <c r="D677" s="6">
        <v>6675</v>
      </c>
      <c r="E677" s="6" t="s">
        <v>84</v>
      </c>
      <c r="F677" s="6">
        <v>51909</v>
      </c>
      <c r="G677" s="6" t="s">
        <v>115</v>
      </c>
      <c r="H677" s="10">
        <v>45873</v>
      </c>
      <c r="I677" s="10">
        <v>45873</v>
      </c>
      <c r="J677" s="4">
        <v>45873.451388888891</v>
      </c>
      <c r="K677" s="4">
        <v>45873.845925925925</v>
      </c>
      <c r="L677" s="11">
        <v>45873.816064814811</v>
      </c>
      <c r="M677" s="10">
        <v>45873</v>
      </c>
      <c r="N677" s="6" t="s">
        <v>93</v>
      </c>
      <c r="O677" t="s">
        <v>95</v>
      </c>
      <c r="P677" s="6" t="s">
        <v>116</v>
      </c>
      <c r="Q677" t="s">
        <v>251</v>
      </c>
      <c r="R677" t="s">
        <v>123</v>
      </c>
      <c r="S677" s="6">
        <v>720446</v>
      </c>
      <c r="T677" s="6" t="s">
        <v>111</v>
      </c>
      <c r="U677">
        <v>435</v>
      </c>
      <c r="V677" s="6">
        <v>22.1</v>
      </c>
      <c r="W677" s="6">
        <v>0.2</v>
      </c>
      <c r="X677" s="6">
        <v>436.5</v>
      </c>
      <c r="Y677" s="6">
        <v>458.8</v>
      </c>
      <c r="Z677" s="6" t="s">
        <v>63</v>
      </c>
      <c r="AA677" t="s">
        <v>727</v>
      </c>
      <c r="AB677" s="6" t="s">
        <v>75</v>
      </c>
      <c r="AC677" t="s">
        <v>83</v>
      </c>
      <c r="AD677" t="s">
        <v>67</v>
      </c>
      <c r="AE677">
        <v>-43</v>
      </c>
      <c r="AF677">
        <v>34</v>
      </c>
      <c r="AG677">
        <v>0</v>
      </c>
      <c r="AH677" s="6">
        <v>91.5</v>
      </c>
      <c r="AI677" s="6">
        <v>0</v>
      </c>
      <c r="AJ677" s="6">
        <v>0.66400000000000003</v>
      </c>
      <c r="AK677" s="6">
        <v>0.32900000000000001</v>
      </c>
      <c r="AL677" s="8">
        <v>19288.77</v>
      </c>
      <c r="AM677" s="6" t="s">
        <v>114</v>
      </c>
      <c r="AN677" s="6">
        <v>1</v>
      </c>
      <c r="AO677" s="6">
        <v>1</v>
      </c>
      <c r="AP677" s="6">
        <v>0</v>
      </c>
      <c r="AQ677" s="6">
        <v>1</v>
      </c>
      <c r="AR677" s="6">
        <v>0</v>
      </c>
      <c r="AS677" s="6">
        <v>1</v>
      </c>
      <c r="AT677" s="6">
        <v>0</v>
      </c>
      <c r="AU677" s="6">
        <v>2.41</v>
      </c>
      <c r="AV677" s="6">
        <v>1.49</v>
      </c>
      <c r="AW677" s="6">
        <v>307.39999999999998</v>
      </c>
      <c r="AX677" s="6">
        <v>98.49</v>
      </c>
      <c r="AY677" s="6">
        <v>303.82</v>
      </c>
      <c r="AZ677" s="6">
        <v>32.6</v>
      </c>
      <c r="BA677" s="6">
        <v>19.100000000000001</v>
      </c>
    </row>
    <row r="678" spans="1:53" x14ac:dyDescent="0.3">
      <c r="A678" s="6">
        <v>408034406</v>
      </c>
      <c r="B678" s="6">
        <v>653306</v>
      </c>
      <c r="C678" s="6">
        <v>6188935</v>
      </c>
      <c r="D678" s="6">
        <v>7944</v>
      </c>
      <c r="E678" s="6" t="s">
        <v>84</v>
      </c>
      <c r="F678" s="6">
        <v>59107</v>
      </c>
      <c r="G678" s="6" t="s">
        <v>164</v>
      </c>
      <c r="H678" s="10">
        <v>45938</v>
      </c>
      <c r="I678" s="10">
        <v>45938</v>
      </c>
      <c r="J678" s="4">
        <v>45938.736111111109</v>
      </c>
      <c r="K678" s="4">
        <v>45938.9846412037</v>
      </c>
      <c r="L678" s="11">
        <v>45938.968668981484</v>
      </c>
      <c r="M678" s="10">
        <v>45938</v>
      </c>
      <c r="N678" s="6" t="s">
        <v>129</v>
      </c>
      <c r="O678" t="s">
        <v>241</v>
      </c>
      <c r="P678" s="6" t="s">
        <v>116</v>
      </c>
      <c r="Q678" t="s">
        <v>251</v>
      </c>
      <c r="R678" t="s">
        <v>123</v>
      </c>
      <c r="S678" s="6">
        <v>778005</v>
      </c>
      <c r="T678" s="6" t="s">
        <v>1</v>
      </c>
      <c r="U678">
        <v>294</v>
      </c>
      <c r="V678" s="6">
        <v>41.8</v>
      </c>
      <c r="W678" s="6">
        <v>30</v>
      </c>
      <c r="X678" s="6">
        <v>291.10000000000002</v>
      </c>
      <c r="Y678" s="6">
        <v>362.9</v>
      </c>
      <c r="Z678" s="6" t="s">
        <v>2</v>
      </c>
      <c r="AA678" t="s">
        <v>330</v>
      </c>
      <c r="AB678" s="6" t="s">
        <v>90</v>
      </c>
      <c r="AC678" t="s">
        <v>125</v>
      </c>
      <c r="AD678" t="s">
        <v>67</v>
      </c>
      <c r="AE678">
        <v>-23</v>
      </c>
      <c r="AF678">
        <v>0</v>
      </c>
      <c r="AG678">
        <v>0</v>
      </c>
      <c r="AH678" s="6">
        <v>53.9</v>
      </c>
      <c r="AI678" s="6">
        <v>0</v>
      </c>
      <c r="AJ678" s="6">
        <v>0.81899999999999995</v>
      </c>
      <c r="AK678" s="6">
        <v>0.83499999999999996</v>
      </c>
      <c r="AL678" s="8">
        <v>1589.9</v>
      </c>
      <c r="AM678" s="6" t="s">
        <v>68</v>
      </c>
      <c r="AN678" s="6">
        <v>1</v>
      </c>
      <c r="AO678" s="6">
        <v>1</v>
      </c>
      <c r="AP678" s="6">
        <v>0</v>
      </c>
      <c r="AQ678" s="6">
        <v>1</v>
      </c>
      <c r="AR678" s="6">
        <v>0</v>
      </c>
      <c r="AS678" s="6">
        <v>1</v>
      </c>
      <c r="AT678" s="6">
        <v>0</v>
      </c>
      <c r="AU678" s="6">
        <v>2.02</v>
      </c>
      <c r="AV678" s="6">
        <v>1.34</v>
      </c>
      <c r="AW678" s="6">
        <v>312.45</v>
      </c>
      <c r="AX678" s="6">
        <v>36.74</v>
      </c>
      <c r="AY678" s="6">
        <v>199.46</v>
      </c>
      <c r="AZ678" s="6">
        <v>23.9</v>
      </c>
      <c r="BA678" s="6">
        <v>71.7</v>
      </c>
    </row>
    <row r="679" spans="1:53" x14ac:dyDescent="0.3">
      <c r="A679" s="6">
        <v>990949719</v>
      </c>
      <c r="B679" s="6">
        <v>705397</v>
      </c>
      <c r="C679" s="6">
        <v>5449368</v>
      </c>
      <c r="D679" s="6">
        <v>5859</v>
      </c>
      <c r="E679" s="6" t="s">
        <v>84</v>
      </c>
      <c r="F679" s="6">
        <v>57218</v>
      </c>
      <c r="G679" s="6" t="s">
        <v>164</v>
      </c>
      <c r="H679" s="10">
        <v>45814</v>
      </c>
      <c r="I679" s="10">
        <v>45814</v>
      </c>
      <c r="J679" s="4">
        <v>45814.298611111109</v>
      </c>
      <c r="K679" s="4">
        <v>45814.745000000003</v>
      </c>
      <c r="L679" s="11">
        <v>45814.737361111111</v>
      </c>
      <c r="M679" s="10">
        <v>45814</v>
      </c>
      <c r="N679" s="6" t="s">
        <v>129</v>
      </c>
      <c r="O679" t="s">
        <v>162</v>
      </c>
      <c r="P679" s="6" t="s">
        <v>132</v>
      </c>
      <c r="Q679" t="s">
        <v>229</v>
      </c>
      <c r="R679" t="s">
        <v>62</v>
      </c>
      <c r="S679" s="6">
        <v>719112</v>
      </c>
      <c r="T679" s="6" t="s">
        <v>111</v>
      </c>
      <c r="U679">
        <v>494</v>
      </c>
      <c r="V679" s="6">
        <v>17.5</v>
      </c>
      <c r="W679" s="6">
        <v>23.8</v>
      </c>
      <c r="X679" s="6">
        <v>489.7</v>
      </c>
      <c r="Y679" s="6">
        <v>531</v>
      </c>
      <c r="Z679" s="6" t="s">
        <v>2</v>
      </c>
      <c r="AA679" t="s">
        <v>728</v>
      </c>
      <c r="AB679" s="6" t="s">
        <v>97</v>
      </c>
      <c r="AC679" t="s">
        <v>154</v>
      </c>
      <c r="AD679" t="s">
        <v>67</v>
      </c>
      <c r="AE679">
        <v>-11</v>
      </c>
      <c r="AF679">
        <v>0</v>
      </c>
      <c r="AG679">
        <v>0</v>
      </c>
      <c r="AH679" s="6">
        <v>52</v>
      </c>
      <c r="AI679" s="6">
        <v>0</v>
      </c>
      <c r="AJ679" s="6">
        <v>0.56399999999999995</v>
      </c>
      <c r="AK679" s="6">
        <v>0.46600000000000003</v>
      </c>
      <c r="AL679" s="8">
        <v>5073.24</v>
      </c>
      <c r="AM679" s="6" t="s">
        <v>68</v>
      </c>
      <c r="AN679" s="6">
        <v>1</v>
      </c>
      <c r="AO679" s="6">
        <v>1</v>
      </c>
      <c r="AP679" s="6">
        <v>0</v>
      </c>
      <c r="AQ679" s="6">
        <v>1</v>
      </c>
      <c r="AR679" s="6">
        <v>0</v>
      </c>
      <c r="AS679" s="6">
        <v>1</v>
      </c>
      <c r="AT679" s="6">
        <v>0</v>
      </c>
      <c r="AU679" s="6">
        <v>2.27</v>
      </c>
      <c r="AV679" s="6">
        <v>1.45</v>
      </c>
      <c r="AW679" s="6">
        <v>335.48</v>
      </c>
      <c r="AX679" s="6">
        <v>108.82</v>
      </c>
      <c r="AY679" s="6">
        <v>333.82</v>
      </c>
      <c r="AZ679" s="6">
        <v>11.4</v>
      </c>
      <c r="BA679" s="6">
        <v>39.1</v>
      </c>
    </row>
    <row r="680" spans="1:53" x14ac:dyDescent="0.3">
      <c r="A680" s="6">
        <v>607294618</v>
      </c>
      <c r="B680" s="6">
        <v>325772</v>
      </c>
      <c r="C680" s="6">
        <v>9997381</v>
      </c>
      <c r="D680" s="6">
        <v>8099</v>
      </c>
      <c r="E680" s="6" t="s">
        <v>211</v>
      </c>
      <c r="F680" s="6">
        <v>50080</v>
      </c>
      <c r="G680" s="6" t="s">
        <v>203</v>
      </c>
      <c r="H680" s="10">
        <v>45934</v>
      </c>
      <c r="I680" s="10">
        <v>45934</v>
      </c>
      <c r="J680" s="4">
        <v>45934.652777777781</v>
      </c>
      <c r="K680" s="4">
        <v>45934.937442129631</v>
      </c>
      <c r="L680" s="11">
        <v>45934.952719907407</v>
      </c>
      <c r="M680" s="10">
        <v>45934</v>
      </c>
      <c r="N680" s="6" t="s">
        <v>121</v>
      </c>
      <c r="O680" t="s">
        <v>143</v>
      </c>
      <c r="P680" s="6" t="s">
        <v>109</v>
      </c>
      <c r="Q680" t="s">
        <v>118</v>
      </c>
      <c r="R680" t="s">
        <v>88</v>
      </c>
      <c r="S680" s="6">
        <v>726712</v>
      </c>
      <c r="T680" s="6" t="s">
        <v>1</v>
      </c>
      <c r="U680">
        <v>310</v>
      </c>
      <c r="V680" s="6">
        <v>53.4</v>
      </c>
      <c r="W680" s="6">
        <v>18.8</v>
      </c>
      <c r="X680" s="6">
        <v>297.10000000000002</v>
      </c>
      <c r="Y680" s="6">
        <v>369.3</v>
      </c>
      <c r="Z680" s="6" t="s">
        <v>2</v>
      </c>
      <c r="AA680" t="s">
        <v>476</v>
      </c>
      <c r="AB680" s="6" t="s">
        <v>90</v>
      </c>
      <c r="AC680" t="s">
        <v>76</v>
      </c>
      <c r="AD680" t="s">
        <v>67</v>
      </c>
      <c r="AE680">
        <v>22</v>
      </c>
      <c r="AF680">
        <v>0</v>
      </c>
      <c r="AG680">
        <v>0</v>
      </c>
      <c r="AH680" s="6">
        <v>36.200000000000003</v>
      </c>
      <c r="AI680" s="6">
        <v>0</v>
      </c>
      <c r="AJ680" s="6">
        <v>0.54900000000000004</v>
      </c>
      <c r="AK680" s="6">
        <v>0.622</v>
      </c>
      <c r="AL680" s="8">
        <v>10922.12</v>
      </c>
      <c r="AM680" s="6" t="s">
        <v>114</v>
      </c>
      <c r="AN680" s="6">
        <v>1</v>
      </c>
      <c r="AO680" s="6">
        <v>0</v>
      </c>
      <c r="AP680" s="6">
        <v>1</v>
      </c>
      <c r="AQ680" s="6">
        <v>0</v>
      </c>
      <c r="AR680" s="6">
        <v>1</v>
      </c>
      <c r="AS680" s="6">
        <v>0</v>
      </c>
      <c r="AT680" s="6">
        <v>1</v>
      </c>
      <c r="AU680" s="6">
        <v>1.94</v>
      </c>
      <c r="AV680" s="6">
        <v>1.39</v>
      </c>
      <c r="AW680" s="6">
        <v>269.93</v>
      </c>
      <c r="AX680" s="6">
        <v>61.78</v>
      </c>
      <c r="AY680" s="6">
        <v>189.77</v>
      </c>
      <c r="AZ680" s="6">
        <v>4.7</v>
      </c>
      <c r="BA680" s="6">
        <v>23</v>
      </c>
    </row>
    <row r="681" spans="1:53" x14ac:dyDescent="0.3">
      <c r="A681" s="6">
        <v>847401602</v>
      </c>
      <c r="B681" s="6">
        <v>497887</v>
      </c>
      <c r="C681" s="6">
        <v>5456272</v>
      </c>
      <c r="D681" s="6">
        <v>5488</v>
      </c>
      <c r="E681" s="6" t="s">
        <v>225</v>
      </c>
      <c r="F681" s="6">
        <v>52083</v>
      </c>
      <c r="G681" s="6" t="s">
        <v>127</v>
      </c>
      <c r="H681" s="10">
        <v>45793</v>
      </c>
      <c r="I681" s="10">
        <v>45793</v>
      </c>
      <c r="J681" s="4">
        <v>45793.034722222219</v>
      </c>
      <c r="K681" s="4">
        <v>45793.250648148147</v>
      </c>
      <c r="L681" s="11">
        <v>45793.244398148148</v>
      </c>
      <c r="M681" s="10">
        <v>45793</v>
      </c>
      <c r="N681" s="6" t="s">
        <v>93</v>
      </c>
      <c r="O681" t="s">
        <v>290</v>
      </c>
      <c r="P681" s="6" t="s">
        <v>200</v>
      </c>
      <c r="Q681" t="s">
        <v>201</v>
      </c>
      <c r="R681" t="s">
        <v>62</v>
      </c>
      <c r="S681" s="6">
        <v>774588</v>
      </c>
      <c r="T681" s="6" t="s">
        <v>1</v>
      </c>
      <c r="U681">
        <v>291</v>
      </c>
      <c r="V681" s="6">
        <v>31.6</v>
      </c>
      <c r="W681" s="6">
        <v>16</v>
      </c>
      <c r="X681" s="6">
        <v>290</v>
      </c>
      <c r="Y681" s="6">
        <v>337.6</v>
      </c>
      <c r="Z681" s="6" t="s">
        <v>2</v>
      </c>
      <c r="AA681" t="s">
        <v>496</v>
      </c>
      <c r="AB681" s="6" t="s">
        <v>82</v>
      </c>
      <c r="AC681" t="s">
        <v>154</v>
      </c>
      <c r="AD681" t="s">
        <v>67</v>
      </c>
      <c r="AE681">
        <v>-9</v>
      </c>
      <c r="AF681">
        <v>0</v>
      </c>
      <c r="AG681">
        <v>0</v>
      </c>
      <c r="AH681" s="6">
        <v>43.9</v>
      </c>
      <c r="AI681" s="6">
        <v>0</v>
      </c>
      <c r="AJ681" s="6">
        <v>0.437</v>
      </c>
      <c r="AK681" s="6">
        <v>0.66300000000000003</v>
      </c>
      <c r="AL681" s="8">
        <v>7326.95</v>
      </c>
      <c r="AM681" s="6" t="s">
        <v>114</v>
      </c>
      <c r="AN681" s="6">
        <v>1</v>
      </c>
      <c r="AO681" s="6">
        <v>1</v>
      </c>
      <c r="AP681" s="6">
        <v>0</v>
      </c>
      <c r="AQ681" s="6">
        <v>1</v>
      </c>
      <c r="AR681" s="6">
        <v>0</v>
      </c>
      <c r="AS681" s="6">
        <v>1</v>
      </c>
      <c r="AT681" s="6">
        <v>0</v>
      </c>
      <c r="AU681" s="6">
        <v>2.21</v>
      </c>
      <c r="AV681" s="6">
        <v>1.64</v>
      </c>
      <c r="AW681" s="6">
        <v>218.16</v>
      </c>
      <c r="AX681" s="6">
        <v>43.39</v>
      </c>
      <c r="AY681" s="6">
        <v>228.56</v>
      </c>
      <c r="AZ681" s="6">
        <v>34.9</v>
      </c>
      <c r="BA681" s="6">
        <v>62.9</v>
      </c>
    </row>
    <row r="682" spans="1:53" x14ac:dyDescent="0.3">
      <c r="A682" s="6">
        <v>992398092</v>
      </c>
      <c r="B682" s="6">
        <v>705397</v>
      </c>
      <c r="C682" s="6">
        <v>5449368</v>
      </c>
      <c r="D682" s="6">
        <v>5859</v>
      </c>
      <c r="E682" s="6" t="s">
        <v>84</v>
      </c>
      <c r="F682" s="6">
        <v>51690</v>
      </c>
      <c r="G682" s="6" t="s">
        <v>77</v>
      </c>
      <c r="H682" s="10">
        <v>45747</v>
      </c>
      <c r="I682" s="10">
        <v>45747</v>
      </c>
      <c r="J682" s="4">
        <v>45747.5625</v>
      </c>
      <c r="K682" s="4">
        <v>45747.656585648147</v>
      </c>
      <c r="L682" s="11">
        <v>45747.646863425929</v>
      </c>
      <c r="M682" s="10">
        <v>45747</v>
      </c>
      <c r="N682" s="6" t="s">
        <v>116</v>
      </c>
      <c r="O682" t="s">
        <v>139</v>
      </c>
      <c r="P682" s="6" t="s">
        <v>134</v>
      </c>
      <c r="Q682" t="s">
        <v>282</v>
      </c>
      <c r="R682" t="s">
        <v>73</v>
      </c>
      <c r="S682" s="6">
        <v>724967</v>
      </c>
      <c r="T682" s="6" t="s">
        <v>1</v>
      </c>
      <c r="U682">
        <v>105</v>
      </c>
      <c r="V682" s="6">
        <v>5.7</v>
      </c>
      <c r="W682" s="6">
        <v>3.5</v>
      </c>
      <c r="X682" s="6">
        <v>102.4</v>
      </c>
      <c r="Y682" s="6">
        <v>111.6</v>
      </c>
      <c r="Z682" s="6" t="s">
        <v>2</v>
      </c>
      <c r="AA682" t="s">
        <v>729</v>
      </c>
      <c r="AB682" s="6" t="s">
        <v>75</v>
      </c>
      <c r="AC682" t="s">
        <v>83</v>
      </c>
      <c r="AD682" t="s">
        <v>67</v>
      </c>
      <c r="AE682">
        <v>-14</v>
      </c>
      <c r="AF682">
        <v>0</v>
      </c>
      <c r="AG682">
        <v>0</v>
      </c>
      <c r="AH682" s="6">
        <v>56.6</v>
      </c>
      <c r="AI682" s="6">
        <v>0</v>
      </c>
      <c r="AJ682" s="6">
        <v>0.72799999999999998</v>
      </c>
      <c r="AK682" s="6">
        <v>0.77500000000000002</v>
      </c>
      <c r="AL682" s="8">
        <v>17643.04</v>
      </c>
      <c r="AM682" s="6" t="s">
        <v>114</v>
      </c>
      <c r="AN682" s="6">
        <v>1</v>
      </c>
      <c r="AO682" s="6">
        <v>1</v>
      </c>
      <c r="AP682" s="6">
        <v>0</v>
      </c>
      <c r="AQ682" s="6">
        <v>1</v>
      </c>
      <c r="AR682" s="6">
        <v>0</v>
      </c>
      <c r="AS682" s="6">
        <v>1</v>
      </c>
      <c r="AT682" s="6">
        <v>0</v>
      </c>
      <c r="AU682" s="6">
        <v>2.29</v>
      </c>
      <c r="AV682" s="6">
        <v>1.53</v>
      </c>
      <c r="AW682" s="6">
        <v>93.84</v>
      </c>
      <c r="AX682" s="6">
        <v>19.420000000000002</v>
      </c>
      <c r="AY682" s="6">
        <v>67.680000000000007</v>
      </c>
      <c r="AZ682" s="6">
        <v>11.4</v>
      </c>
      <c r="BA682" s="6">
        <v>32.200000000000003</v>
      </c>
    </row>
    <row r="683" spans="1:53" x14ac:dyDescent="0.3">
      <c r="A683" s="6">
        <v>249027517</v>
      </c>
      <c r="B683" s="6">
        <v>246316</v>
      </c>
      <c r="C683" s="6">
        <v>1352896</v>
      </c>
      <c r="D683" s="6">
        <v>5426</v>
      </c>
      <c r="E683" s="6" t="s">
        <v>185</v>
      </c>
      <c r="F683" s="6">
        <v>50756</v>
      </c>
      <c r="G683" s="6" t="s">
        <v>115</v>
      </c>
      <c r="H683" s="10">
        <v>45924</v>
      </c>
      <c r="I683" s="10">
        <v>45924</v>
      </c>
      <c r="J683" s="4">
        <v>45924.298611111109</v>
      </c>
      <c r="K683" s="4">
        <v>45924.481805555559</v>
      </c>
      <c r="L683" s="11">
        <v>45924.467916666668</v>
      </c>
      <c r="M683" s="10">
        <v>45924</v>
      </c>
      <c r="N683" s="6" t="s">
        <v>116</v>
      </c>
      <c r="O683" t="s">
        <v>139</v>
      </c>
      <c r="P683" s="6" t="s">
        <v>59</v>
      </c>
      <c r="Q683" t="s">
        <v>85</v>
      </c>
      <c r="R683" t="s">
        <v>62</v>
      </c>
      <c r="S683" s="6">
        <v>732749</v>
      </c>
      <c r="T683" s="6" t="s">
        <v>1</v>
      </c>
      <c r="U683">
        <v>186</v>
      </c>
      <c r="V683" s="6">
        <v>42.3</v>
      </c>
      <c r="W683" s="6">
        <v>10.1</v>
      </c>
      <c r="X683" s="6">
        <v>183.8</v>
      </c>
      <c r="Y683" s="6">
        <v>236.2</v>
      </c>
      <c r="Z683" s="6" t="s">
        <v>63</v>
      </c>
      <c r="AA683" t="s">
        <v>246</v>
      </c>
      <c r="AB683" s="6" t="s">
        <v>97</v>
      </c>
      <c r="AC683" t="s">
        <v>125</v>
      </c>
      <c r="AD683" t="s">
        <v>67</v>
      </c>
      <c r="AE683">
        <v>-20</v>
      </c>
      <c r="AF683">
        <v>0</v>
      </c>
      <c r="AG683">
        <v>0</v>
      </c>
      <c r="AH683" s="6">
        <v>59.8</v>
      </c>
      <c r="AI683" s="6">
        <v>0</v>
      </c>
      <c r="AJ683" s="6">
        <v>0.55900000000000005</v>
      </c>
      <c r="AK683" s="6">
        <v>0.76400000000000001</v>
      </c>
      <c r="AL683" s="8">
        <v>1196.1400000000001</v>
      </c>
      <c r="AM683" s="6" t="s">
        <v>68</v>
      </c>
      <c r="AN683" s="6">
        <v>1</v>
      </c>
      <c r="AO683" s="6">
        <v>1</v>
      </c>
      <c r="AP683" s="6">
        <v>0</v>
      </c>
      <c r="AQ683" s="6">
        <v>1</v>
      </c>
      <c r="AR683" s="6">
        <v>0</v>
      </c>
      <c r="AS683" s="6">
        <v>1</v>
      </c>
      <c r="AT683" s="6">
        <v>0</v>
      </c>
      <c r="AU683" s="6">
        <v>2.34</v>
      </c>
      <c r="AV683" s="6">
        <v>1.4</v>
      </c>
      <c r="AW683" s="6">
        <v>172.34</v>
      </c>
      <c r="AX683" s="6">
        <v>51.84</v>
      </c>
      <c r="AY683" s="6">
        <v>160.13999999999999</v>
      </c>
      <c r="AZ683" s="6">
        <v>28.1</v>
      </c>
      <c r="BA683" s="6">
        <v>14.8</v>
      </c>
    </row>
    <row r="684" spans="1:53" x14ac:dyDescent="0.3">
      <c r="A684" s="6">
        <v>914799481</v>
      </c>
      <c r="B684" s="6">
        <v>301629</v>
      </c>
      <c r="C684" s="6">
        <v>8633773</v>
      </c>
      <c r="D684" s="6">
        <v>7331</v>
      </c>
      <c r="E684" s="6" t="s">
        <v>84</v>
      </c>
      <c r="F684" s="6">
        <v>52670</v>
      </c>
      <c r="G684" s="6" t="s">
        <v>146</v>
      </c>
      <c r="H684" s="10">
        <v>45811</v>
      </c>
      <c r="I684" s="10">
        <v>45811</v>
      </c>
      <c r="J684" s="4">
        <v>45811.746527777781</v>
      </c>
      <c r="K684" s="4">
        <v>45811.95517361111</v>
      </c>
      <c r="L684" s="11">
        <v>45811.937118055554</v>
      </c>
      <c r="M684" s="10">
        <v>45811</v>
      </c>
      <c r="N684" s="6" t="s">
        <v>170</v>
      </c>
      <c r="O684" t="s">
        <v>221</v>
      </c>
      <c r="P684" s="6" t="s">
        <v>86</v>
      </c>
      <c r="Q684" t="s">
        <v>268</v>
      </c>
      <c r="R684" t="s">
        <v>88</v>
      </c>
      <c r="S684" s="6">
        <v>792123</v>
      </c>
      <c r="T684" s="6" t="s">
        <v>1</v>
      </c>
      <c r="U684">
        <v>280</v>
      </c>
      <c r="V684" s="6">
        <v>3</v>
      </c>
      <c r="W684" s="6">
        <v>35.1</v>
      </c>
      <c r="X684" s="6">
        <v>284.39999999999998</v>
      </c>
      <c r="Y684" s="6">
        <v>322.5</v>
      </c>
      <c r="Z684" s="6" t="s">
        <v>112</v>
      </c>
      <c r="AA684" t="s">
        <v>258</v>
      </c>
      <c r="AB684" s="6" t="s">
        <v>90</v>
      </c>
      <c r="AC684" t="s">
        <v>66</v>
      </c>
      <c r="AD684" t="s">
        <v>67</v>
      </c>
      <c r="AE684">
        <v>-26</v>
      </c>
      <c r="AF684">
        <v>0</v>
      </c>
      <c r="AG684">
        <v>0</v>
      </c>
      <c r="AH684" s="6">
        <v>50.1</v>
      </c>
      <c r="AI684" s="6">
        <v>0</v>
      </c>
      <c r="AJ684" s="6">
        <v>0.66</v>
      </c>
      <c r="AK684" s="6">
        <v>0.59099999999999997</v>
      </c>
      <c r="AL684" s="8">
        <v>1424.83</v>
      </c>
      <c r="AM684" s="6" t="s">
        <v>68</v>
      </c>
      <c r="AN684" s="6">
        <v>1</v>
      </c>
      <c r="AO684" s="6">
        <v>1</v>
      </c>
      <c r="AP684" s="6">
        <v>0</v>
      </c>
      <c r="AQ684" s="6">
        <v>1</v>
      </c>
      <c r="AR684" s="6">
        <v>0</v>
      </c>
      <c r="AS684" s="6">
        <v>1</v>
      </c>
      <c r="AT684" s="6">
        <v>0</v>
      </c>
      <c r="AU684" s="6">
        <v>2.06</v>
      </c>
      <c r="AV684" s="6">
        <v>1.21</v>
      </c>
      <c r="AW684" s="6">
        <v>202.86</v>
      </c>
      <c r="AX684" s="6">
        <v>42.94</v>
      </c>
      <c r="AY684" s="6">
        <v>171.14</v>
      </c>
      <c r="AZ684" s="6">
        <v>63.5</v>
      </c>
      <c r="BA684" s="6">
        <v>6.4</v>
      </c>
    </row>
    <row r="685" spans="1:53" x14ac:dyDescent="0.3">
      <c r="A685" s="6">
        <v>857563699</v>
      </c>
      <c r="B685" s="6">
        <v>787277</v>
      </c>
      <c r="C685" s="6">
        <v>6022741</v>
      </c>
      <c r="D685" s="6">
        <v>3693</v>
      </c>
      <c r="E685" s="6" t="s">
        <v>106</v>
      </c>
      <c r="F685" s="6">
        <v>53751</v>
      </c>
      <c r="G685" s="6" t="s">
        <v>203</v>
      </c>
      <c r="H685" s="10">
        <v>46016</v>
      </c>
      <c r="I685" s="10">
        <v>46016</v>
      </c>
      <c r="J685" s="4">
        <v>46016.520833333336</v>
      </c>
      <c r="K685" s="4">
        <v>46016.945821759262</v>
      </c>
      <c r="L685" s="11">
        <v>46016.93540509259</v>
      </c>
      <c r="M685" s="10">
        <v>46016</v>
      </c>
      <c r="N685" s="6" t="s">
        <v>59</v>
      </c>
      <c r="O685" t="s">
        <v>99</v>
      </c>
      <c r="P685" s="6" t="s">
        <v>129</v>
      </c>
      <c r="Q685" t="s">
        <v>241</v>
      </c>
      <c r="R685" t="s">
        <v>123</v>
      </c>
      <c r="S685" s="6">
        <v>794841</v>
      </c>
      <c r="T685" s="6" t="s">
        <v>111</v>
      </c>
      <c r="U685">
        <v>374</v>
      </c>
      <c r="V685" s="6">
        <v>2</v>
      </c>
      <c r="W685" s="6">
        <v>0.8</v>
      </c>
      <c r="X685" s="6">
        <v>385.8</v>
      </c>
      <c r="Y685" s="6">
        <v>388.6</v>
      </c>
      <c r="Z685" s="6" t="s">
        <v>63</v>
      </c>
      <c r="AA685" t="s">
        <v>730</v>
      </c>
      <c r="AB685" s="6" t="s">
        <v>75</v>
      </c>
      <c r="AC685" t="s">
        <v>137</v>
      </c>
      <c r="AD685" t="s">
        <v>67</v>
      </c>
      <c r="AE685">
        <v>-15</v>
      </c>
      <c r="AF685">
        <v>0</v>
      </c>
      <c r="AG685">
        <v>0</v>
      </c>
      <c r="AH685" s="6">
        <v>55.3</v>
      </c>
      <c r="AI685" s="6">
        <v>0</v>
      </c>
      <c r="AJ685" s="6">
        <v>0.66</v>
      </c>
      <c r="AK685" s="6">
        <v>0.69099999999999995</v>
      </c>
      <c r="AL685" s="8">
        <v>1225.07</v>
      </c>
      <c r="AM685" s="6" t="s">
        <v>68</v>
      </c>
      <c r="AN685" s="6">
        <v>1</v>
      </c>
      <c r="AO685" s="6">
        <v>1</v>
      </c>
      <c r="AP685" s="6">
        <v>0</v>
      </c>
      <c r="AQ685" s="6">
        <v>1</v>
      </c>
      <c r="AR685" s="6">
        <v>0</v>
      </c>
      <c r="AS685" s="6">
        <v>1</v>
      </c>
      <c r="AT685" s="6">
        <v>0</v>
      </c>
      <c r="AU685" s="6">
        <v>2.25</v>
      </c>
      <c r="AV685" s="6">
        <v>1.41</v>
      </c>
      <c r="AW685" s="6">
        <v>249.78</v>
      </c>
      <c r="AX685" s="6">
        <v>51.77</v>
      </c>
      <c r="AY685" s="6">
        <v>198.68</v>
      </c>
      <c r="AZ685" s="6">
        <v>3.4</v>
      </c>
      <c r="BA685" s="6">
        <v>0</v>
      </c>
    </row>
    <row r="686" spans="1:53" x14ac:dyDescent="0.3">
      <c r="A686" s="6">
        <v>603703167</v>
      </c>
      <c r="B686" s="6">
        <v>623481</v>
      </c>
      <c r="C686" s="6">
        <v>2737893</v>
      </c>
      <c r="D686" s="6">
        <v>4627</v>
      </c>
      <c r="E686" s="6" t="s">
        <v>101</v>
      </c>
      <c r="F686" s="6">
        <v>58659</v>
      </c>
      <c r="G686" s="6" t="s">
        <v>146</v>
      </c>
      <c r="H686" s="10">
        <v>45785</v>
      </c>
      <c r="I686" s="10">
        <v>45785</v>
      </c>
      <c r="J686" s="4">
        <v>45785.28125</v>
      </c>
      <c r="K686" s="4">
        <v>45785.64439814815</v>
      </c>
      <c r="L686" s="11">
        <v>45785.62773148148</v>
      </c>
      <c r="M686" s="10">
        <v>45785</v>
      </c>
      <c r="N686" s="6" t="s">
        <v>176</v>
      </c>
      <c r="O686" t="s">
        <v>227</v>
      </c>
      <c r="P686" s="6" t="s">
        <v>70</v>
      </c>
      <c r="Q686" t="s">
        <v>72</v>
      </c>
      <c r="R686" t="s">
        <v>73</v>
      </c>
      <c r="S686" s="6">
        <v>715799</v>
      </c>
      <c r="T686" s="6" t="s">
        <v>111</v>
      </c>
      <c r="U686">
        <v>428</v>
      </c>
      <c r="V686" s="6">
        <v>45.2</v>
      </c>
      <c r="W686" s="6">
        <v>17.899999999999999</v>
      </c>
      <c r="X686" s="6">
        <v>425.9</v>
      </c>
      <c r="Y686" s="6">
        <v>489</v>
      </c>
      <c r="Z686" s="6" t="s">
        <v>63</v>
      </c>
      <c r="AA686" t="s">
        <v>731</v>
      </c>
      <c r="AB686" s="6" t="s">
        <v>97</v>
      </c>
      <c r="AC686" t="s">
        <v>137</v>
      </c>
      <c r="AD686" t="s">
        <v>67</v>
      </c>
      <c r="AE686">
        <v>-24</v>
      </c>
      <c r="AF686">
        <v>0</v>
      </c>
      <c r="AG686">
        <v>0</v>
      </c>
      <c r="AH686" s="6">
        <v>50.3</v>
      </c>
      <c r="AI686" s="6">
        <v>0</v>
      </c>
      <c r="AJ686" s="6">
        <v>0.59399999999999997</v>
      </c>
      <c r="AK686" s="6">
        <v>0.318</v>
      </c>
      <c r="AL686" s="8">
        <v>5870.25</v>
      </c>
      <c r="AM686" s="6" t="s">
        <v>68</v>
      </c>
      <c r="AN686" s="6">
        <v>1</v>
      </c>
      <c r="AO686" s="6">
        <v>1</v>
      </c>
      <c r="AP686" s="6">
        <v>0</v>
      </c>
      <c r="AQ686" s="6">
        <v>1</v>
      </c>
      <c r="AR686" s="6">
        <v>0</v>
      </c>
      <c r="AS686" s="6">
        <v>1</v>
      </c>
      <c r="AT686" s="6">
        <v>0</v>
      </c>
      <c r="AU686" s="6">
        <v>2.06</v>
      </c>
      <c r="AV686" s="6">
        <v>1.53</v>
      </c>
      <c r="AW686" s="6">
        <v>332.31</v>
      </c>
      <c r="AX686" s="6">
        <v>89.91</v>
      </c>
      <c r="AY686" s="6">
        <v>315.58</v>
      </c>
      <c r="AZ686" s="6">
        <v>22.3</v>
      </c>
      <c r="BA686" s="6">
        <v>71.7</v>
      </c>
    </row>
    <row r="687" spans="1:53" x14ac:dyDescent="0.3">
      <c r="A687" s="6">
        <v>581682167</v>
      </c>
      <c r="B687" s="6">
        <v>391476</v>
      </c>
      <c r="C687" s="6">
        <v>8999183</v>
      </c>
      <c r="D687" s="6">
        <v>6618</v>
      </c>
      <c r="E687" s="6" t="s">
        <v>92</v>
      </c>
      <c r="F687" s="6">
        <v>55261</v>
      </c>
      <c r="G687" s="6" t="s">
        <v>207</v>
      </c>
      <c r="H687" s="10">
        <v>45994</v>
      </c>
      <c r="I687" s="10">
        <v>45994</v>
      </c>
      <c r="J687" s="4">
        <v>45994.743055555555</v>
      </c>
      <c r="K687" s="4">
        <v>45994.947430555556</v>
      </c>
      <c r="L687" s="11">
        <v>45995.042569444442</v>
      </c>
      <c r="M687" s="10">
        <v>45995</v>
      </c>
      <c r="N687" s="6" t="s">
        <v>134</v>
      </c>
      <c r="O687" t="s">
        <v>172</v>
      </c>
      <c r="P687" s="6" t="s">
        <v>109</v>
      </c>
      <c r="Q687" t="s">
        <v>161</v>
      </c>
      <c r="R687" t="s">
        <v>88</v>
      </c>
      <c r="S687" s="6">
        <v>760341</v>
      </c>
      <c r="T687" s="6" t="s">
        <v>1</v>
      </c>
      <c r="U687">
        <v>235</v>
      </c>
      <c r="V687" s="6">
        <v>28</v>
      </c>
      <c r="W687" s="6">
        <v>13</v>
      </c>
      <c r="X687" s="6">
        <v>237.3</v>
      </c>
      <c r="Y687" s="6">
        <v>278.3</v>
      </c>
      <c r="Z687" s="6" t="s">
        <v>2</v>
      </c>
      <c r="AA687" t="s">
        <v>732</v>
      </c>
      <c r="AB687" s="6" t="s">
        <v>90</v>
      </c>
      <c r="AC687" t="s">
        <v>125</v>
      </c>
      <c r="AD687" t="s">
        <v>206</v>
      </c>
      <c r="AE687">
        <v>137</v>
      </c>
      <c r="AF687">
        <v>141</v>
      </c>
      <c r="AG687">
        <v>0</v>
      </c>
      <c r="AH687" s="6">
        <v>34.700000000000003</v>
      </c>
      <c r="AI687" s="6">
        <v>0</v>
      </c>
      <c r="AJ687" s="6">
        <v>0.70399999999999996</v>
      </c>
      <c r="AK687" s="6">
        <v>0.32100000000000001</v>
      </c>
      <c r="AL687" s="8">
        <v>8431.24</v>
      </c>
      <c r="AM687" s="6" t="s">
        <v>114</v>
      </c>
      <c r="AN687" s="6">
        <v>1</v>
      </c>
      <c r="AO687" s="6">
        <v>0</v>
      </c>
      <c r="AP687" s="6">
        <v>1</v>
      </c>
      <c r="AQ687" s="6">
        <v>0</v>
      </c>
      <c r="AR687" s="6">
        <v>1</v>
      </c>
      <c r="AS687" s="6">
        <v>0</v>
      </c>
      <c r="AT687" s="6">
        <v>1</v>
      </c>
      <c r="AU687" s="6">
        <v>2.33</v>
      </c>
      <c r="AV687" s="6">
        <v>1.46</v>
      </c>
      <c r="AW687" s="6">
        <v>238.25</v>
      </c>
      <c r="AX687" s="6">
        <v>29.27</v>
      </c>
      <c r="AY687" s="6">
        <v>137.47999999999999</v>
      </c>
      <c r="AZ687" s="6">
        <v>51.7</v>
      </c>
      <c r="BA687" s="6">
        <v>41.7</v>
      </c>
    </row>
    <row r="688" spans="1:53" x14ac:dyDescent="0.3">
      <c r="A688" s="6">
        <v>760725160</v>
      </c>
      <c r="B688" s="6">
        <v>864544</v>
      </c>
      <c r="C688" s="6">
        <v>5374922</v>
      </c>
      <c r="D688" s="6">
        <v>8385</v>
      </c>
      <c r="E688" s="6" t="s">
        <v>84</v>
      </c>
      <c r="F688" s="6">
        <v>56852</v>
      </c>
      <c r="G688" s="6" t="s">
        <v>69</v>
      </c>
      <c r="H688" s="10">
        <v>45998</v>
      </c>
      <c r="I688" s="10">
        <v>45998</v>
      </c>
      <c r="J688" s="4">
        <v>45998.208333333336</v>
      </c>
      <c r="K688" s="4">
        <v>45998.569328703707</v>
      </c>
      <c r="L688" s="11">
        <v>45998.569328703707</v>
      </c>
      <c r="M688" s="10">
        <v>45998</v>
      </c>
      <c r="N688" s="6" t="s">
        <v>103</v>
      </c>
      <c r="O688" t="s">
        <v>204</v>
      </c>
      <c r="P688" s="6" t="s">
        <v>170</v>
      </c>
      <c r="Q688" t="s">
        <v>183</v>
      </c>
      <c r="R688" t="s">
        <v>62</v>
      </c>
      <c r="S688" s="6">
        <v>708729</v>
      </c>
      <c r="T688" s="6" t="s">
        <v>111</v>
      </c>
      <c r="U688">
        <v>373</v>
      </c>
      <c r="V688" s="6">
        <v>23.3</v>
      </c>
      <c r="W688" s="6">
        <v>18</v>
      </c>
      <c r="X688" s="6">
        <v>374.5</v>
      </c>
      <c r="Y688" s="6">
        <v>415.8</v>
      </c>
      <c r="Z688" s="6" t="s">
        <v>63</v>
      </c>
      <c r="AA688" t="s">
        <v>733</v>
      </c>
      <c r="AB688" s="6" t="s">
        <v>82</v>
      </c>
      <c r="AC688" t="s">
        <v>91</v>
      </c>
      <c r="AD688" t="s">
        <v>67</v>
      </c>
      <c r="AE688">
        <v>0</v>
      </c>
      <c r="AF688">
        <v>0</v>
      </c>
      <c r="AG688">
        <v>0</v>
      </c>
      <c r="AH688" s="6">
        <v>44.1</v>
      </c>
      <c r="AI688" s="6">
        <v>0</v>
      </c>
      <c r="AJ688" s="6">
        <v>0.73099999999999998</v>
      </c>
      <c r="AK688" s="6">
        <v>0.91700000000000004</v>
      </c>
      <c r="AL688" s="8">
        <v>10316.1</v>
      </c>
      <c r="AM688" s="6" t="s">
        <v>114</v>
      </c>
      <c r="AN688" s="6">
        <v>1</v>
      </c>
      <c r="AO688" s="6">
        <v>1</v>
      </c>
      <c r="AP688" s="6">
        <v>0</v>
      </c>
      <c r="AQ688" s="6">
        <v>1</v>
      </c>
      <c r="AR688" s="6">
        <v>0</v>
      </c>
      <c r="AS688" s="6">
        <v>1</v>
      </c>
      <c r="AT688" s="6">
        <v>0</v>
      </c>
      <c r="AU688" s="6">
        <v>2.08</v>
      </c>
      <c r="AV688" s="6">
        <v>1.62</v>
      </c>
      <c r="AW688" s="6">
        <v>357.49</v>
      </c>
      <c r="AX688" s="6">
        <v>82.52</v>
      </c>
      <c r="AY688" s="6">
        <v>223.93</v>
      </c>
      <c r="AZ688" s="6">
        <v>24.5</v>
      </c>
      <c r="BA688" s="6">
        <v>48.9</v>
      </c>
    </row>
    <row r="689" spans="1:53" x14ac:dyDescent="0.3">
      <c r="A689" s="6">
        <v>105638424</v>
      </c>
      <c r="B689" s="6">
        <v>665492</v>
      </c>
      <c r="C689" s="6">
        <v>5960271</v>
      </c>
      <c r="D689" s="6">
        <v>7015</v>
      </c>
      <c r="E689" s="6" t="s">
        <v>84</v>
      </c>
      <c r="F689" s="6">
        <v>51494</v>
      </c>
      <c r="G689" s="6" t="s">
        <v>175</v>
      </c>
      <c r="H689" s="10">
        <v>45746</v>
      </c>
      <c r="I689" s="10">
        <v>45746</v>
      </c>
      <c r="J689" s="4">
        <v>45746.5</v>
      </c>
      <c r="K689" s="4">
        <v>45746.832094907404</v>
      </c>
      <c r="L689" s="11">
        <v>45746.805706018517</v>
      </c>
      <c r="M689" s="10">
        <v>45746</v>
      </c>
      <c r="N689" s="6" t="s">
        <v>129</v>
      </c>
      <c r="O689" t="s">
        <v>162</v>
      </c>
      <c r="P689" s="6" t="s">
        <v>129</v>
      </c>
      <c r="Q689" t="s">
        <v>162</v>
      </c>
      <c r="R689" t="s">
        <v>123</v>
      </c>
      <c r="S689" s="6">
        <v>739365</v>
      </c>
      <c r="T689" s="6" t="s">
        <v>1</v>
      </c>
      <c r="U689">
        <v>299</v>
      </c>
      <c r="V689" s="6">
        <v>12.9</v>
      </c>
      <c r="W689" s="6">
        <v>9.6999999999999993</v>
      </c>
      <c r="X689" s="6">
        <v>305.8</v>
      </c>
      <c r="Y689" s="6">
        <v>328.4</v>
      </c>
      <c r="Z689" s="6" t="s">
        <v>63</v>
      </c>
      <c r="AA689" t="s">
        <v>734</v>
      </c>
      <c r="AB689" s="6" t="s">
        <v>75</v>
      </c>
      <c r="AC689" t="s">
        <v>91</v>
      </c>
      <c r="AD689" t="s">
        <v>67</v>
      </c>
      <c r="AE689">
        <v>-38</v>
      </c>
      <c r="AF689">
        <v>0</v>
      </c>
      <c r="AG689">
        <v>0</v>
      </c>
      <c r="AH689" s="6">
        <v>66</v>
      </c>
      <c r="AI689" s="6">
        <v>0</v>
      </c>
      <c r="AJ689" s="6">
        <v>0.72399999999999998</v>
      </c>
      <c r="AK689" s="6">
        <v>0.79700000000000004</v>
      </c>
      <c r="AL689" s="8">
        <v>16431.98</v>
      </c>
      <c r="AM689" s="6" t="s">
        <v>114</v>
      </c>
      <c r="AN689" s="6">
        <v>1</v>
      </c>
      <c r="AO689" s="6">
        <v>1</v>
      </c>
      <c r="AP689" s="6">
        <v>0</v>
      </c>
      <c r="AQ689" s="6">
        <v>1</v>
      </c>
      <c r="AR689" s="6">
        <v>0</v>
      </c>
      <c r="AS689" s="6">
        <v>1</v>
      </c>
      <c r="AT689" s="6">
        <v>0</v>
      </c>
      <c r="AU689" s="6">
        <v>2.2200000000000002</v>
      </c>
      <c r="AV689" s="6">
        <v>1.61</v>
      </c>
      <c r="AW689" s="6">
        <v>301.79000000000002</v>
      </c>
      <c r="AX689" s="6">
        <v>58.55</v>
      </c>
      <c r="AY689" s="6">
        <v>229.25</v>
      </c>
      <c r="AZ689" s="6">
        <v>5.6</v>
      </c>
      <c r="BA689" s="6">
        <v>10</v>
      </c>
    </row>
    <row r="690" spans="1:53" x14ac:dyDescent="0.3">
      <c r="A690" s="6">
        <v>185068029</v>
      </c>
      <c r="B690" s="6">
        <v>974628</v>
      </c>
      <c r="C690" s="6">
        <v>3641282</v>
      </c>
      <c r="D690" s="6">
        <v>6892</v>
      </c>
      <c r="E690" s="6" t="s">
        <v>57</v>
      </c>
      <c r="F690" s="6">
        <v>55740</v>
      </c>
      <c r="G690" s="6" t="s">
        <v>164</v>
      </c>
      <c r="H690" s="10">
        <v>45949</v>
      </c>
      <c r="I690" s="10">
        <v>45949</v>
      </c>
      <c r="J690" s="4">
        <v>45949.513888888891</v>
      </c>
      <c r="K690" s="4">
        <v>45949.576388888891</v>
      </c>
      <c r="L690" s="11">
        <v>45949.675694444442</v>
      </c>
      <c r="M690" s="10">
        <v>45949</v>
      </c>
      <c r="N690" s="6" t="s">
        <v>132</v>
      </c>
      <c r="O690" t="s">
        <v>133</v>
      </c>
      <c r="P690" s="6" t="s">
        <v>132</v>
      </c>
      <c r="Q690" t="s">
        <v>181</v>
      </c>
      <c r="R690" t="s">
        <v>62</v>
      </c>
      <c r="S690" s="6">
        <v>711807</v>
      </c>
      <c r="T690" s="6" t="s">
        <v>3</v>
      </c>
      <c r="U690">
        <v>65</v>
      </c>
      <c r="V690" s="6">
        <v>37</v>
      </c>
      <c r="W690" s="6">
        <v>14.8</v>
      </c>
      <c r="X690" s="6">
        <v>59.5</v>
      </c>
      <c r="Y690" s="6">
        <v>111.3</v>
      </c>
      <c r="Z690" s="6" t="s">
        <v>63</v>
      </c>
      <c r="AA690" t="s">
        <v>735</v>
      </c>
      <c r="AB690" s="6" t="s">
        <v>75</v>
      </c>
      <c r="AC690" t="s">
        <v>91</v>
      </c>
      <c r="AD690" t="s">
        <v>206</v>
      </c>
      <c r="AE690">
        <v>143</v>
      </c>
      <c r="AF690">
        <v>207</v>
      </c>
      <c r="AG690">
        <v>0</v>
      </c>
      <c r="AH690" s="6">
        <v>65.8</v>
      </c>
      <c r="AI690" s="6">
        <v>0</v>
      </c>
      <c r="AJ690" s="6">
        <v>0.52200000000000002</v>
      </c>
      <c r="AK690" s="6">
        <v>0.22</v>
      </c>
      <c r="AL690" s="8">
        <v>5081.59</v>
      </c>
      <c r="AM690" s="6" t="s">
        <v>68</v>
      </c>
      <c r="AN690" s="6">
        <v>1</v>
      </c>
      <c r="AO690" s="6">
        <v>0</v>
      </c>
      <c r="AP690" s="6">
        <v>1</v>
      </c>
      <c r="AQ690" s="6">
        <v>0</v>
      </c>
      <c r="AR690" s="6">
        <v>1</v>
      </c>
      <c r="AS690" s="6">
        <v>0</v>
      </c>
      <c r="AT690" s="6">
        <v>1</v>
      </c>
      <c r="AU690" s="6">
        <v>2.0299999999999998</v>
      </c>
      <c r="AV690" s="6">
        <v>1.56</v>
      </c>
      <c r="AW690" s="6">
        <v>77.05</v>
      </c>
      <c r="AX690" s="6">
        <v>22.36</v>
      </c>
      <c r="AY690" s="6">
        <v>56.97</v>
      </c>
      <c r="AZ690" s="6">
        <v>1.4</v>
      </c>
      <c r="BA690" s="6">
        <v>16.600000000000001</v>
      </c>
    </row>
    <row r="691" spans="1:53" x14ac:dyDescent="0.3">
      <c r="A691" s="6">
        <v>120405269</v>
      </c>
      <c r="B691" s="6">
        <v>581741</v>
      </c>
      <c r="C691" s="6">
        <v>3790237</v>
      </c>
      <c r="D691" s="6">
        <v>1995</v>
      </c>
      <c r="E691" s="6" t="s">
        <v>126</v>
      </c>
      <c r="F691" s="6">
        <v>59211</v>
      </c>
      <c r="G691" s="6" t="s">
        <v>77</v>
      </c>
      <c r="H691" s="10">
        <v>45816</v>
      </c>
      <c r="I691" s="10">
        <v>45816</v>
      </c>
      <c r="J691" s="4">
        <v>45816.336805555555</v>
      </c>
      <c r="K691" s="4">
        <v>45816.623564814814</v>
      </c>
      <c r="L691" s="11">
        <v>45816.600648148145</v>
      </c>
      <c r="M691" s="10">
        <v>45816</v>
      </c>
      <c r="N691" s="6" t="s">
        <v>129</v>
      </c>
      <c r="O691" t="s">
        <v>157</v>
      </c>
      <c r="P691" s="6" t="s">
        <v>116</v>
      </c>
      <c r="Q691" t="s">
        <v>212</v>
      </c>
      <c r="R691" t="s">
        <v>123</v>
      </c>
      <c r="S691" s="6">
        <v>778005</v>
      </c>
      <c r="T691" s="6" t="s">
        <v>111</v>
      </c>
      <c r="U691">
        <v>396</v>
      </c>
      <c r="V691" s="6">
        <v>17.100000000000001</v>
      </c>
      <c r="W691" s="6">
        <v>12.5</v>
      </c>
      <c r="X691" s="6">
        <v>390.4</v>
      </c>
      <c r="Y691" s="6">
        <v>420</v>
      </c>
      <c r="Z691" s="6" t="s">
        <v>2</v>
      </c>
      <c r="AA691" t="s">
        <v>736</v>
      </c>
      <c r="AB691" s="6" t="s">
        <v>97</v>
      </c>
      <c r="AC691" t="s">
        <v>91</v>
      </c>
      <c r="AD691" t="s">
        <v>67</v>
      </c>
      <c r="AE691">
        <v>-33</v>
      </c>
      <c r="AF691">
        <v>0</v>
      </c>
      <c r="AG691">
        <v>0</v>
      </c>
      <c r="AH691" s="6">
        <v>43.6</v>
      </c>
      <c r="AI691" s="6">
        <v>0</v>
      </c>
      <c r="AJ691" s="6">
        <v>0.92100000000000004</v>
      </c>
      <c r="AK691" s="6">
        <v>0.67</v>
      </c>
      <c r="AL691" s="8">
        <v>4930.75</v>
      </c>
      <c r="AM691" s="6" t="s">
        <v>68</v>
      </c>
      <c r="AN691" s="6">
        <v>1</v>
      </c>
      <c r="AO691" s="6">
        <v>1</v>
      </c>
      <c r="AP691" s="6">
        <v>0</v>
      </c>
      <c r="AQ691" s="6">
        <v>1</v>
      </c>
      <c r="AR691" s="6">
        <v>0</v>
      </c>
      <c r="AS691" s="6">
        <v>1</v>
      </c>
      <c r="AT691" s="6">
        <v>0</v>
      </c>
      <c r="AU691" s="6">
        <v>2.54</v>
      </c>
      <c r="AV691" s="6">
        <v>1.69</v>
      </c>
      <c r="AW691" s="6">
        <v>268.02</v>
      </c>
      <c r="AX691" s="6">
        <v>53.63</v>
      </c>
      <c r="AY691" s="6">
        <v>239.46</v>
      </c>
      <c r="AZ691" s="6">
        <v>17.5</v>
      </c>
      <c r="BA691" s="6">
        <v>32.200000000000003</v>
      </c>
    </row>
    <row r="692" spans="1:53" x14ac:dyDescent="0.3">
      <c r="A692" s="6">
        <v>374796224</v>
      </c>
      <c r="B692" s="6">
        <v>145561</v>
      </c>
      <c r="C692" s="6">
        <v>2564689</v>
      </c>
      <c r="D692" s="6">
        <v>1161</v>
      </c>
      <c r="E692" s="6" t="s">
        <v>101</v>
      </c>
      <c r="F692" s="6">
        <v>58055</v>
      </c>
      <c r="G692" s="6" t="s">
        <v>102</v>
      </c>
      <c r="H692" s="10">
        <v>45992</v>
      </c>
      <c r="I692" s="10">
        <v>45992</v>
      </c>
      <c r="J692" s="4">
        <v>45992.868055555555</v>
      </c>
      <c r="K692" s="4">
        <v>45992.990891203706</v>
      </c>
      <c r="L692" s="11">
        <v>45992.980474537035</v>
      </c>
      <c r="M692" s="10">
        <v>45992</v>
      </c>
      <c r="N692" s="6" t="s">
        <v>59</v>
      </c>
      <c r="O692" t="s">
        <v>85</v>
      </c>
      <c r="P692" s="6" t="s">
        <v>59</v>
      </c>
      <c r="Q692" t="s">
        <v>85</v>
      </c>
      <c r="R692" t="s">
        <v>62</v>
      </c>
      <c r="S692" s="6">
        <v>797593</v>
      </c>
      <c r="T692" s="6" t="s">
        <v>3</v>
      </c>
      <c r="U692">
        <v>109</v>
      </c>
      <c r="V692" s="6">
        <v>25.6</v>
      </c>
      <c r="W692" s="6">
        <v>0.8</v>
      </c>
      <c r="X692" s="6">
        <v>104.1</v>
      </c>
      <c r="Y692" s="6">
        <v>130.5</v>
      </c>
      <c r="Z692" s="6" t="s">
        <v>63</v>
      </c>
      <c r="AA692" t="s">
        <v>737</v>
      </c>
      <c r="AB692" s="6" t="s">
        <v>65</v>
      </c>
      <c r="AC692" t="s">
        <v>83</v>
      </c>
      <c r="AD692" t="s">
        <v>67</v>
      </c>
      <c r="AE692">
        <v>-15</v>
      </c>
      <c r="AF692">
        <v>0</v>
      </c>
      <c r="AG692">
        <v>0</v>
      </c>
      <c r="AH692" s="6">
        <v>44.8</v>
      </c>
      <c r="AI692" s="6">
        <v>0</v>
      </c>
      <c r="AJ692" s="6">
        <v>0.51700000000000002</v>
      </c>
      <c r="AK692" s="6">
        <v>0.753</v>
      </c>
      <c r="AL692" s="8">
        <v>21624.03</v>
      </c>
      <c r="AM692" s="6" t="s">
        <v>114</v>
      </c>
      <c r="AN692" s="6">
        <v>1</v>
      </c>
      <c r="AO692" s="6">
        <v>1</v>
      </c>
      <c r="AP692" s="6">
        <v>0</v>
      </c>
      <c r="AQ692" s="6">
        <v>1</v>
      </c>
      <c r="AR692" s="6">
        <v>0</v>
      </c>
      <c r="AS692" s="6">
        <v>1</v>
      </c>
      <c r="AT692" s="6">
        <v>0</v>
      </c>
      <c r="AU692" s="6">
        <v>2.35</v>
      </c>
      <c r="AV692" s="6">
        <v>1.87</v>
      </c>
      <c r="AW692" s="6">
        <v>91.99</v>
      </c>
      <c r="AX692" s="6">
        <v>26.32</v>
      </c>
      <c r="AY692" s="6">
        <v>92.26</v>
      </c>
      <c r="AZ692" s="6">
        <v>5.6</v>
      </c>
      <c r="BA692" s="6">
        <v>7.9</v>
      </c>
    </row>
    <row r="693" spans="1:53" x14ac:dyDescent="0.3">
      <c r="A693" s="6">
        <v>331557515</v>
      </c>
      <c r="B693" s="6">
        <v>584714</v>
      </c>
      <c r="C693" s="6">
        <v>5004485</v>
      </c>
      <c r="D693" s="6">
        <v>7938</v>
      </c>
      <c r="E693" s="6" t="s">
        <v>84</v>
      </c>
      <c r="F693" s="6">
        <v>50901</v>
      </c>
      <c r="G693" s="6" t="s">
        <v>127</v>
      </c>
      <c r="H693" s="10">
        <v>45822</v>
      </c>
      <c r="I693" s="10">
        <v>45822</v>
      </c>
      <c r="J693" s="4">
        <v>45822.697916666664</v>
      </c>
      <c r="K693" s="4">
        <v>45822.86482638889</v>
      </c>
      <c r="L693" s="11">
        <v>45822.865520833337</v>
      </c>
      <c r="M693" s="10">
        <v>45822</v>
      </c>
      <c r="N693" s="6" t="s">
        <v>176</v>
      </c>
      <c r="O693" t="s">
        <v>227</v>
      </c>
      <c r="P693" s="6" t="s">
        <v>134</v>
      </c>
      <c r="Q693" t="s">
        <v>282</v>
      </c>
      <c r="R693" t="s">
        <v>73</v>
      </c>
      <c r="S693" s="6">
        <v>785491</v>
      </c>
      <c r="T693" s="6" t="s">
        <v>1</v>
      </c>
      <c r="U693">
        <v>211</v>
      </c>
      <c r="V693" s="6">
        <v>1.7</v>
      </c>
      <c r="W693" s="6">
        <v>42.3</v>
      </c>
      <c r="X693" s="6">
        <v>197.4</v>
      </c>
      <c r="Y693" s="6">
        <v>241.4</v>
      </c>
      <c r="Z693" s="6" t="s">
        <v>63</v>
      </c>
      <c r="AA693" t="s">
        <v>317</v>
      </c>
      <c r="AB693" s="6" t="s">
        <v>90</v>
      </c>
      <c r="AC693" t="s">
        <v>76</v>
      </c>
      <c r="AD693" t="s">
        <v>67</v>
      </c>
      <c r="AE693">
        <v>1</v>
      </c>
      <c r="AF693">
        <v>0</v>
      </c>
      <c r="AG693">
        <v>0</v>
      </c>
      <c r="AH693" s="6">
        <v>29.9</v>
      </c>
      <c r="AI693" s="6">
        <v>0</v>
      </c>
      <c r="AJ693" s="6">
        <v>0.60799999999999998</v>
      </c>
      <c r="AK693" s="6">
        <v>0.63300000000000001</v>
      </c>
      <c r="AL693" s="8">
        <v>11403.33</v>
      </c>
      <c r="AM693" s="6" t="s">
        <v>114</v>
      </c>
      <c r="AN693" s="6">
        <v>1</v>
      </c>
      <c r="AO693" s="6">
        <v>1</v>
      </c>
      <c r="AP693" s="6">
        <v>0</v>
      </c>
      <c r="AQ693" s="6">
        <v>1</v>
      </c>
      <c r="AR693" s="6">
        <v>0</v>
      </c>
      <c r="AS693" s="6">
        <v>1</v>
      </c>
      <c r="AT693" s="6">
        <v>0</v>
      </c>
      <c r="AU693" s="6">
        <v>2.16</v>
      </c>
      <c r="AV693" s="6">
        <v>1.58</v>
      </c>
      <c r="AW693" s="6">
        <v>162.62</v>
      </c>
      <c r="AX693" s="6">
        <v>37.14</v>
      </c>
      <c r="AY693" s="6">
        <v>117.03</v>
      </c>
      <c r="AZ693" s="6">
        <v>0.2</v>
      </c>
      <c r="BA693" s="6">
        <v>52.5</v>
      </c>
    </row>
    <row r="694" spans="1:53" x14ac:dyDescent="0.3">
      <c r="A694" s="6">
        <v>996534803</v>
      </c>
      <c r="B694" s="6">
        <v>854639</v>
      </c>
      <c r="C694" s="6">
        <v>7417985</v>
      </c>
      <c r="D694" s="6">
        <v>3811</v>
      </c>
      <c r="E694" s="6" t="s">
        <v>142</v>
      </c>
      <c r="F694" s="6">
        <v>50672</v>
      </c>
      <c r="G694" s="6" t="s">
        <v>102</v>
      </c>
      <c r="H694" s="10">
        <v>45929</v>
      </c>
      <c r="I694" s="10">
        <v>45929</v>
      </c>
      <c r="J694" s="4">
        <v>45929.173611111109</v>
      </c>
      <c r="K694" s="4">
        <v>45929.482256944444</v>
      </c>
      <c r="L694" s="11">
        <v>45929.475312499999</v>
      </c>
      <c r="M694" s="10">
        <v>45929</v>
      </c>
      <c r="N694" s="6" t="s">
        <v>93</v>
      </c>
      <c r="O694" t="s">
        <v>144</v>
      </c>
      <c r="P694" s="6" t="s">
        <v>59</v>
      </c>
      <c r="Q694" t="s">
        <v>85</v>
      </c>
      <c r="R694" t="s">
        <v>62</v>
      </c>
      <c r="S694" s="6">
        <v>756614</v>
      </c>
      <c r="T694" s="6" t="s">
        <v>111</v>
      </c>
      <c r="U694">
        <v>331</v>
      </c>
      <c r="V694" s="6">
        <v>21</v>
      </c>
      <c r="W694" s="6">
        <v>19.399999999999999</v>
      </c>
      <c r="X694" s="6">
        <v>330.7</v>
      </c>
      <c r="Y694" s="6">
        <v>371.1</v>
      </c>
      <c r="Z694" s="6" t="s">
        <v>63</v>
      </c>
      <c r="AA694" t="s">
        <v>738</v>
      </c>
      <c r="AB694" s="6" t="s">
        <v>82</v>
      </c>
      <c r="AC694" t="s">
        <v>83</v>
      </c>
      <c r="AD694" t="s">
        <v>67</v>
      </c>
      <c r="AE694">
        <v>-10</v>
      </c>
      <c r="AF694">
        <v>0</v>
      </c>
      <c r="AG694">
        <v>0</v>
      </c>
      <c r="AH694" s="6">
        <v>40</v>
      </c>
      <c r="AI694" s="6">
        <v>0</v>
      </c>
      <c r="AJ694" s="6">
        <v>0.82499999999999996</v>
      </c>
      <c r="AK694" s="6">
        <v>0.752</v>
      </c>
      <c r="AL694" s="8">
        <v>3254.43</v>
      </c>
      <c r="AM694" s="6" t="s">
        <v>68</v>
      </c>
      <c r="AN694" s="6">
        <v>1</v>
      </c>
      <c r="AO694" s="6">
        <v>1</v>
      </c>
      <c r="AP694" s="6">
        <v>0</v>
      </c>
      <c r="AQ694" s="6">
        <v>1</v>
      </c>
      <c r="AR694" s="6">
        <v>0</v>
      </c>
      <c r="AS694" s="6">
        <v>1</v>
      </c>
      <c r="AT694" s="6">
        <v>0</v>
      </c>
      <c r="AU694" s="6">
        <v>2.5099999999999998</v>
      </c>
      <c r="AV694" s="6">
        <v>1.65</v>
      </c>
      <c r="AW694" s="6">
        <v>309.17</v>
      </c>
      <c r="AX694" s="6">
        <v>43.02</v>
      </c>
      <c r="AY694" s="6">
        <v>217.79</v>
      </c>
      <c r="AZ694" s="6">
        <v>11.8</v>
      </c>
      <c r="BA694" s="6">
        <v>24.8</v>
      </c>
    </row>
    <row r="695" spans="1:53" x14ac:dyDescent="0.3">
      <c r="A695" s="6">
        <v>260545470</v>
      </c>
      <c r="B695" s="6">
        <v>460663</v>
      </c>
      <c r="C695" s="6">
        <v>8434500</v>
      </c>
      <c r="D695" s="6">
        <v>4843</v>
      </c>
      <c r="E695" s="6" t="s">
        <v>57</v>
      </c>
      <c r="F695" s="6">
        <v>58630</v>
      </c>
      <c r="G695" s="6" t="s">
        <v>203</v>
      </c>
      <c r="H695" s="10">
        <v>45828</v>
      </c>
      <c r="I695" s="10">
        <v>45828</v>
      </c>
      <c r="J695" s="4">
        <v>45828.670138888891</v>
      </c>
      <c r="K695" s="4">
        <v>45828.890497685185</v>
      </c>
      <c r="L695" s="11">
        <v>45828.874525462961</v>
      </c>
      <c r="M695" s="10">
        <v>45828</v>
      </c>
      <c r="N695" s="6" t="s">
        <v>132</v>
      </c>
      <c r="O695" t="s">
        <v>133</v>
      </c>
      <c r="P695" s="6" t="s">
        <v>170</v>
      </c>
      <c r="Q695" t="s">
        <v>221</v>
      </c>
      <c r="R695" t="s">
        <v>62</v>
      </c>
      <c r="S695" s="6">
        <v>750940</v>
      </c>
      <c r="T695" s="6" t="s">
        <v>1</v>
      </c>
      <c r="U695">
        <v>215</v>
      </c>
      <c r="V695" s="6">
        <v>25.2</v>
      </c>
      <c r="W695" s="6">
        <v>9</v>
      </c>
      <c r="X695" s="6">
        <v>208.7</v>
      </c>
      <c r="Y695" s="6">
        <v>242.9</v>
      </c>
      <c r="Z695" s="6" t="s">
        <v>63</v>
      </c>
      <c r="AA695" t="s">
        <v>374</v>
      </c>
      <c r="AB695" s="6" t="s">
        <v>90</v>
      </c>
      <c r="AC695" t="s">
        <v>154</v>
      </c>
      <c r="AD695" t="s">
        <v>67</v>
      </c>
      <c r="AE695">
        <v>-23</v>
      </c>
      <c r="AF695">
        <v>0</v>
      </c>
      <c r="AG695">
        <v>0</v>
      </c>
      <c r="AH695" s="6">
        <v>66</v>
      </c>
      <c r="AI695" s="6">
        <v>0</v>
      </c>
      <c r="AJ695" s="6">
        <v>0.75800000000000001</v>
      </c>
      <c r="AK695" s="6">
        <v>0.56899999999999995</v>
      </c>
      <c r="AL695" s="8">
        <v>5070.7700000000004</v>
      </c>
      <c r="AM695" s="6" t="s">
        <v>68</v>
      </c>
      <c r="AN695" s="6">
        <v>1</v>
      </c>
      <c r="AO695" s="6">
        <v>1</v>
      </c>
      <c r="AP695" s="6">
        <v>0</v>
      </c>
      <c r="AQ695" s="6">
        <v>1</v>
      </c>
      <c r="AR695" s="6">
        <v>0</v>
      </c>
      <c r="AS695" s="6">
        <v>1</v>
      </c>
      <c r="AT695" s="6">
        <v>0</v>
      </c>
      <c r="AU695" s="6">
        <v>2.16</v>
      </c>
      <c r="AV695" s="6">
        <v>1.35</v>
      </c>
      <c r="AW695" s="6">
        <v>221.23</v>
      </c>
      <c r="AX695" s="6">
        <v>50.56</v>
      </c>
      <c r="AY695" s="6">
        <v>162.44</v>
      </c>
      <c r="AZ695" s="6">
        <v>13.9</v>
      </c>
      <c r="BA695" s="6">
        <v>25.5</v>
      </c>
    </row>
    <row r="696" spans="1:53" x14ac:dyDescent="0.3">
      <c r="A696" s="6">
        <v>689274064</v>
      </c>
      <c r="B696" s="6">
        <v>855731</v>
      </c>
      <c r="C696" s="6">
        <v>2724590</v>
      </c>
      <c r="D696" s="6">
        <v>1202</v>
      </c>
      <c r="E696" s="6" t="s">
        <v>211</v>
      </c>
      <c r="F696" s="6">
        <v>50444</v>
      </c>
      <c r="G696" s="6" t="s">
        <v>69</v>
      </c>
      <c r="H696" s="10">
        <v>45741</v>
      </c>
      <c r="I696" s="10">
        <v>45741</v>
      </c>
      <c r="J696" s="4">
        <v>45741.416666666664</v>
      </c>
      <c r="K696" s="4">
        <v>45741.818124999998</v>
      </c>
      <c r="L696" s="11">
        <v>45741.820208333331</v>
      </c>
      <c r="M696" s="10">
        <v>45741</v>
      </c>
      <c r="N696" s="6" t="s">
        <v>129</v>
      </c>
      <c r="O696" t="s">
        <v>157</v>
      </c>
      <c r="P696" s="6" t="s">
        <v>59</v>
      </c>
      <c r="Q696" t="s">
        <v>61</v>
      </c>
      <c r="R696" t="s">
        <v>62</v>
      </c>
      <c r="S696" s="6">
        <v>798676</v>
      </c>
      <c r="T696" s="6" t="s">
        <v>111</v>
      </c>
      <c r="U696">
        <v>477</v>
      </c>
      <c r="V696" s="6">
        <v>31.6</v>
      </c>
      <c r="W696" s="6">
        <v>3.5</v>
      </c>
      <c r="X696" s="6">
        <v>478.5</v>
      </c>
      <c r="Y696" s="6">
        <v>513.6</v>
      </c>
      <c r="Z696" s="6" t="s">
        <v>63</v>
      </c>
      <c r="AA696" t="s">
        <v>739</v>
      </c>
      <c r="AB696" s="6" t="s">
        <v>75</v>
      </c>
      <c r="AC696" t="s">
        <v>66</v>
      </c>
      <c r="AD696" t="s">
        <v>67</v>
      </c>
      <c r="AE696">
        <v>3</v>
      </c>
      <c r="AF696">
        <v>0</v>
      </c>
      <c r="AG696">
        <v>0</v>
      </c>
      <c r="AH696" s="6">
        <v>38.299999999999997</v>
      </c>
      <c r="AI696" s="6">
        <v>0</v>
      </c>
      <c r="AJ696" s="6">
        <v>0.59499999999999997</v>
      </c>
      <c r="AK696" s="6">
        <v>0.34399999999999997</v>
      </c>
      <c r="AL696" s="8">
        <v>16907.16</v>
      </c>
      <c r="AM696" s="6" t="s">
        <v>114</v>
      </c>
      <c r="AN696" s="6">
        <v>1</v>
      </c>
      <c r="AO696" s="6">
        <v>1</v>
      </c>
      <c r="AP696" s="6">
        <v>0</v>
      </c>
      <c r="AQ696" s="6">
        <v>1</v>
      </c>
      <c r="AR696" s="6">
        <v>0</v>
      </c>
      <c r="AS696" s="6">
        <v>1</v>
      </c>
      <c r="AT696" s="6">
        <v>0</v>
      </c>
      <c r="AU696" s="6">
        <v>2.2999999999999998</v>
      </c>
      <c r="AV696" s="6">
        <v>1.77</v>
      </c>
      <c r="AW696" s="6">
        <v>360.5</v>
      </c>
      <c r="AX696" s="6">
        <v>94.81</v>
      </c>
      <c r="AY696" s="6">
        <v>358.57</v>
      </c>
      <c r="AZ696" s="6">
        <v>32.200000000000003</v>
      </c>
      <c r="BA696" s="6">
        <v>61.6</v>
      </c>
    </row>
    <row r="697" spans="1:53" x14ac:dyDescent="0.3">
      <c r="A697" s="6">
        <v>880862406</v>
      </c>
      <c r="B697" s="6">
        <v>877572</v>
      </c>
      <c r="C697" s="6">
        <v>5159166</v>
      </c>
      <c r="D697" s="6">
        <v>6191</v>
      </c>
      <c r="E697" s="6" t="s">
        <v>101</v>
      </c>
      <c r="F697" s="6">
        <v>59157</v>
      </c>
      <c r="G697" s="6" t="s">
        <v>127</v>
      </c>
      <c r="H697" s="10">
        <v>45730</v>
      </c>
      <c r="I697" s="10">
        <v>45730</v>
      </c>
      <c r="J697" s="4">
        <v>45730.90625</v>
      </c>
      <c r="K697" s="4">
        <v>45731.144074074073</v>
      </c>
      <c r="L697" s="11">
        <v>45731.144768518519</v>
      </c>
      <c r="M697" s="10">
        <v>45731</v>
      </c>
      <c r="N697" s="6" t="s">
        <v>200</v>
      </c>
      <c r="O697" t="s">
        <v>171</v>
      </c>
      <c r="P697" s="6" t="s">
        <v>93</v>
      </c>
      <c r="Q697" t="s">
        <v>144</v>
      </c>
      <c r="R697" t="s">
        <v>73</v>
      </c>
      <c r="S697" s="6">
        <v>754594</v>
      </c>
      <c r="T697" s="6" t="s">
        <v>1</v>
      </c>
      <c r="U697">
        <v>272</v>
      </c>
      <c r="V697" s="6">
        <v>28.1</v>
      </c>
      <c r="W697" s="6">
        <v>9.4</v>
      </c>
      <c r="X697" s="6">
        <v>257.60000000000002</v>
      </c>
      <c r="Y697" s="6">
        <v>295.10000000000002</v>
      </c>
      <c r="Z697" s="6" t="s">
        <v>2</v>
      </c>
      <c r="AA697" t="s">
        <v>105</v>
      </c>
      <c r="AB697" s="6" t="s">
        <v>65</v>
      </c>
      <c r="AC697" t="s">
        <v>154</v>
      </c>
      <c r="AD697" t="s">
        <v>67</v>
      </c>
      <c r="AE697">
        <v>1</v>
      </c>
      <c r="AF697">
        <v>0</v>
      </c>
      <c r="AG697">
        <v>0</v>
      </c>
      <c r="AH697" s="6">
        <v>46.3</v>
      </c>
      <c r="AI697" s="6">
        <v>0</v>
      </c>
      <c r="AJ697" s="6">
        <v>0.72699999999999998</v>
      </c>
      <c r="AK697" s="6">
        <v>0.53</v>
      </c>
      <c r="AL697" s="8">
        <v>2514.73</v>
      </c>
      <c r="AM697" s="6" t="s">
        <v>68</v>
      </c>
      <c r="AN697" s="6">
        <v>1</v>
      </c>
      <c r="AO697" s="6">
        <v>1</v>
      </c>
      <c r="AP697" s="6">
        <v>0</v>
      </c>
      <c r="AQ697" s="6">
        <v>1</v>
      </c>
      <c r="AR697" s="6">
        <v>0</v>
      </c>
      <c r="AS697" s="6">
        <v>1</v>
      </c>
      <c r="AT697" s="6">
        <v>0</v>
      </c>
      <c r="AU697" s="6">
        <v>2.21</v>
      </c>
      <c r="AV697" s="6">
        <v>1.44</v>
      </c>
      <c r="AW697" s="6">
        <v>212.06</v>
      </c>
      <c r="AX697" s="6">
        <v>35.47</v>
      </c>
      <c r="AY697" s="6">
        <v>193.74</v>
      </c>
      <c r="AZ697" s="6">
        <v>8.4</v>
      </c>
      <c r="BA697" s="6">
        <v>0</v>
      </c>
    </row>
    <row r="698" spans="1:53" x14ac:dyDescent="0.3">
      <c r="A698" s="6">
        <v>753780028</v>
      </c>
      <c r="B698" s="6">
        <v>779514</v>
      </c>
      <c r="C698" s="6">
        <v>5130808</v>
      </c>
      <c r="D698" s="6">
        <v>3731</v>
      </c>
      <c r="E698" s="6" t="s">
        <v>106</v>
      </c>
      <c r="F698" s="6">
        <v>58655</v>
      </c>
      <c r="G698" s="6" t="s">
        <v>127</v>
      </c>
      <c r="H698" s="10">
        <v>45813</v>
      </c>
      <c r="I698" s="10">
        <v>45813</v>
      </c>
      <c r="J698" s="4">
        <v>45813.263888888891</v>
      </c>
      <c r="K698" s="4">
        <v>45813.394201388888</v>
      </c>
      <c r="L698" s="11">
        <v>45813.382395833331</v>
      </c>
      <c r="M698" s="10">
        <v>45813</v>
      </c>
      <c r="N698" s="6" t="s">
        <v>78</v>
      </c>
      <c r="O698" t="s">
        <v>147</v>
      </c>
      <c r="P698" s="6" t="s">
        <v>176</v>
      </c>
      <c r="Q698" t="s">
        <v>227</v>
      </c>
      <c r="R698" t="s">
        <v>88</v>
      </c>
      <c r="S698" s="6">
        <v>795484</v>
      </c>
      <c r="T698" s="6" t="s">
        <v>3</v>
      </c>
      <c r="U698">
        <v>90</v>
      </c>
      <c r="V698" s="6">
        <v>16</v>
      </c>
      <c r="W698" s="6">
        <v>18.3</v>
      </c>
      <c r="X698" s="6">
        <v>89.7</v>
      </c>
      <c r="Y698" s="6">
        <v>124</v>
      </c>
      <c r="Z698" s="6" t="s">
        <v>63</v>
      </c>
      <c r="AA698" t="s">
        <v>740</v>
      </c>
      <c r="AB698" s="6" t="s">
        <v>97</v>
      </c>
      <c r="AC698" t="s">
        <v>137</v>
      </c>
      <c r="AD698" t="s">
        <v>67</v>
      </c>
      <c r="AE698">
        <v>-17</v>
      </c>
      <c r="AF698">
        <v>0</v>
      </c>
      <c r="AG698">
        <v>0</v>
      </c>
      <c r="AH698" s="6">
        <v>25.7</v>
      </c>
      <c r="AI698" s="6">
        <v>0</v>
      </c>
      <c r="AJ698" s="6">
        <v>0.69399999999999995</v>
      </c>
      <c r="AK698" s="6">
        <v>0.80900000000000005</v>
      </c>
      <c r="AL698" s="8">
        <v>3393.07</v>
      </c>
      <c r="AM698" s="6" t="s">
        <v>68</v>
      </c>
      <c r="AN698" s="6">
        <v>1</v>
      </c>
      <c r="AO698" s="6">
        <v>1</v>
      </c>
      <c r="AP698" s="6">
        <v>0</v>
      </c>
      <c r="AQ698" s="6">
        <v>1</v>
      </c>
      <c r="AR698" s="6">
        <v>0</v>
      </c>
      <c r="AS698" s="6">
        <v>1</v>
      </c>
      <c r="AT698" s="6">
        <v>0</v>
      </c>
      <c r="AU698" s="6">
        <v>2.13</v>
      </c>
      <c r="AV698" s="6">
        <v>1.26</v>
      </c>
      <c r="AW698" s="6">
        <v>89.94</v>
      </c>
      <c r="AX698" s="6">
        <v>16.07</v>
      </c>
      <c r="AY698" s="6">
        <v>85.96</v>
      </c>
      <c r="AZ698" s="6">
        <v>38.9</v>
      </c>
      <c r="BA698" s="6">
        <v>66.099999999999994</v>
      </c>
    </row>
    <row r="699" spans="1:53" x14ac:dyDescent="0.3">
      <c r="A699" s="6">
        <v>666690337</v>
      </c>
      <c r="B699" s="6">
        <v>287330</v>
      </c>
      <c r="C699" s="6">
        <v>4348276</v>
      </c>
      <c r="D699" s="6">
        <v>9338</v>
      </c>
      <c r="E699" s="6" t="s">
        <v>101</v>
      </c>
      <c r="F699" s="6">
        <v>52198</v>
      </c>
      <c r="G699" s="6" t="s">
        <v>149</v>
      </c>
      <c r="H699" s="10">
        <v>45933</v>
      </c>
      <c r="I699" s="10">
        <v>45933</v>
      </c>
      <c r="J699" s="4">
        <v>45933.552083333336</v>
      </c>
      <c r="K699" s="4">
        <v>45933.828414351854</v>
      </c>
      <c r="L699" s="11">
        <v>45933.840219907404</v>
      </c>
      <c r="M699" s="10">
        <v>45933</v>
      </c>
      <c r="N699" s="6" t="s">
        <v>134</v>
      </c>
      <c r="O699" t="s">
        <v>278</v>
      </c>
      <c r="P699" s="6" t="s">
        <v>170</v>
      </c>
      <c r="Q699" t="s">
        <v>269</v>
      </c>
      <c r="R699" t="s">
        <v>62</v>
      </c>
      <c r="S699" s="6">
        <v>786556</v>
      </c>
      <c r="T699" s="6" t="s">
        <v>1</v>
      </c>
      <c r="U699">
        <v>257</v>
      </c>
      <c r="V699" s="6">
        <v>27.1</v>
      </c>
      <c r="W699" s="6">
        <v>15.5</v>
      </c>
      <c r="X699" s="6">
        <v>255.5</v>
      </c>
      <c r="Y699" s="6">
        <v>298.10000000000002</v>
      </c>
      <c r="Z699" s="6" t="s">
        <v>2</v>
      </c>
      <c r="AA699" t="s">
        <v>741</v>
      </c>
      <c r="AB699" s="6" t="s">
        <v>75</v>
      </c>
      <c r="AC699" t="s">
        <v>154</v>
      </c>
      <c r="AD699" t="s">
        <v>67</v>
      </c>
      <c r="AE699">
        <v>17</v>
      </c>
      <c r="AF699">
        <v>0</v>
      </c>
      <c r="AG699">
        <v>0</v>
      </c>
      <c r="AH699" s="6">
        <v>37.9</v>
      </c>
      <c r="AI699" s="6">
        <v>0</v>
      </c>
      <c r="AJ699" s="6">
        <v>0.628</v>
      </c>
      <c r="AK699" s="6">
        <v>0.35599999999999998</v>
      </c>
      <c r="AL699" s="8">
        <v>120044.52</v>
      </c>
      <c r="AM699" s="6" t="s">
        <v>155</v>
      </c>
      <c r="AN699" s="6">
        <v>1</v>
      </c>
      <c r="AO699" s="6">
        <v>0</v>
      </c>
      <c r="AP699" s="6">
        <v>1</v>
      </c>
      <c r="AQ699" s="6">
        <v>0</v>
      </c>
      <c r="AR699" s="6">
        <v>1</v>
      </c>
      <c r="AS699" s="6">
        <v>0</v>
      </c>
      <c r="AT699" s="6">
        <v>1</v>
      </c>
      <c r="AU699" s="6">
        <v>2.29</v>
      </c>
      <c r="AV699" s="6">
        <v>1.47</v>
      </c>
      <c r="AW699" s="6">
        <v>261.45999999999998</v>
      </c>
      <c r="AX699" s="6">
        <v>39.43</v>
      </c>
      <c r="AY699" s="6">
        <v>145.55000000000001</v>
      </c>
      <c r="AZ699" s="6">
        <v>17.5</v>
      </c>
      <c r="BA699" s="6">
        <v>69.8</v>
      </c>
    </row>
    <row r="700" spans="1:53" x14ac:dyDescent="0.3">
      <c r="A700" s="6">
        <v>554466340</v>
      </c>
      <c r="B700" s="6">
        <v>910620</v>
      </c>
      <c r="C700" s="6">
        <v>5977931</v>
      </c>
      <c r="D700" s="6">
        <v>1064</v>
      </c>
      <c r="E700" s="6" t="s">
        <v>101</v>
      </c>
      <c r="F700" s="6">
        <v>52287</v>
      </c>
      <c r="G700" s="6" t="s">
        <v>102</v>
      </c>
      <c r="H700" s="10">
        <v>45878</v>
      </c>
      <c r="I700" s="10">
        <v>45878</v>
      </c>
      <c r="J700" s="4">
        <v>45878.486111111109</v>
      </c>
      <c r="K700" s="4">
        <v>45878.683483796296</v>
      </c>
      <c r="L700" s="11">
        <v>45878.762650462966</v>
      </c>
      <c r="M700" s="10">
        <v>45878</v>
      </c>
      <c r="N700" s="6" t="s">
        <v>176</v>
      </c>
      <c r="O700" t="s">
        <v>355</v>
      </c>
      <c r="P700" s="6" t="s">
        <v>103</v>
      </c>
      <c r="Q700" t="s">
        <v>285</v>
      </c>
      <c r="R700" t="s">
        <v>73</v>
      </c>
      <c r="S700" s="6">
        <v>775499</v>
      </c>
      <c r="T700" s="6" t="s">
        <v>1</v>
      </c>
      <c r="U700">
        <v>159</v>
      </c>
      <c r="V700" s="6">
        <v>39.700000000000003</v>
      </c>
      <c r="W700" s="6">
        <v>31</v>
      </c>
      <c r="X700" s="6">
        <v>155.69999999999999</v>
      </c>
      <c r="Y700" s="6">
        <v>226.4</v>
      </c>
      <c r="Z700" s="6" t="s">
        <v>63</v>
      </c>
      <c r="AA700" t="s">
        <v>578</v>
      </c>
      <c r="AB700" s="6" t="s">
        <v>75</v>
      </c>
      <c r="AC700" t="s">
        <v>76</v>
      </c>
      <c r="AD700" t="s">
        <v>192</v>
      </c>
      <c r="AE700">
        <v>114</v>
      </c>
      <c r="AF700">
        <v>0</v>
      </c>
      <c r="AG700">
        <v>0</v>
      </c>
      <c r="AH700" s="6">
        <v>30.6</v>
      </c>
      <c r="AI700" s="6">
        <v>0</v>
      </c>
      <c r="AJ700" s="6">
        <v>0.435</v>
      </c>
      <c r="AK700" s="6">
        <v>0.64200000000000002</v>
      </c>
      <c r="AL700" s="8">
        <v>5287.72</v>
      </c>
      <c r="AM700" s="6" t="s">
        <v>68</v>
      </c>
      <c r="AN700" s="6">
        <v>1</v>
      </c>
      <c r="AO700" s="6">
        <v>0</v>
      </c>
      <c r="AP700" s="6">
        <v>1</v>
      </c>
      <c r="AQ700" s="6">
        <v>0</v>
      </c>
      <c r="AR700" s="6">
        <v>1</v>
      </c>
      <c r="AS700" s="6">
        <v>0</v>
      </c>
      <c r="AT700" s="6">
        <v>1</v>
      </c>
      <c r="AU700" s="6">
        <v>1.93</v>
      </c>
      <c r="AV700" s="6">
        <v>1.2</v>
      </c>
      <c r="AW700" s="6">
        <v>179.63</v>
      </c>
      <c r="AX700" s="6">
        <v>48.81</v>
      </c>
      <c r="AY700" s="6">
        <v>114.1</v>
      </c>
      <c r="AZ700" s="6">
        <v>7</v>
      </c>
      <c r="BA700" s="6">
        <v>62</v>
      </c>
    </row>
    <row r="701" spans="1:53" x14ac:dyDescent="0.3">
      <c r="A701" s="6">
        <v>219385981</v>
      </c>
      <c r="B701" s="6">
        <v>623481</v>
      </c>
      <c r="C701" s="6">
        <v>2737893</v>
      </c>
      <c r="D701" s="6">
        <v>4627</v>
      </c>
      <c r="E701" s="6" t="s">
        <v>101</v>
      </c>
      <c r="F701" s="6">
        <v>54008</v>
      </c>
      <c r="G701" s="6" t="s">
        <v>127</v>
      </c>
      <c r="H701" s="10">
        <v>45909</v>
      </c>
      <c r="I701" s="10">
        <v>45909</v>
      </c>
      <c r="J701" s="4">
        <v>45909.416666666664</v>
      </c>
      <c r="K701" s="4">
        <v>45909.750300925924</v>
      </c>
      <c r="L701" s="11">
        <v>45909.744050925925</v>
      </c>
      <c r="M701" s="10">
        <v>45909</v>
      </c>
      <c r="N701" s="6" t="s">
        <v>129</v>
      </c>
      <c r="O701" t="s">
        <v>157</v>
      </c>
      <c r="P701" s="6" t="s">
        <v>121</v>
      </c>
      <c r="Q701" t="s">
        <v>122</v>
      </c>
      <c r="R701" t="s">
        <v>123</v>
      </c>
      <c r="S701" s="6">
        <v>775399</v>
      </c>
      <c r="T701" s="6" t="s">
        <v>1</v>
      </c>
      <c r="U701">
        <v>290</v>
      </c>
      <c r="V701" s="6">
        <v>4.7</v>
      </c>
      <c r="W701" s="6">
        <v>3.7</v>
      </c>
      <c r="X701" s="6">
        <v>296</v>
      </c>
      <c r="Y701" s="6">
        <v>304.39999999999998</v>
      </c>
      <c r="Z701" s="6" t="s">
        <v>63</v>
      </c>
      <c r="AA701" t="s">
        <v>742</v>
      </c>
      <c r="AB701" s="6" t="s">
        <v>75</v>
      </c>
      <c r="AC701" t="s">
        <v>66</v>
      </c>
      <c r="AD701" t="s">
        <v>67</v>
      </c>
      <c r="AE701">
        <v>-9</v>
      </c>
      <c r="AF701">
        <v>0</v>
      </c>
      <c r="AG701">
        <v>0</v>
      </c>
      <c r="AH701" s="6">
        <v>65</v>
      </c>
      <c r="AI701" s="6">
        <v>0</v>
      </c>
      <c r="AJ701" s="6">
        <v>0.60599999999999998</v>
      </c>
      <c r="AK701" s="6">
        <v>0.38600000000000001</v>
      </c>
      <c r="AL701" s="8">
        <v>40796.730000000003</v>
      </c>
      <c r="AM701" s="6" t="s">
        <v>155</v>
      </c>
      <c r="AN701" s="6">
        <v>1</v>
      </c>
      <c r="AO701" s="6">
        <v>1</v>
      </c>
      <c r="AP701" s="6">
        <v>0</v>
      </c>
      <c r="AQ701" s="6">
        <v>1</v>
      </c>
      <c r="AR701" s="6">
        <v>0</v>
      </c>
      <c r="AS701" s="6">
        <v>1</v>
      </c>
      <c r="AT701" s="6">
        <v>0</v>
      </c>
      <c r="AU701" s="6">
        <v>2.13</v>
      </c>
      <c r="AV701" s="6">
        <v>1.39</v>
      </c>
      <c r="AW701" s="6">
        <v>277.67</v>
      </c>
      <c r="AX701" s="6">
        <v>62.81</v>
      </c>
      <c r="AY701" s="6">
        <v>200.01</v>
      </c>
      <c r="AZ701" s="6">
        <v>22.3</v>
      </c>
      <c r="BA701" s="6">
        <v>65.2</v>
      </c>
    </row>
    <row r="702" spans="1:53" x14ac:dyDescent="0.3">
      <c r="A702" s="6">
        <v>933409017</v>
      </c>
      <c r="B702" s="6">
        <v>988662</v>
      </c>
      <c r="C702" s="6">
        <v>2264748</v>
      </c>
      <c r="D702" s="6">
        <v>2021</v>
      </c>
      <c r="E702" s="6" t="s">
        <v>57</v>
      </c>
      <c r="F702" s="6">
        <v>59104</v>
      </c>
      <c r="G702" s="6" t="s">
        <v>69</v>
      </c>
      <c r="H702" s="10">
        <v>45761</v>
      </c>
      <c r="I702" s="10">
        <v>45761</v>
      </c>
      <c r="J702" s="4">
        <v>45761.538194444445</v>
      </c>
      <c r="K702" s="4">
        <v>45761.766597222224</v>
      </c>
      <c r="L702" s="11">
        <v>45761.736041666663</v>
      </c>
      <c r="M702" s="10">
        <v>45761</v>
      </c>
      <c r="N702" s="6" t="s">
        <v>176</v>
      </c>
      <c r="O702" t="s">
        <v>316</v>
      </c>
      <c r="P702" s="6" t="s">
        <v>200</v>
      </c>
      <c r="Q702" t="s">
        <v>338</v>
      </c>
      <c r="R702" t="s">
        <v>62</v>
      </c>
      <c r="S702" s="6">
        <v>744993</v>
      </c>
      <c r="T702" s="6" t="s">
        <v>1</v>
      </c>
      <c r="U702">
        <v>297</v>
      </c>
      <c r="V702" s="6">
        <v>19</v>
      </c>
      <c r="W702" s="6">
        <v>17.5</v>
      </c>
      <c r="X702" s="6">
        <v>292.2</v>
      </c>
      <c r="Y702" s="6">
        <v>328.7</v>
      </c>
      <c r="Z702" s="6" t="s">
        <v>2</v>
      </c>
      <c r="AA702" t="s">
        <v>743</v>
      </c>
      <c r="AB702" s="6" t="s">
        <v>75</v>
      </c>
      <c r="AC702" t="s">
        <v>83</v>
      </c>
      <c r="AD702" t="s">
        <v>67</v>
      </c>
      <c r="AE702">
        <v>-44</v>
      </c>
      <c r="AF702">
        <v>0</v>
      </c>
      <c r="AG702">
        <v>0</v>
      </c>
      <c r="AH702" s="6">
        <v>54.6</v>
      </c>
      <c r="AI702" s="6">
        <v>0</v>
      </c>
      <c r="AJ702" s="6">
        <v>0.70499999999999996</v>
      </c>
      <c r="AK702" s="6">
        <v>0.65900000000000003</v>
      </c>
      <c r="AL702" s="8">
        <v>3964.19</v>
      </c>
      <c r="AM702" s="6" t="s">
        <v>68</v>
      </c>
      <c r="AN702" s="6">
        <v>1</v>
      </c>
      <c r="AO702" s="6">
        <v>1</v>
      </c>
      <c r="AP702" s="6">
        <v>0</v>
      </c>
      <c r="AQ702" s="6">
        <v>1</v>
      </c>
      <c r="AR702" s="6">
        <v>0</v>
      </c>
      <c r="AS702" s="6">
        <v>1</v>
      </c>
      <c r="AT702" s="6">
        <v>0</v>
      </c>
      <c r="AU702" s="6">
        <v>2.41</v>
      </c>
      <c r="AV702" s="6">
        <v>1.72</v>
      </c>
      <c r="AW702" s="6">
        <v>265.64</v>
      </c>
      <c r="AX702" s="6">
        <v>46.53</v>
      </c>
      <c r="AY702" s="6">
        <v>217.2</v>
      </c>
      <c r="AZ702" s="6">
        <v>3.2</v>
      </c>
      <c r="BA702" s="6">
        <v>49.9</v>
      </c>
    </row>
    <row r="703" spans="1:53" x14ac:dyDescent="0.3">
      <c r="A703" s="6">
        <v>409346714</v>
      </c>
      <c r="B703" s="6">
        <v>555884</v>
      </c>
      <c r="C703" s="6">
        <v>7907400</v>
      </c>
      <c r="D703" s="6">
        <v>7287</v>
      </c>
      <c r="E703" s="6" t="s">
        <v>126</v>
      </c>
      <c r="F703" s="6">
        <v>50496</v>
      </c>
      <c r="G703" s="6" t="s">
        <v>203</v>
      </c>
      <c r="H703" s="10">
        <v>45833</v>
      </c>
      <c r="I703" s="10">
        <v>45833</v>
      </c>
      <c r="J703" s="4">
        <v>45833.385416666664</v>
      </c>
      <c r="K703" s="4">
        <v>45833.672881944447</v>
      </c>
      <c r="L703" s="11">
        <v>45833.634687500002</v>
      </c>
      <c r="M703" s="10">
        <v>45833</v>
      </c>
      <c r="N703" s="6" t="s">
        <v>116</v>
      </c>
      <c r="O703" t="s">
        <v>117</v>
      </c>
      <c r="P703" s="6" t="s">
        <v>132</v>
      </c>
      <c r="Q703" t="s">
        <v>133</v>
      </c>
      <c r="R703" t="s">
        <v>62</v>
      </c>
      <c r="S703" s="6">
        <v>773308</v>
      </c>
      <c r="T703" s="6" t="s">
        <v>111</v>
      </c>
      <c r="U703">
        <v>334</v>
      </c>
      <c r="V703" s="6">
        <v>25.8</v>
      </c>
      <c r="W703" s="6">
        <v>26.2</v>
      </c>
      <c r="X703" s="6">
        <v>335.8</v>
      </c>
      <c r="Y703" s="6">
        <v>387.8</v>
      </c>
      <c r="Z703" s="6" t="s">
        <v>63</v>
      </c>
      <c r="AA703" t="s">
        <v>416</v>
      </c>
      <c r="AB703" s="6" t="s">
        <v>97</v>
      </c>
      <c r="AC703" t="s">
        <v>125</v>
      </c>
      <c r="AD703" t="s">
        <v>67</v>
      </c>
      <c r="AE703">
        <v>-55</v>
      </c>
      <c r="AF703">
        <v>0</v>
      </c>
      <c r="AG703">
        <v>0</v>
      </c>
      <c r="AH703" s="6">
        <v>54.1</v>
      </c>
      <c r="AI703" s="6">
        <v>0</v>
      </c>
      <c r="AJ703" s="6">
        <v>0.54200000000000004</v>
      </c>
      <c r="AK703" s="6">
        <v>0.57199999999999995</v>
      </c>
      <c r="AL703" s="8">
        <v>19254.310000000001</v>
      </c>
      <c r="AM703" s="6" t="s">
        <v>114</v>
      </c>
      <c r="AN703" s="6">
        <v>1</v>
      </c>
      <c r="AO703" s="6">
        <v>1</v>
      </c>
      <c r="AP703" s="6">
        <v>0</v>
      </c>
      <c r="AQ703" s="6">
        <v>1</v>
      </c>
      <c r="AR703" s="6">
        <v>0</v>
      </c>
      <c r="AS703" s="6">
        <v>1</v>
      </c>
      <c r="AT703" s="6">
        <v>0</v>
      </c>
      <c r="AU703" s="6">
        <v>2.38</v>
      </c>
      <c r="AV703" s="6">
        <v>1.64</v>
      </c>
      <c r="AW703" s="6">
        <v>322.56</v>
      </c>
      <c r="AX703" s="6">
        <v>60.5</v>
      </c>
      <c r="AY703" s="6">
        <v>242.48</v>
      </c>
      <c r="AZ703" s="6">
        <v>19.5</v>
      </c>
      <c r="BA703" s="6">
        <v>75.5</v>
      </c>
    </row>
    <row r="704" spans="1:53" x14ac:dyDescent="0.3">
      <c r="A704" s="6">
        <v>355164255</v>
      </c>
      <c r="B704" s="6">
        <v>872246</v>
      </c>
      <c r="C704" s="6">
        <v>4860684</v>
      </c>
      <c r="D704" s="6">
        <v>6578</v>
      </c>
      <c r="E704" s="6" t="s">
        <v>126</v>
      </c>
      <c r="F704" s="6">
        <v>51463</v>
      </c>
      <c r="G704" s="6" t="s">
        <v>98</v>
      </c>
      <c r="H704" s="10">
        <v>45674</v>
      </c>
      <c r="I704" s="10">
        <v>45674</v>
      </c>
      <c r="J704" s="4">
        <v>45674.663194444445</v>
      </c>
      <c r="K704" s="4">
        <v>45675.050879629627</v>
      </c>
      <c r="L704" s="11">
        <v>45675.039074074077</v>
      </c>
      <c r="M704" s="10">
        <v>45675</v>
      </c>
      <c r="N704" s="6" t="s">
        <v>132</v>
      </c>
      <c r="O704" t="s">
        <v>328</v>
      </c>
      <c r="P704" s="6" t="s">
        <v>93</v>
      </c>
      <c r="Q704" t="s">
        <v>144</v>
      </c>
      <c r="R704" t="s">
        <v>73</v>
      </c>
      <c r="S704" s="6">
        <v>780769</v>
      </c>
      <c r="T704" s="6" t="s">
        <v>140</v>
      </c>
      <c r="U704">
        <v>554</v>
      </c>
      <c r="V704" s="6">
        <v>19.3</v>
      </c>
      <c r="W704" s="6">
        <v>5.6</v>
      </c>
      <c r="X704" s="6">
        <v>550.20000000000005</v>
      </c>
      <c r="Y704" s="6">
        <v>575.1</v>
      </c>
      <c r="Z704" s="6" t="s">
        <v>2</v>
      </c>
      <c r="AA704" t="s">
        <v>744</v>
      </c>
      <c r="AB704" s="6" t="s">
        <v>90</v>
      </c>
      <c r="AC704" t="s">
        <v>154</v>
      </c>
      <c r="AD704" t="s">
        <v>67</v>
      </c>
      <c r="AE704">
        <v>-17</v>
      </c>
      <c r="AF704">
        <v>0</v>
      </c>
      <c r="AG704">
        <v>0</v>
      </c>
      <c r="AH704" s="6">
        <v>55.2</v>
      </c>
      <c r="AI704" s="6">
        <v>0</v>
      </c>
      <c r="AJ704" s="6">
        <v>0.625</v>
      </c>
      <c r="AK704" s="6">
        <v>0.64200000000000002</v>
      </c>
      <c r="AL704" s="8">
        <v>9663.0499999999993</v>
      </c>
      <c r="AM704" s="6" t="s">
        <v>114</v>
      </c>
      <c r="AN704" s="6">
        <v>1</v>
      </c>
      <c r="AO704" s="6">
        <v>1</v>
      </c>
      <c r="AP704" s="6">
        <v>0</v>
      </c>
      <c r="AQ704" s="6">
        <v>1</v>
      </c>
      <c r="AR704" s="6">
        <v>0</v>
      </c>
      <c r="AS704" s="6">
        <v>1</v>
      </c>
      <c r="AT704" s="6">
        <v>0</v>
      </c>
      <c r="AU704" s="6">
        <v>2.5299999999999998</v>
      </c>
      <c r="AV704" s="6">
        <v>1.86</v>
      </c>
      <c r="AW704" s="6">
        <v>371.95</v>
      </c>
      <c r="AX704" s="6">
        <v>77.2</v>
      </c>
      <c r="AY704" s="6">
        <v>376.84</v>
      </c>
      <c r="AZ704" s="6">
        <v>41.8</v>
      </c>
      <c r="BA704" s="6">
        <v>10.9</v>
      </c>
    </row>
    <row r="705" spans="1:53" x14ac:dyDescent="0.3">
      <c r="A705" s="6">
        <v>423358638</v>
      </c>
      <c r="B705" s="6">
        <v>217301</v>
      </c>
      <c r="C705" s="6">
        <v>5453786</v>
      </c>
      <c r="D705" s="6">
        <v>5548</v>
      </c>
      <c r="E705" s="6" t="s">
        <v>142</v>
      </c>
      <c r="F705" s="6">
        <v>56828</v>
      </c>
      <c r="G705" s="6" t="s">
        <v>127</v>
      </c>
      <c r="H705" s="10">
        <v>45956</v>
      </c>
      <c r="I705" s="10">
        <v>45956</v>
      </c>
      <c r="J705" s="4">
        <v>45956.527777777781</v>
      </c>
      <c r="K705" s="4">
        <v>45956.841539351852</v>
      </c>
      <c r="L705" s="11">
        <v>45956.844317129631</v>
      </c>
      <c r="M705" s="10">
        <v>45956</v>
      </c>
      <c r="N705" s="6" t="s">
        <v>70</v>
      </c>
      <c r="O705" t="s">
        <v>322</v>
      </c>
      <c r="P705" s="6" t="s">
        <v>59</v>
      </c>
      <c r="Q705" t="s">
        <v>60</v>
      </c>
      <c r="R705" t="s">
        <v>62</v>
      </c>
      <c r="S705" s="6">
        <v>752235</v>
      </c>
      <c r="T705" s="6" t="s">
        <v>1</v>
      </c>
      <c r="U705">
        <v>314</v>
      </c>
      <c r="V705" s="6">
        <v>38.700000000000003</v>
      </c>
      <c r="W705" s="6">
        <v>5.5</v>
      </c>
      <c r="X705" s="6">
        <v>324</v>
      </c>
      <c r="Y705" s="6">
        <v>368.2</v>
      </c>
      <c r="Z705" s="6" t="s">
        <v>112</v>
      </c>
      <c r="AA705" t="s">
        <v>745</v>
      </c>
      <c r="AB705" s="6" t="s">
        <v>75</v>
      </c>
      <c r="AC705" t="s">
        <v>91</v>
      </c>
      <c r="AD705" t="s">
        <v>67</v>
      </c>
      <c r="AE705">
        <v>4</v>
      </c>
      <c r="AF705">
        <v>0</v>
      </c>
      <c r="AG705">
        <v>0</v>
      </c>
      <c r="AH705" s="6">
        <v>54.1</v>
      </c>
      <c r="AI705" s="6">
        <v>0</v>
      </c>
      <c r="AJ705" s="6">
        <v>0.51800000000000002</v>
      </c>
      <c r="AK705" s="6">
        <v>0.73</v>
      </c>
      <c r="AL705" s="8">
        <v>13244.63</v>
      </c>
      <c r="AM705" s="6" t="s">
        <v>114</v>
      </c>
      <c r="AN705" s="6">
        <v>1</v>
      </c>
      <c r="AO705" s="6">
        <v>1</v>
      </c>
      <c r="AP705" s="6">
        <v>0</v>
      </c>
      <c r="AQ705" s="6">
        <v>1</v>
      </c>
      <c r="AR705" s="6">
        <v>0</v>
      </c>
      <c r="AS705" s="6">
        <v>1</v>
      </c>
      <c r="AT705" s="6">
        <v>0</v>
      </c>
      <c r="AU705" s="6">
        <v>2.34</v>
      </c>
      <c r="AW705" s="6">
        <v>333.41</v>
      </c>
      <c r="AX705" s="6">
        <v>69.63</v>
      </c>
      <c r="AY705" s="6">
        <v>252.56</v>
      </c>
      <c r="AZ705" s="6">
        <v>13</v>
      </c>
      <c r="BA705" s="6">
        <v>40.1</v>
      </c>
    </row>
    <row r="706" spans="1:53" x14ac:dyDescent="0.3">
      <c r="A706" s="6">
        <v>230833665</v>
      </c>
      <c r="B706" s="6">
        <v>476417</v>
      </c>
      <c r="C706" s="6">
        <v>5191056</v>
      </c>
      <c r="D706" s="6">
        <v>4073</v>
      </c>
      <c r="E706" s="6" t="s">
        <v>211</v>
      </c>
      <c r="F706" s="6">
        <v>54253</v>
      </c>
      <c r="G706" s="6" t="s">
        <v>115</v>
      </c>
      <c r="H706" s="10">
        <v>46019</v>
      </c>
      <c r="I706" s="10">
        <v>46019</v>
      </c>
      <c r="J706" s="4">
        <v>46019.996527777781</v>
      </c>
      <c r="K706" s="4">
        <v>46020.268541666665</v>
      </c>
      <c r="L706" s="11">
        <v>46020.26090277778</v>
      </c>
      <c r="M706" s="10">
        <v>46020</v>
      </c>
      <c r="N706" s="6" t="s">
        <v>86</v>
      </c>
      <c r="O706" t="s">
        <v>87</v>
      </c>
      <c r="P706" s="6" t="s">
        <v>116</v>
      </c>
      <c r="Q706" t="s">
        <v>117</v>
      </c>
      <c r="R706" t="s">
        <v>123</v>
      </c>
      <c r="S706" s="6">
        <v>775534</v>
      </c>
      <c r="T706" s="6" t="s">
        <v>1</v>
      </c>
      <c r="U706">
        <v>291</v>
      </c>
      <c r="V706" s="6">
        <v>32.799999999999997</v>
      </c>
      <c r="W706" s="6">
        <v>6.1</v>
      </c>
      <c r="X706" s="6">
        <v>290.2</v>
      </c>
      <c r="Y706" s="6">
        <v>329.1</v>
      </c>
      <c r="Z706" s="6" t="s">
        <v>215</v>
      </c>
      <c r="AA706" t="s">
        <v>500</v>
      </c>
      <c r="AB706" s="6" t="s">
        <v>65</v>
      </c>
      <c r="AC706" t="s">
        <v>91</v>
      </c>
      <c r="AD706" t="s">
        <v>67</v>
      </c>
      <c r="AE706">
        <v>-11</v>
      </c>
      <c r="AF706">
        <v>0</v>
      </c>
      <c r="AG706">
        <v>0</v>
      </c>
      <c r="AH706" s="6">
        <v>32.5</v>
      </c>
      <c r="AI706" s="6">
        <v>0</v>
      </c>
      <c r="AJ706" s="6">
        <v>0.62</v>
      </c>
      <c r="AK706" s="6">
        <v>0.48899999999999999</v>
      </c>
      <c r="AL706" s="8">
        <v>1739.94</v>
      </c>
      <c r="AM706" s="6" t="s">
        <v>68</v>
      </c>
      <c r="AN706" s="6">
        <v>1</v>
      </c>
      <c r="AO706" s="6">
        <v>1</v>
      </c>
      <c r="AP706" s="6">
        <v>0</v>
      </c>
      <c r="AQ706" s="6">
        <v>1</v>
      </c>
      <c r="AR706" s="6">
        <v>0</v>
      </c>
      <c r="AS706" s="6">
        <v>1</v>
      </c>
      <c r="AT706" s="6">
        <v>0</v>
      </c>
      <c r="AU706" s="6">
        <v>2.52</v>
      </c>
      <c r="AV706" s="6">
        <v>1.53</v>
      </c>
      <c r="AW706" s="6">
        <v>266.05</v>
      </c>
      <c r="AX706" s="6">
        <v>39.28</v>
      </c>
      <c r="AY706" s="6">
        <v>201.05</v>
      </c>
      <c r="AZ706" s="6">
        <v>11.7</v>
      </c>
      <c r="BA706" s="6">
        <v>7.3</v>
      </c>
    </row>
    <row r="707" spans="1:53" x14ac:dyDescent="0.3">
      <c r="A707" s="6">
        <v>151270577</v>
      </c>
      <c r="B707" s="6">
        <v>189814</v>
      </c>
      <c r="C707" s="6">
        <v>4188992</v>
      </c>
      <c r="D707" s="6">
        <v>2648</v>
      </c>
      <c r="E707" s="6" t="s">
        <v>101</v>
      </c>
      <c r="F707" s="6">
        <v>50493</v>
      </c>
      <c r="G707" s="6" t="s">
        <v>107</v>
      </c>
      <c r="H707" s="10">
        <v>45806</v>
      </c>
      <c r="I707" s="10">
        <v>45806</v>
      </c>
      <c r="J707" s="4">
        <v>45806.40625</v>
      </c>
      <c r="K707" s="4">
        <v>45806.697314814817</v>
      </c>
      <c r="L707" s="11">
        <v>45806.69939814815</v>
      </c>
      <c r="M707" s="10">
        <v>45806</v>
      </c>
      <c r="N707" s="6" t="s">
        <v>109</v>
      </c>
      <c r="O707" t="s">
        <v>161</v>
      </c>
      <c r="P707" s="6" t="s">
        <v>93</v>
      </c>
      <c r="Q707" t="s">
        <v>217</v>
      </c>
      <c r="R707" t="s">
        <v>73</v>
      </c>
      <c r="S707" s="6">
        <v>730539</v>
      </c>
      <c r="T707" s="6" t="s">
        <v>1</v>
      </c>
      <c r="U707">
        <v>297</v>
      </c>
      <c r="V707" s="6">
        <v>40</v>
      </c>
      <c r="W707" s="6">
        <v>38.5</v>
      </c>
      <c r="X707" s="6">
        <v>301.10000000000002</v>
      </c>
      <c r="Y707" s="6">
        <v>379.6</v>
      </c>
      <c r="Z707" s="6" t="s">
        <v>215</v>
      </c>
      <c r="AA707" t="s">
        <v>746</v>
      </c>
      <c r="AB707" s="6" t="s">
        <v>97</v>
      </c>
      <c r="AC707" t="s">
        <v>137</v>
      </c>
      <c r="AD707" t="s">
        <v>67</v>
      </c>
      <c r="AE707">
        <v>3</v>
      </c>
      <c r="AF707">
        <v>0</v>
      </c>
      <c r="AG707">
        <v>0</v>
      </c>
      <c r="AH707" s="6">
        <v>33.799999999999997</v>
      </c>
      <c r="AI707" s="6">
        <v>0</v>
      </c>
      <c r="AJ707" s="6">
        <v>0.64900000000000002</v>
      </c>
      <c r="AK707" s="6">
        <v>0.441</v>
      </c>
      <c r="AL707" s="8">
        <v>876.25</v>
      </c>
      <c r="AM707" s="6" t="s">
        <v>68</v>
      </c>
      <c r="AN707" s="6">
        <v>1</v>
      </c>
      <c r="AO707" s="6">
        <v>1</v>
      </c>
      <c r="AP707" s="6">
        <v>0</v>
      </c>
      <c r="AQ707" s="6">
        <v>1</v>
      </c>
      <c r="AR707" s="6">
        <v>0</v>
      </c>
      <c r="AS707" s="6">
        <v>1</v>
      </c>
      <c r="AT707" s="6">
        <v>0</v>
      </c>
      <c r="AU707" s="6">
        <v>2.64</v>
      </c>
      <c r="AV707" s="6">
        <v>1.62</v>
      </c>
      <c r="AW707" s="6">
        <v>294.58999999999997</v>
      </c>
      <c r="AX707" s="6">
        <v>53.38</v>
      </c>
      <c r="AY707" s="6">
        <v>268.51</v>
      </c>
      <c r="AZ707" s="6">
        <v>23.5</v>
      </c>
      <c r="BA707" s="6">
        <v>54.7</v>
      </c>
    </row>
    <row r="708" spans="1:53" x14ac:dyDescent="0.3">
      <c r="A708" s="6">
        <v>356022467</v>
      </c>
      <c r="B708" s="6">
        <v>344098</v>
      </c>
      <c r="C708" s="6">
        <v>6261415</v>
      </c>
      <c r="D708" s="6">
        <v>3027</v>
      </c>
      <c r="E708" s="6" t="s">
        <v>57</v>
      </c>
      <c r="F708" s="6">
        <v>55065</v>
      </c>
      <c r="G708" s="6" t="s">
        <v>127</v>
      </c>
      <c r="H708" s="10">
        <v>45662</v>
      </c>
      <c r="I708" s="10">
        <v>45662</v>
      </c>
      <c r="J708" s="4">
        <v>45662.739583333336</v>
      </c>
      <c r="K708" s="4">
        <v>45663.497777777775</v>
      </c>
      <c r="L708" s="11">
        <v>45663.608888888892</v>
      </c>
      <c r="M708" s="10">
        <v>45663</v>
      </c>
      <c r="N708" s="6" t="s">
        <v>103</v>
      </c>
      <c r="O708" t="s">
        <v>104</v>
      </c>
      <c r="P708" s="6" t="s">
        <v>200</v>
      </c>
      <c r="Q708" t="s">
        <v>161</v>
      </c>
      <c r="R708" t="s">
        <v>62</v>
      </c>
      <c r="S708" s="6">
        <v>717326</v>
      </c>
      <c r="T708" s="6" t="s">
        <v>140</v>
      </c>
      <c r="U708">
        <v>985</v>
      </c>
      <c r="V708" s="6">
        <v>75.599999999999994</v>
      </c>
      <c r="W708" s="6">
        <v>22.1</v>
      </c>
      <c r="X708" s="6">
        <v>988.7</v>
      </c>
      <c r="Y708" s="6">
        <v>1086.4000000000001</v>
      </c>
      <c r="Z708" s="6" t="s">
        <v>63</v>
      </c>
      <c r="AA708" t="s">
        <v>747</v>
      </c>
      <c r="AB708" s="6" t="s">
        <v>90</v>
      </c>
      <c r="AC708" t="s">
        <v>91</v>
      </c>
      <c r="AD708" t="s">
        <v>188</v>
      </c>
      <c r="AE708">
        <v>160</v>
      </c>
      <c r="AF708">
        <v>0</v>
      </c>
      <c r="AG708">
        <v>2</v>
      </c>
      <c r="AH708" s="6">
        <v>7.6</v>
      </c>
      <c r="AI708" s="6">
        <v>0</v>
      </c>
      <c r="AJ708" s="6">
        <v>0.60899999999999999</v>
      </c>
      <c r="AK708" s="6">
        <v>0.88500000000000001</v>
      </c>
      <c r="AL708" s="8">
        <v>5352.1</v>
      </c>
      <c r="AM708" s="6" t="s">
        <v>68</v>
      </c>
      <c r="AN708" s="6">
        <v>1</v>
      </c>
      <c r="AO708" s="6">
        <v>0</v>
      </c>
      <c r="AP708" s="6">
        <v>1</v>
      </c>
      <c r="AQ708" s="6">
        <v>0</v>
      </c>
      <c r="AR708" s="6">
        <v>1</v>
      </c>
      <c r="AS708" s="6">
        <v>0</v>
      </c>
      <c r="AT708" s="6">
        <v>1</v>
      </c>
      <c r="AU708" s="6">
        <v>2.12</v>
      </c>
      <c r="AV708" s="6">
        <v>1.6</v>
      </c>
      <c r="AW708" s="6">
        <v>799.83</v>
      </c>
      <c r="AX708" s="6">
        <v>187.66</v>
      </c>
      <c r="AY708" s="6">
        <v>702.48</v>
      </c>
      <c r="AZ708" s="6">
        <v>11.4</v>
      </c>
      <c r="BA708" s="6">
        <v>44.6</v>
      </c>
    </row>
    <row r="709" spans="1:53" x14ac:dyDescent="0.3">
      <c r="A709" s="6">
        <v>550784243</v>
      </c>
      <c r="B709" s="6">
        <v>814825</v>
      </c>
      <c r="C709" s="6">
        <v>7817881</v>
      </c>
      <c r="D709" s="6">
        <v>9958</v>
      </c>
      <c r="E709" s="6" t="s">
        <v>84</v>
      </c>
      <c r="F709" s="6">
        <v>55430</v>
      </c>
      <c r="G709" s="6" t="s">
        <v>115</v>
      </c>
      <c r="H709" s="10">
        <v>45719</v>
      </c>
      <c r="I709" s="10">
        <v>45719</v>
      </c>
      <c r="J709" s="4">
        <v>45719.993055555555</v>
      </c>
      <c r="K709" s="4">
        <v>45720.85260416667</v>
      </c>
      <c r="L709" s="11">
        <v>45720.967881944445</v>
      </c>
      <c r="M709" s="10">
        <v>45720</v>
      </c>
      <c r="N709" s="6" t="s">
        <v>129</v>
      </c>
      <c r="O709" t="s">
        <v>241</v>
      </c>
      <c r="P709" s="6" t="s">
        <v>200</v>
      </c>
      <c r="Q709" t="s">
        <v>161</v>
      </c>
      <c r="R709" t="s">
        <v>62</v>
      </c>
      <c r="S709" s="6">
        <v>797689</v>
      </c>
      <c r="T709" s="6" t="s">
        <v>140</v>
      </c>
      <c r="U709">
        <v>788</v>
      </c>
      <c r="V709" s="6">
        <v>44.9</v>
      </c>
      <c r="W709" s="6">
        <v>7</v>
      </c>
      <c r="X709" s="6">
        <v>794.9</v>
      </c>
      <c r="Y709" s="6">
        <v>846.8</v>
      </c>
      <c r="Z709" s="6" t="s">
        <v>63</v>
      </c>
      <c r="AA709" t="s">
        <v>748</v>
      </c>
      <c r="AB709" s="6" t="s">
        <v>65</v>
      </c>
      <c r="AC709" t="s">
        <v>83</v>
      </c>
      <c r="AD709" t="s">
        <v>206</v>
      </c>
      <c r="AE709">
        <v>166</v>
      </c>
      <c r="AF709">
        <v>257</v>
      </c>
      <c r="AG709">
        <v>0</v>
      </c>
      <c r="AH709" s="6">
        <v>39.700000000000003</v>
      </c>
      <c r="AI709" s="6">
        <v>0</v>
      </c>
      <c r="AJ709" s="6">
        <v>0.55200000000000005</v>
      </c>
      <c r="AK709" s="6">
        <v>0.48099999999999998</v>
      </c>
      <c r="AL709" s="8">
        <v>4850.82</v>
      </c>
      <c r="AM709" s="6" t="s">
        <v>68</v>
      </c>
      <c r="AN709" s="6">
        <v>1</v>
      </c>
      <c r="AO709" s="6">
        <v>0</v>
      </c>
      <c r="AP709" s="6">
        <v>1</v>
      </c>
      <c r="AQ709" s="6">
        <v>0</v>
      </c>
      <c r="AR709" s="6">
        <v>1</v>
      </c>
      <c r="AS709" s="6">
        <v>0</v>
      </c>
      <c r="AT709" s="6">
        <v>1</v>
      </c>
      <c r="AU709" s="6">
        <v>2.02</v>
      </c>
      <c r="AV709" s="6">
        <v>1.22</v>
      </c>
      <c r="AW709" s="6">
        <v>544.59</v>
      </c>
      <c r="AX709" s="6">
        <v>173.83</v>
      </c>
      <c r="AY709" s="6">
        <v>502.39</v>
      </c>
      <c r="AZ709" s="6">
        <v>11.6</v>
      </c>
      <c r="BA709" s="6">
        <v>28.4</v>
      </c>
    </row>
    <row r="710" spans="1:53" x14ac:dyDescent="0.3">
      <c r="A710" s="6">
        <v>786069196</v>
      </c>
      <c r="B710" s="6">
        <v>301629</v>
      </c>
      <c r="C710" s="6">
        <v>8633773</v>
      </c>
      <c r="D710" s="6">
        <v>7331</v>
      </c>
      <c r="E710" s="6" t="s">
        <v>84</v>
      </c>
      <c r="F710" s="6">
        <v>51426</v>
      </c>
      <c r="G710" s="6" t="s">
        <v>235</v>
      </c>
      <c r="H710" s="10">
        <v>45896</v>
      </c>
      <c r="I710" s="10">
        <v>45896</v>
      </c>
      <c r="J710" s="4">
        <v>45896.6875</v>
      </c>
      <c r="K710" s="4">
        <v>45896.867650462962</v>
      </c>
      <c r="L710" s="11">
        <v>45896.855150462965</v>
      </c>
      <c r="M710" s="10">
        <v>45896</v>
      </c>
      <c r="N710" s="6" t="s">
        <v>103</v>
      </c>
      <c r="O710" t="s">
        <v>204</v>
      </c>
      <c r="P710" s="6" t="s">
        <v>134</v>
      </c>
      <c r="Q710" t="s">
        <v>282</v>
      </c>
      <c r="R710" t="s">
        <v>73</v>
      </c>
      <c r="S710" s="6">
        <v>763999</v>
      </c>
      <c r="T710" s="6" t="s">
        <v>1</v>
      </c>
      <c r="U710">
        <v>243</v>
      </c>
      <c r="V710" s="6">
        <v>16.899999999999999</v>
      </c>
      <c r="W710" s="6">
        <v>6.4</v>
      </c>
      <c r="X710" s="6">
        <v>243.9</v>
      </c>
      <c r="Y710" s="6">
        <v>267.2</v>
      </c>
      <c r="Z710" s="6" t="s">
        <v>112</v>
      </c>
      <c r="AA710" t="s">
        <v>317</v>
      </c>
      <c r="AB710" s="6" t="s">
        <v>90</v>
      </c>
      <c r="AC710" t="s">
        <v>125</v>
      </c>
      <c r="AD710" t="s">
        <v>67</v>
      </c>
      <c r="AE710">
        <v>-18</v>
      </c>
      <c r="AF710">
        <v>0</v>
      </c>
      <c r="AG710">
        <v>0</v>
      </c>
      <c r="AH710" s="6">
        <v>32.299999999999997</v>
      </c>
      <c r="AI710" s="6">
        <v>0</v>
      </c>
      <c r="AJ710" s="6">
        <v>0.51100000000000001</v>
      </c>
      <c r="AK710" s="6">
        <v>0.71099999999999997</v>
      </c>
      <c r="AL710" s="8">
        <v>3247.06</v>
      </c>
      <c r="AM710" s="6" t="s">
        <v>68</v>
      </c>
      <c r="AN710" s="6">
        <v>1</v>
      </c>
      <c r="AO710" s="6">
        <v>1</v>
      </c>
      <c r="AP710" s="6">
        <v>0</v>
      </c>
      <c r="AQ710" s="6">
        <v>1</v>
      </c>
      <c r="AR710" s="6">
        <v>0</v>
      </c>
      <c r="AS710" s="6">
        <v>1</v>
      </c>
      <c r="AT710" s="6">
        <v>0</v>
      </c>
      <c r="AU710" s="6">
        <v>2.12</v>
      </c>
      <c r="AV710" s="6">
        <v>1.6</v>
      </c>
      <c r="AW710" s="6">
        <v>176.35</v>
      </c>
      <c r="AX710" s="6">
        <v>47.1</v>
      </c>
      <c r="AY710" s="6">
        <v>155.29</v>
      </c>
      <c r="AZ710" s="6">
        <v>63.5</v>
      </c>
      <c r="BA710" s="6">
        <v>1.6</v>
      </c>
    </row>
    <row r="711" spans="1:53" x14ac:dyDescent="0.3">
      <c r="A711" s="6">
        <v>952442674</v>
      </c>
      <c r="B711" s="6">
        <v>897549</v>
      </c>
      <c r="C711" s="6">
        <v>9722815</v>
      </c>
      <c r="D711" s="6">
        <v>6592</v>
      </c>
      <c r="E711" s="6" t="s">
        <v>142</v>
      </c>
      <c r="F711" s="6">
        <v>59884</v>
      </c>
      <c r="G711" s="6" t="s">
        <v>203</v>
      </c>
      <c r="H711" s="10">
        <v>45881</v>
      </c>
      <c r="I711" s="10">
        <v>45881</v>
      </c>
      <c r="J711" s="4">
        <v>45881.947916666664</v>
      </c>
      <c r="K711" s="4">
        <v>45882.232430555552</v>
      </c>
      <c r="L711" s="11">
        <v>45882.256041666667</v>
      </c>
      <c r="M711" s="10">
        <v>45882</v>
      </c>
      <c r="N711" s="6" t="s">
        <v>150</v>
      </c>
      <c r="O711" t="s">
        <v>265</v>
      </c>
      <c r="P711" s="6" t="s">
        <v>121</v>
      </c>
      <c r="Q711" t="s">
        <v>122</v>
      </c>
      <c r="R711" t="s">
        <v>123</v>
      </c>
      <c r="S711" s="6">
        <v>756369</v>
      </c>
      <c r="T711" s="6" t="s">
        <v>111</v>
      </c>
      <c r="U711">
        <v>415</v>
      </c>
      <c r="V711" s="6">
        <v>38.9</v>
      </c>
      <c r="W711" s="6">
        <v>0.6</v>
      </c>
      <c r="X711" s="6">
        <v>407.1</v>
      </c>
      <c r="Y711" s="6">
        <v>446.6</v>
      </c>
      <c r="Z711" s="6" t="s">
        <v>63</v>
      </c>
      <c r="AA711" t="s">
        <v>749</v>
      </c>
      <c r="AB711" s="6" t="s">
        <v>65</v>
      </c>
      <c r="AC711" t="s">
        <v>66</v>
      </c>
      <c r="AD711" t="s">
        <v>206</v>
      </c>
      <c r="AE711">
        <v>34</v>
      </c>
      <c r="AF711">
        <v>286</v>
      </c>
      <c r="AG711">
        <v>0</v>
      </c>
      <c r="AH711" s="6">
        <v>59.3</v>
      </c>
      <c r="AI711" s="6">
        <v>0</v>
      </c>
      <c r="AJ711" s="6">
        <v>0.55100000000000005</v>
      </c>
      <c r="AK711" s="6">
        <v>0.48199999999999998</v>
      </c>
      <c r="AL711" s="8">
        <v>8553.26</v>
      </c>
      <c r="AM711" s="6" t="s">
        <v>114</v>
      </c>
      <c r="AN711" s="6">
        <v>1</v>
      </c>
      <c r="AO711" s="6">
        <v>0</v>
      </c>
      <c r="AP711" s="6">
        <v>1</v>
      </c>
      <c r="AQ711" s="6">
        <v>0</v>
      </c>
      <c r="AR711" s="6">
        <v>1</v>
      </c>
      <c r="AS711" s="6">
        <v>0</v>
      </c>
      <c r="AT711" s="6">
        <v>1</v>
      </c>
      <c r="AU711" s="6">
        <v>2.25</v>
      </c>
      <c r="AV711" s="6">
        <v>1.41</v>
      </c>
      <c r="AW711" s="6">
        <v>278.45999999999998</v>
      </c>
      <c r="AX711" s="6">
        <v>95.02</v>
      </c>
      <c r="AY711" s="6">
        <v>294.77</v>
      </c>
      <c r="AZ711" s="6">
        <v>13.4</v>
      </c>
      <c r="BA711" s="6">
        <v>51.7</v>
      </c>
    </row>
    <row r="712" spans="1:53" x14ac:dyDescent="0.3">
      <c r="A712" s="6">
        <v>768737754</v>
      </c>
      <c r="B712" s="6">
        <v>308496</v>
      </c>
      <c r="C712" s="6">
        <v>5076817</v>
      </c>
      <c r="D712" s="6">
        <v>3747</v>
      </c>
      <c r="E712" s="6" t="s">
        <v>126</v>
      </c>
      <c r="F712" s="6">
        <v>51793</v>
      </c>
      <c r="G712" s="6" t="s">
        <v>115</v>
      </c>
      <c r="H712" s="10">
        <v>45945</v>
      </c>
      <c r="I712" s="10">
        <v>45945</v>
      </c>
      <c r="J712" s="4">
        <v>45945.71875</v>
      </c>
      <c r="K712" s="4">
        <v>45945.852627314816</v>
      </c>
      <c r="L712" s="11">
        <v>45945.867210648146</v>
      </c>
      <c r="M712" s="10">
        <v>45945</v>
      </c>
      <c r="N712" s="6" t="s">
        <v>70</v>
      </c>
      <c r="O712" t="s">
        <v>152</v>
      </c>
      <c r="P712" s="6" t="s">
        <v>93</v>
      </c>
      <c r="Q712" t="s">
        <v>290</v>
      </c>
      <c r="R712" t="s">
        <v>73</v>
      </c>
      <c r="S712" s="6">
        <v>735561</v>
      </c>
      <c r="T712" s="6" t="s">
        <v>1</v>
      </c>
      <c r="U712">
        <v>116</v>
      </c>
      <c r="V712" s="6">
        <v>11.4</v>
      </c>
      <c r="W712" s="6">
        <v>17.2</v>
      </c>
      <c r="X712" s="6">
        <v>118.7</v>
      </c>
      <c r="Y712" s="6">
        <v>147.30000000000001</v>
      </c>
      <c r="Z712" s="6" t="s">
        <v>80</v>
      </c>
      <c r="AA712" t="s">
        <v>750</v>
      </c>
      <c r="AB712" s="6" t="s">
        <v>90</v>
      </c>
      <c r="AC712" t="s">
        <v>125</v>
      </c>
      <c r="AD712" t="s">
        <v>67</v>
      </c>
      <c r="AE712">
        <v>21</v>
      </c>
      <c r="AF712">
        <v>0</v>
      </c>
      <c r="AG712">
        <v>0</v>
      </c>
      <c r="AH712" s="6">
        <v>92.3</v>
      </c>
      <c r="AI712" s="6">
        <v>0</v>
      </c>
      <c r="AJ712" s="6">
        <v>0.80300000000000005</v>
      </c>
      <c r="AK712" s="6">
        <v>0.71099999999999997</v>
      </c>
      <c r="AL712" s="8">
        <v>4993.37</v>
      </c>
      <c r="AM712" s="6" t="s">
        <v>68</v>
      </c>
      <c r="AN712" s="6">
        <v>1</v>
      </c>
      <c r="AO712" s="6">
        <v>0</v>
      </c>
      <c r="AP712" s="6">
        <v>1</v>
      </c>
      <c r="AQ712" s="6">
        <v>0</v>
      </c>
      <c r="AR712" s="6">
        <v>1</v>
      </c>
      <c r="AS712" s="6">
        <v>0</v>
      </c>
      <c r="AT712" s="6">
        <v>1</v>
      </c>
      <c r="AU712" s="6">
        <v>1.95</v>
      </c>
      <c r="AV712" s="6">
        <v>1.42</v>
      </c>
      <c r="AW712" s="6">
        <v>135.46</v>
      </c>
      <c r="AX712" s="6">
        <v>31.18</v>
      </c>
      <c r="AY712" s="6">
        <v>92.99</v>
      </c>
      <c r="AZ712" s="6">
        <v>15.5</v>
      </c>
      <c r="BA712" s="6">
        <v>49.9</v>
      </c>
    </row>
    <row r="713" spans="1:53" x14ac:dyDescent="0.3">
      <c r="A713" s="6">
        <v>590822013</v>
      </c>
      <c r="B713" s="6">
        <v>197251</v>
      </c>
      <c r="C713" s="6">
        <v>4078418</v>
      </c>
      <c r="D713" s="6">
        <v>2585</v>
      </c>
      <c r="E713" s="6" t="s">
        <v>106</v>
      </c>
      <c r="F713" s="6">
        <v>52723</v>
      </c>
      <c r="G713" s="6" t="s">
        <v>127</v>
      </c>
      <c r="H713" s="10">
        <v>45750</v>
      </c>
      <c r="I713" s="10">
        <v>45750</v>
      </c>
      <c r="J713" s="4">
        <v>45750.454861111109</v>
      </c>
      <c r="K713" s="4">
        <v>45750.579398148147</v>
      </c>
      <c r="L713" s="11">
        <v>45750.584953703707</v>
      </c>
      <c r="M713" s="10">
        <v>45750</v>
      </c>
      <c r="N713" s="6" t="s">
        <v>78</v>
      </c>
      <c r="O713" t="s">
        <v>222</v>
      </c>
      <c r="P713" s="6" t="s">
        <v>78</v>
      </c>
      <c r="Q713" t="s">
        <v>219</v>
      </c>
      <c r="R713" t="s">
        <v>88</v>
      </c>
      <c r="S713" s="6">
        <v>739562</v>
      </c>
      <c r="T713" s="6" t="s">
        <v>3</v>
      </c>
      <c r="U713">
        <v>87</v>
      </c>
      <c r="V713" s="6">
        <v>30.4</v>
      </c>
      <c r="W713" s="6">
        <v>26.3</v>
      </c>
      <c r="X713" s="6">
        <v>88.7</v>
      </c>
      <c r="Y713" s="6">
        <v>145.4</v>
      </c>
      <c r="Z713" s="6" t="s">
        <v>63</v>
      </c>
      <c r="AA713" t="s">
        <v>334</v>
      </c>
      <c r="AB713" s="6" t="s">
        <v>75</v>
      </c>
      <c r="AC713" t="s">
        <v>137</v>
      </c>
      <c r="AD713" t="s">
        <v>67</v>
      </c>
      <c r="AE713">
        <v>8</v>
      </c>
      <c r="AF713">
        <v>0</v>
      </c>
      <c r="AG713">
        <v>0</v>
      </c>
      <c r="AH713" s="6">
        <v>62.1</v>
      </c>
      <c r="AI713" s="6">
        <v>0</v>
      </c>
      <c r="AJ713" s="6">
        <v>0.77800000000000002</v>
      </c>
      <c r="AK713" s="6">
        <v>0.56100000000000005</v>
      </c>
      <c r="AL713" s="8">
        <v>2668.71</v>
      </c>
      <c r="AM713" s="6" t="s">
        <v>68</v>
      </c>
      <c r="AN713" s="6">
        <v>1</v>
      </c>
      <c r="AO713" s="6">
        <v>1</v>
      </c>
      <c r="AP713" s="6">
        <v>0</v>
      </c>
      <c r="AQ713" s="6">
        <v>1</v>
      </c>
      <c r="AR713" s="6">
        <v>0</v>
      </c>
      <c r="AS713" s="6">
        <v>1</v>
      </c>
      <c r="AT713" s="6">
        <v>0</v>
      </c>
      <c r="AU713" s="6">
        <v>2.2000000000000002</v>
      </c>
      <c r="AV713" s="6">
        <v>1.58</v>
      </c>
      <c r="AW713" s="6">
        <v>124.45</v>
      </c>
      <c r="AX713" s="6">
        <v>27.07</v>
      </c>
      <c r="AY713" s="6">
        <v>98.32</v>
      </c>
      <c r="AZ713" s="6">
        <v>11.9</v>
      </c>
      <c r="BA713" s="6">
        <v>20.8</v>
      </c>
    </row>
    <row r="714" spans="1:53" x14ac:dyDescent="0.3">
      <c r="A714" s="6">
        <v>167438668</v>
      </c>
      <c r="B714" s="6">
        <v>913694</v>
      </c>
      <c r="C714" s="6">
        <v>2229110</v>
      </c>
      <c r="D714" s="6">
        <v>8408</v>
      </c>
      <c r="E714" s="6" t="s">
        <v>106</v>
      </c>
      <c r="F714" s="6">
        <v>50658</v>
      </c>
      <c r="G714" s="6" t="s">
        <v>127</v>
      </c>
      <c r="H714" s="10">
        <v>45936</v>
      </c>
      <c r="I714" s="10">
        <v>45936</v>
      </c>
      <c r="J714" s="4">
        <v>45936.538194444445</v>
      </c>
      <c r="K714" s="4">
        <v>45936.631226851852</v>
      </c>
      <c r="L714" s="11">
        <v>45936.632615740738</v>
      </c>
      <c r="M714" s="10">
        <v>45936</v>
      </c>
      <c r="N714" s="6" t="s">
        <v>59</v>
      </c>
      <c r="O714" t="s">
        <v>60</v>
      </c>
      <c r="P714" s="6" t="s">
        <v>59</v>
      </c>
      <c r="Q714" t="s">
        <v>85</v>
      </c>
      <c r="R714" t="s">
        <v>62</v>
      </c>
      <c r="S714" s="6">
        <v>797593</v>
      </c>
      <c r="T714" s="6" t="s">
        <v>3</v>
      </c>
      <c r="U714">
        <v>65</v>
      </c>
      <c r="V714" s="6">
        <v>40.700000000000003</v>
      </c>
      <c r="W714" s="6">
        <v>2.2000000000000002</v>
      </c>
      <c r="X714" s="6">
        <v>46.8</v>
      </c>
      <c r="Y714" s="6">
        <v>89.7</v>
      </c>
      <c r="Z714" s="6" t="s">
        <v>63</v>
      </c>
      <c r="AA714" t="s">
        <v>751</v>
      </c>
      <c r="AB714" s="6" t="s">
        <v>75</v>
      </c>
      <c r="AC714" t="s">
        <v>83</v>
      </c>
      <c r="AD714" t="s">
        <v>67</v>
      </c>
      <c r="AE714">
        <v>2</v>
      </c>
      <c r="AF714">
        <v>0</v>
      </c>
      <c r="AG714">
        <v>0</v>
      </c>
      <c r="AH714" s="6">
        <v>75.5</v>
      </c>
      <c r="AI714" s="6">
        <v>0</v>
      </c>
      <c r="AJ714" s="6">
        <v>0.82199999999999995</v>
      </c>
      <c r="AK714" s="6">
        <v>0.55200000000000005</v>
      </c>
      <c r="AL714" s="8">
        <v>4242.1400000000003</v>
      </c>
      <c r="AM714" s="6" t="s">
        <v>68</v>
      </c>
      <c r="AN714" s="6">
        <v>1</v>
      </c>
      <c r="AO714" s="6">
        <v>1</v>
      </c>
      <c r="AP714" s="6">
        <v>0</v>
      </c>
      <c r="AQ714" s="6">
        <v>1</v>
      </c>
      <c r="AR714" s="6">
        <v>0</v>
      </c>
      <c r="AS714" s="6">
        <v>1</v>
      </c>
      <c r="AT714" s="6">
        <v>0</v>
      </c>
      <c r="AU714" s="6">
        <v>2.08</v>
      </c>
      <c r="AV714" s="6">
        <v>1.25</v>
      </c>
      <c r="AW714" s="6">
        <v>77.069999999999993</v>
      </c>
      <c r="AX714" s="6">
        <v>11.97</v>
      </c>
      <c r="AY714" s="6">
        <v>59.87</v>
      </c>
      <c r="AZ714" s="6">
        <v>9.1</v>
      </c>
      <c r="BA714" s="6">
        <v>49.1</v>
      </c>
    </row>
    <row r="715" spans="1:53" x14ac:dyDescent="0.3">
      <c r="A715" s="6">
        <v>219032752</v>
      </c>
      <c r="B715" s="6">
        <v>198246</v>
      </c>
      <c r="C715" s="6">
        <v>9626108</v>
      </c>
      <c r="D715" s="6">
        <v>5555</v>
      </c>
      <c r="E715" s="6" t="s">
        <v>57</v>
      </c>
      <c r="F715" s="6">
        <v>54761</v>
      </c>
      <c r="G715" s="6" t="s">
        <v>115</v>
      </c>
      <c r="H715" s="10">
        <v>45909</v>
      </c>
      <c r="I715" s="10">
        <v>45909</v>
      </c>
      <c r="J715" s="4">
        <v>45909.263888888891</v>
      </c>
      <c r="K715" s="4">
        <v>45909.537719907406</v>
      </c>
      <c r="L715" s="11">
        <v>45909.544664351852</v>
      </c>
      <c r="M715" s="10">
        <v>45909</v>
      </c>
      <c r="N715" s="6" t="s">
        <v>103</v>
      </c>
      <c r="O715" t="s">
        <v>99</v>
      </c>
      <c r="P715" s="6" t="s">
        <v>103</v>
      </c>
      <c r="Q715" t="s">
        <v>232</v>
      </c>
      <c r="R715" t="s">
        <v>73</v>
      </c>
      <c r="S715" s="6">
        <v>783084</v>
      </c>
      <c r="T715" s="6" t="s">
        <v>1</v>
      </c>
      <c r="U715">
        <v>244</v>
      </c>
      <c r="V715" s="6">
        <v>37</v>
      </c>
      <c r="W715" s="6">
        <v>4.2</v>
      </c>
      <c r="X715" s="6">
        <v>234</v>
      </c>
      <c r="Y715" s="6">
        <v>275.2</v>
      </c>
      <c r="Z715" s="6" t="s">
        <v>80</v>
      </c>
      <c r="AA715" t="s">
        <v>752</v>
      </c>
      <c r="AB715" s="6" t="s">
        <v>97</v>
      </c>
      <c r="AC715" t="s">
        <v>66</v>
      </c>
      <c r="AD715" t="s">
        <v>67</v>
      </c>
      <c r="AE715">
        <v>10</v>
      </c>
      <c r="AF715">
        <v>0</v>
      </c>
      <c r="AG715">
        <v>0</v>
      </c>
      <c r="AH715" s="6">
        <v>62.8</v>
      </c>
      <c r="AI715" s="6">
        <v>0</v>
      </c>
      <c r="AJ715" s="6">
        <v>0.54200000000000004</v>
      </c>
      <c r="AK715" s="6">
        <v>0.748</v>
      </c>
      <c r="AL715" s="8">
        <v>2446.81</v>
      </c>
      <c r="AM715" s="6" t="s">
        <v>68</v>
      </c>
      <c r="AN715" s="6">
        <v>1</v>
      </c>
      <c r="AO715" s="6">
        <v>1</v>
      </c>
      <c r="AP715" s="6">
        <v>0</v>
      </c>
      <c r="AQ715" s="6">
        <v>1</v>
      </c>
      <c r="AR715" s="6">
        <v>0</v>
      </c>
      <c r="AS715" s="6">
        <v>1</v>
      </c>
      <c r="AT715" s="6">
        <v>0</v>
      </c>
      <c r="AU715" s="6">
        <v>2.1</v>
      </c>
      <c r="AV715" s="6">
        <v>1.53</v>
      </c>
      <c r="AW715" s="6">
        <v>230.9</v>
      </c>
      <c r="AX715" s="6">
        <v>50.08</v>
      </c>
      <c r="AY715" s="6">
        <v>166.72</v>
      </c>
      <c r="AZ715" s="6">
        <v>11.5</v>
      </c>
      <c r="BA715" s="6">
        <v>0</v>
      </c>
    </row>
    <row r="716" spans="1:53" x14ac:dyDescent="0.3">
      <c r="A716" s="6">
        <v>998386592</v>
      </c>
      <c r="B716" s="6">
        <v>498382</v>
      </c>
      <c r="C716" s="6">
        <v>5673212</v>
      </c>
      <c r="D716" s="6">
        <v>4943</v>
      </c>
      <c r="E716" s="6" t="s">
        <v>185</v>
      </c>
      <c r="F716" s="6">
        <v>57630</v>
      </c>
      <c r="G716" s="6" t="s">
        <v>107</v>
      </c>
      <c r="H716" s="10">
        <v>45775</v>
      </c>
      <c r="I716" s="10">
        <v>45775</v>
      </c>
      <c r="J716" s="4">
        <v>45775.520833333336</v>
      </c>
      <c r="K716" s="4">
        <v>45775.728715277779</v>
      </c>
      <c r="L716" s="11">
        <v>45775.709270833337</v>
      </c>
      <c r="M716" s="10">
        <v>45775</v>
      </c>
      <c r="N716" s="6" t="s">
        <v>129</v>
      </c>
      <c r="O716" t="s">
        <v>156</v>
      </c>
      <c r="P716" s="6" t="s">
        <v>176</v>
      </c>
      <c r="Q716" t="s">
        <v>292</v>
      </c>
      <c r="R716" t="s">
        <v>88</v>
      </c>
      <c r="S716" s="6">
        <v>739373</v>
      </c>
      <c r="T716" s="6" t="s">
        <v>1</v>
      </c>
      <c r="U716">
        <v>213</v>
      </c>
      <c r="V716" s="6">
        <v>47.3</v>
      </c>
      <c r="W716" s="6">
        <v>37.200000000000003</v>
      </c>
      <c r="X716" s="6">
        <v>217.2</v>
      </c>
      <c r="Y716" s="6">
        <v>301.7</v>
      </c>
      <c r="Z716" s="6" t="s">
        <v>63</v>
      </c>
      <c r="AA716" t="s">
        <v>753</v>
      </c>
      <c r="AB716" s="6" t="s">
        <v>75</v>
      </c>
      <c r="AC716" t="s">
        <v>83</v>
      </c>
      <c r="AD716" t="s">
        <v>67</v>
      </c>
      <c r="AE716">
        <v>-28</v>
      </c>
      <c r="AF716">
        <v>0</v>
      </c>
      <c r="AG716">
        <v>0</v>
      </c>
      <c r="AH716" s="6">
        <v>46.2</v>
      </c>
      <c r="AI716" s="6">
        <v>0</v>
      </c>
      <c r="AJ716" s="6">
        <v>0.78500000000000003</v>
      </c>
      <c r="AK716" s="6">
        <v>0.53300000000000003</v>
      </c>
      <c r="AL716" s="8">
        <v>12916.59</v>
      </c>
      <c r="AM716" s="6" t="s">
        <v>114</v>
      </c>
      <c r="AN716" s="6">
        <v>1</v>
      </c>
      <c r="AO716" s="6">
        <v>1</v>
      </c>
      <c r="AP716" s="6">
        <v>0</v>
      </c>
      <c r="AQ716" s="6">
        <v>1</v>
      </c>
      <c r="AR716" s="6">
        <v>0</v>
      </c>
      <c r="AS716" s="6">
        <v>1</v>
      </c>
      <c r="AT716" s="6">
        <v>0</v>
      </c>
      <c r="AU716" s="6">
        <v>2.09</v>
      </c>
      <c r="AV716" s="6">
        <v>1.42</v>
      </c>
      <c r="AW716" s="6">
        <v>230.87</v>
      </c>
      <c r="AX716" s="6">
        <v>37.15</v>
      </c>
      <c r="AY716" s="6">
        <v>213.29</v>
      </c>
      <c r="AZ716" s="6">
        <v>12.5</v>
      </c>
      <c r="BA716" s="6">
        <v>9.9</v>
      </c>
    </row>
    <row r="717" spans="1:53" x14ac:dyDescent="0.3">
      <c r="A717" s="6">
        <v>636687537</v>
      </c>
      <c r="B717" s="6">
        <v>377932</v>
      </c>
      <c r="C717" s="6">
        <v>9508103</v>
      </c>
      <c r="D717" s="6">
        <v>6699</v>
      </c>
      <c r="E717" s="6" t="s">
        <v>92</v>
      </c>
      <c r="F717" s="6">
        <v>58741</v>
      </c>
      <c r="G717" s="6" t="s">
        <v>164</v>
      </c>
      <c r="H717" s="10">
        <v>45857</v>
      </c>
      <c r="I717" s="10">
        <v>45857</v>
      </c>
      <c r="J717" s="4">
        <v>45857.385416666664</v>
      </c>
      <c r="K717" s="4">
        <v>45857.447916666664</v>
      </c>
      <c r="L717" s="11">
        <v>45857.447916666664</v>
      </c>
      <c r="M717" s="10">
        <v>45857</v>
      </c>
      <c r="N717" s="6" t="s">
        <v>121</v>
      </c>
      <c r="O717" t="s">
        <v>122</v>
      </c>
      <c r="P717" s="6" t="s">
        <v>132</v>
      </c>
      <c r="Q717" t="s">
        <v>186</v>
      </c>
      <c r="R717" t="s">
        <v>62</v>
      </c>
      <c r="S717" s="6">
        <v>701498</v>
      </c>
      <c r="T717" s="6" t="s">
        <v>3</v>
      </c>
      <c r="U717">
        <v>64</v>
      </c>
      <c r="V717" s="6">
        <v>17.100000000000001</v>
      </c>
      <c r="W717" s="6">
        <v>9.6999999999999993</v>
      </c>
      <c r="X717" s="6">
        <v>72.5</v>
      </c>
      <c r="Y717" s="6">
        <v>99.3</v>
      </c>
      <c r="Z717" s="6" t="s">
        <v>112</v>
      </c>
      <c r="AA717" t="s">
        <v>600</v>
      </c>
      <c r="AB717" s="6" t="s">
        <v>97</v>
      </c>
      <c r="AC717" t="s">
        <v>76</v>
      </c>
      <c r="AD717" t="s">
        <v>67</v>
      </c>
      <c r="AE717">
        <v>0</v>
      </c>
      <c r="AF717">
        <v>0</v>
      </c>
      <c r="AG717">
        <v>0</v>
      </c>
      <c r="AH717" s="6">
        <v>47.8</v>
      </c>
      <c r="AI717" s="6">
        <v>0</v>
      </c>
      <c r="AJ717" s="6">
        <v>0.69799999999999995</v>
      </c>
      <c r="AK717" s="6">
        <v>0.58599999999999997</v>
      </c>
      <c r="AL717" s="8">
        <v>14567.55</v>
      </c>
      <c r="AM717" s="6" t="s">
        <v>114</v>
      </c>
      <c r="AN717" s="6">
        <v>1</v>
      </c>
      <c r="AO717" s="6">
        <v>1</v>
      </c>
      <c r="AP717" s="6">
        <v>0</v>
      </c>
      <c r="AQ717" s="6">
        <v>1</v>
      </c>
      <c r="AR717" s="6">
        <v>0</v>
      </c>
      <c r="AS717" s="6">
        <v>1</v>
      </c>
      <c r="AT717" s="6">
        <v>0</v>
      </c>
      <c r="AU717" s="6">
        <v>2.27</v>
      </c>
      <c r="AV717" s="6">
        <v>1.67</v>
      </c>
      <c r="AW717" s="6">
        <v>64.19</v>
      </c>
      <c r="AX717" s="6">
        <v>13.9</v>
      </c>
      <c r="AY717" s="6">
        <v>64.45</v>
      </c>
      <c r="AZ717" s="6">
        <v>13.9</v>
      </c>
      <c r="BA717" s="6">
        <v>43.2</v>
      </c>
    </row>
    <row r="718" spans="1:53" x14ac:dyDescent="0.3">
      <c r="A718" s="6">
        <v>740743666</v>
      </c>
      <c r="B718" s="6">
        <v>847581</v>
      </c>
      <c r="C718" s="6">
        <v>3919694</v>
      </c>
      <c r="D718" s="6">
        <v>9050</v>
      </c>
      <c r="E718" s="6" t="s">
        <v>185</v>
      </c>
      <c r="F718" s="6">
        <v>58834</v>
      </c>
      <c r="G718" s="6" t="s">
        <v>207</v>
      </c>
      <c r="H718" s="10">
        <v>45711</v>
      </c>
      <c r="I718" s="10">
        <v>45711</v>
      </c>
      <c r="J718" s="4">
        <v>45711.628472222219</v>
      </c>
      <c r="K718" s="4">
        <v>45711.873067129629</v>
      </c>
      <c r="L718" s="11">
        <v>45711.853622685187</v>
      </c>
      <c r="M718" s="10">
        <v>45711</v>
      </c>
      <c r="N718" s="6" t="s">
        <v>109</v>
      </c>
      <c r="O718" t="s">
        <v>161</v>
      </c>
      <c r="P718" s="6" t="s">
        <v>86</v>
      </c>
      <c r="Q718" t="s">
        <v>87</v>
      </c>
      <c r="R718" t="s">
        <v>88</v>
      </c>
      <c r="S718" s="6">
        <v>795889</v>
      </c>
      <c r="T718" s="6" t="s">
        <v>111</v>
      </c>
      <c r="U718">
        <v>329</v>
      </c>
      <c r="V718" s="6">
        <v>34.799999999999997</v>
      </c>
      <c r="W718" s="6">
        <v>6.7</v>
      </c>
      <c r="X718" s="6">
        <v>328.5</v>
      </c>
      <c r="Y718" s="6">
        <v>370</v>
      </c>
      <c r="Z718" s="6" t="s">
        <v>63</v>
      </c>
      <c r="AA718" t="s">
        <v>754</v>
      </c>
      <c r="AB718" s="6" t="s">
        <v>90</v>
      </c>
      <c r="AC718" t="s">
        <v>91</v>
      </c>
      <c r="AD718" t="s">
        <v>67</v>
      </c>
      <c r="AE718">
        <v>-28</v>
      </c>
      <c r="AF718">
        <v>0</v>
      </c>
      <c r="AG718">
        <v>0</v>
      </c>
      <c r="AH718" s="6">
        <v>63.6</v>
      </c>
      <c r="AI718" s="6">
        <v>0</v>
      </c>
      <c r="AJ718" s="6">
        <v>0.84499999999999997</v>
      </c>
      <c r="AK718" s="6">
        <v>0.629</v>
      </c>
      <c r="AL718" s="8">
        <v>4762.4799999999996</v>
      </c>
      <c r="AM718" s="6" t="s">
        <v>68</v>
      </c>
      <c r="AN718" s="6">
        <v>1</v>
      </c>
      <c r="AO718" s="6">
        <v>1</v>
      </c>
      <c r="AP718" s="6">
        <v>0</v>
      </c>
      <c r="AQ718" s="6">
        <v>1</v>
      </c>
      <c r="AR718" s="6">
        <v>0</v>
      </c>
      <c r="AS718" s="6">
        <v>1</v>
      </c>
      <c r="AT718" s="6">
        <v>0</v>
      </c>
      <c r="AU718" s="6">
        <v>1.97</v>
      </c>
      <c r="AV718" s="6">
        <v>1.5</v>
      </c>
      <c r="AW718" s="6">
        <v>237.42</v>
      </c>
      <c r="AX718" s="6">
        <v>70.650000000000006</v>
      </c>
      <c r="AY718" s="6">
        <v>195.43</v>
      </c>
      <c r="AZ718" s="6">
        <v>12.5</v>
      </c>
      <c r="BA718" s="6">
        <v>31</v>
      </c>
    </row>
    <row r="719" spans="1:53" x14ac:dyDescent="0.3">
      <c r="A719" s="6">
        <v>675583372</v>
      </c>
      <c r="B719" s="6">
        <v>974628</v>
      </c>
      <c r="C719" s="6">
        <v>3641282</v>
      </c>
      <c r="D719" s="6">
        <v>6892</v>
      </c>
      <c r="E719" s="6" t="s">
        <v>57</v>
      </c>
      <c r="F719" s="6">
        <v>54350</v>
      </c>
      <c r="G719" s="6" t="s">
        <v>149</v>
      </c>
      <c r="H719" s="10">
        <v>45823</v>
      </c>
      <c r="I719" s="10">
        <v>45823</v>
      </c>
      <c r="J719" s="4">
        <v>45823.548611111109</v>
      </c>
      <c r="K719" s="4">
        <v>45823.708807870367</v>
      </c>
      <c r="L719" s="11">
        <v>45823.698391203703</v>
      </c>
      <c r="M719" s="10">
        <v>45823</v>
      </c>
      <c r="N719" s="6" t="s">
        <v>59</v>
      </c>
      <c r="O719" t="s">
        <v>99</v>
      </c>
      <c r="P719" s="6" t="s">
        <v>59</v>
      </c>
      <c r="Q719" t="s">
        <v>61</v>
      </c>
      <c r="R719" t="s">
        <v>62</v>
      </c>
      <c r="S719" s="6">
        <v>797593</v>
      </c>
      <c r="T719" s="6" t="s">
        <v>1</v>
      </c>
      <c r="U719">
        <v>164</v>
      </c>
      <c r="V719" s="6">
        <v>23.7</v>
      </c>
      <c r="W719" s="6">
        <v>15.9</v>
      </c>
      <c r="X719" s="6">
        <v>168.9</v>
      </c>
      <c r="Y719" s="6">
        <v>208.5</v>
      </c>
      <c r="Z719" s="6" t="s">
        <v>63</v>
      </c>
      <c r="AA719" t="s">
        <v>174</v>
      </c>
      <c r="AB719" s="6" t="s">
        <v>75</v>
      </c>
      <c r="AC719" t="s">
        <v>91</v>
      </c>
      <c r="AD719" t="s">
        <v>67</v>
      </c>
      <c r="AE719">
        <v>-15</v>
      </c>
      <c r="AF719">
        <v>0</v>
      </c>
      <c r="AG719">
        <v>0</v>
      </c>
      <c r="AH719" s="6">
        <v>52.5</v>
      </c>
      <c r="AI719" s="6">
        <v>0</v>
      </c>
      <c r="AJ719" s="6">
        <v>0.44700000000000001</v>
      </c>
      <c r="AK719" s="6">
        <v>0.88100000000000001</v>
      </c>
      <c r="AL719" s="8">
        <v>103542.72</v>
      </c>
      <c r="AM719" s="6" t="s">
        <v>155</v>
      </c>
      <c r="AN719" s="6">
        <v>1</v>
      </c>
      <c r="AO719" s="6">
        <v>1</v>
      </c>
      <c r="AP719" s="6">
        <v>0</v>
      </c>
      <c r="AQ719" s="6">
        <v>1</v>
      </c>
      <c r="AR719" s="6">
        <v>0</v>
      </c>
      <c r="AS719" s="6">
        <v>1</v>
      </c>
      <c r="AT719" s="6">
        <v>0</v>
      </c>
      <c r="AU719" s="6">
        <v>2.41</v>
      </c>
      <c r="AV719" s="6">
        <v>1.42</v>
      </c>
      <c r="AW719" s="6">
        <v>186.59</v>
      </c>
      <c r="AX719" s="6">
        <v>42.13</v>
      </c>
      <c r="AY719" s="6">
        <v>131.03</v>
      </c>
      <c r="AZ719" s="6">
        <v>1.4</v>
      </c>
      <c r="BA719" s="6">
        <v>11.3</v>
      </c>
    </row>
    <row r="720" spans="1:53" x14ac:dyDescent="0.3">
      <c r="A720" s="6">
        <v>117647321</v>
      </c>
      <c r="B720" s="6">
        <v>903035</v>
      </c>
      <c r="C720" s="6">
        <v>7110622</v>
      </c>
      <c r="D720" s="6">
        <v>3200</v>
      </c>
      <c r="E720" s="6" t="s">
        <v>92</v>
      </c>
      <c r="F720" s="6">
        <v>50207</v>
      </c>
      <c r="G720" s="6" t="s">
        <v>164</v>
      </c>
      <c r="H720" s="10">
        <v>45979</v>
      </c>
      <c r="I720" s="10">
        <v>45979</v>
      </c>
      <c r="J720" s="4">
        <v>45979.458333333336</v>
      </c>
      <c r="K720" s="4">
        <v>45979.582685185182</v>
      </c>
      <c r="L720" s="11">
        <v>45979.543796296297</v>
      </c>
      <c r="M720" s="10">
        <v>45979</v>
      </c>
      <c r="N720" s="6" t="s">
        <v>134</v>
      </c>
      <c r="O720" t="s">
        <v>278</v>
      </c>
      <c r="P720" s="6" t="s">
        <v>176</v>
      </c>
      <c r="Q720" t="s">
        <v>177</v>
      </c>
      <c r="R720" t="s">
        <v>88</v>
      </c>
      <c r="S720" s="6">
        <v>773553</v>
      </c>
      <c r="T720" s="6" t="s">
        <v>1</v>
      </c>
      <c r="U720">
        <v>139</v>
      </c>
      <c r="V720" s="6">
        <v>26.6</v>
      </c>
      <c r="W720" s="6">
        <v>18</v>
      </c>
      <c r="X720" s="6">
        <v>139.69999999999999</v>
      </c>
      <c r="Y720" s="6">
        <v>184.3</v>
      </c>
      <c r="Z720" s="6" t="s">
        <v>2</v>
      </c>
      <c r="AA720" t="s">
        <v>656</v>
      </c>
      <c r="AB720" s="6" t="s">
        <v>75</v>
      </c>
      <c r="AC720" t="s">
        <v>66</v>
      </c>
      <c r="AD720" t="s">
        <v>67</v>
      </c>
      <c r="AE720">
        <v>-56</v>
      </c>
      <c r="AF720">
        <v>0</v>
      </c>
      <c r="AG720">
        <v>0</v>
      </c>
      <c r="AH720" s="6">
        <v>42.8</v>
      </c>
      <c r="AI720" s="6">
        <v>0</v>
      </c>
      <c r="AJ720" s="6">
        <v>0.81200000000000006</v>
      </c>
      <c r="AK720" s="6">
        <v>0.51300000000000001</v>
      </c>
      <c r="AL720" s="8">
        <v>5110.58</v>
      </c>
      <c r="AM720" s="6" t="s">
        <v>68</v>
      </c>
      <c r="AN720" s="6">
        <v>1</v>
      </c>
      <c r="AO720" s="6">
        <v>1</v>
      </c>
      <c r="AP720" s="6">
        <v>0</v>
      </c>
      <c r="AQ720" s="6">
        <v>1</v>
      </c>
      <c r="AR720" s="6">
        <v>0</v>
      </c>
      <c r="AS720" s="6">
        <v>1</v>
      </c>
      <c r="AT720" s="6">
        <v>0</v>
      </c>
      <c r="AU720" s="6">
        <v>2.06</v>
      </c>
      <c r="AV720" s="6">
        <v>1.49</v>
      </c>
      <c r="AW720" s="6">
        <v>114.28</v>
      </c>
      <c r="AX720" s="6">
        <v>27.65</v>
      </c>
      <c r="AY720" s="6">
        <v>97.39</v>
      </c>
      <c r="AZ720" s="6">
        <v>26.8</v>
      </c>
      <c r="BA720" s="6">
        <v>6</v>
      </c>
    </row>
    <row r="721" spans="1:53" x14ac:dyDescent="0.3">
      <c r="A721" s="6">
        <v>778556450</v>
      </c>
      <c r="B721" s="6">
        <v>787277</v>
      </c>
      <c r="C721" s="6">
        <v>6022741</v>
      </c>
      <c r="D721" s="6">
        <v>3693</v>
      </c>
      <c r="E721" s="6" t="s">
        <v>106</v>
      </c>
      <c r="F721" s="6">
        <v>54190</v>
      </c>
      <c r="G721" s="6" t="s">
        <v>115</v>
      </c>
      <c r="H721" s="10">
        <v>45811</v>
      </c>
      <c r="I721" s="10">
        <v>45811</v>
      </c>
      <c r="J721" s="4">
        <v>45811.322916666664</v>
      </c>
      <c r="K721" s="4">
        <v>45811.446828703702</v>
      </c>
      <c r="L721" s="11">
        <v>45811.432245370372</v>
      </c>
      <c r="M721" s="10">
        <v>45811</v>
      </c>
      <c r="N721" s="6" t="s">
        <v>59</v>
      </c>
      <c r="O721" t="s">
        <v>99</v>
      </c>
      <c r="P721" s="6" t="s">
        <v>70</v>
      </c>
      <c r="Q721" t="s">
        <v>152</v>
      </c>
      <c r="R721" t="s">
        <v>73</v>
      </c>
      <c r="S721" s="6">
        <v>736170</v>
      </c>
      <c r="T721" s="6" t="s">
        <v>1</v>
      </c>
      <c r="U721">
        <v>147</v>
      </c>
      <c r="V721" s="6">
        <v>26.6</v>
      </c>
      <c r="W721" s="6">
        <v>24</v>
      </c>
      <c r="X721" s="6">
        <v>147.19999999999999</v>
      </c>
      <c r="Y721" s="6">
        <v>197.8</v>
      </c>
      <c r="Z721" s="6" t="s">
        <v>63</v>
      </c>
      <c r="AA721" t="s">
        <v>755</v>
      </c>
      <c r="AB721" s="6" t="s">
        <v>97</v>
      </c>
      <c r="AC721" t="s">
        <v>66</v>
      </c>
      <c r="AD721" t="s">
        <v>67</v>
      </c>
      <c r="AE721">
        <v>-21</v>
      </c>
      <c r="AF721">
        <v>0</v>
      </c>
      <c r="AG721">
        <v>0</v>
      </c>
      <c r="AH721" s="6">
        <v>73.7</v>
      </c>
      <c r="AI721" s="6">
        <v>0</v>
      </c>
      <c r="AJ721" s="6">
        <v>0.84</v>
      </c>
      <c r="AK721" s="6">
        <v>0.72799999999999998</v>
      </c>
      <c r="AL721" s="8">
        <v>44837.93</v>
      </c>
      <c r="AM721" s="6" t="s">
        <v>155</v>
      </c>
      <c r="AN721" s="6">
        <v>1</v>
      </c>
      <c r="AO721" s="6">
        <v>1</v>
      </c>
      <c r="AP721" s="6">
        <v>0</v>
      </c>
      <c r="AQ721" s="6">
        <v>1</v>
      </c>
      <c r="AR721" s="6">
        <v>0</v>
      </c>
      <c r="AS721" s="6">
        <v>1</v>
      </c>
      <c r="AT721" s="6">
        <v>0</v>
      </c>
      <c r="AU721" s="6">
        <v>2.6</v>
      </c>
      <c r="AV721" s="6">
        <v>1.57</v>
      </c>
      <c r="AW721" s="6">
        <v>164.12</v>
      </c>
      <c r="AX721" s="6">
        <v>32.200000000000003</v>
      </c>
      <c r="AY721" s="6">
        <v>121.47</v>
      </c>
      <c r="AZ721" s="6">
        <v>3.4</v>
      </c>
      <c r="BA721" s="6">
        <v>8.9</v>
      </c>
    </row>
    <row r="722" spans="1:53" x14ac:dyDescent="0.3">
      <c r="A722" s="6">
        <v>653380476</v>
      </c>
      <c r="B722" s="6">
        <v>496922</v>
      </c>
      <c r="C722" s="6">
        <v>9075854</v>
      </c>
      <c r="D722" s="6">
        <v>8869</v>
      </c>
      <c r="E722" s="6" t="s">
        <v>84</v>
      </c>
      <c r="F722" s="6">
        <v>51883</v>
      </c>
      <c r="G722" s="6" t="s">
        <v>146</v>
      </c>
      <c r="H722" s="10">
        <v>45964</v>
      </c>
      <c r="I722" s="10">
        <v>45964</v>
      </c>
      <c r="J722" s="4">
        <v>45964.888888888891</v>
      </c>
      <c r="K722" s="4">
        <v>45965.025335648148</v>
      </c>
      <c r="L722" s="11">
        <v>45964.989224537036</v>
      </c>
      <c r="M722" s="10">
        <v>45964</v>
      </c>
      <c r="N722" s="6" t="s">
        <v>93</v>
      </c>
      <c r="O722" t="s">
        <v>95</v>
      </c>
      <c r="P722" s="6" t="s">
        <v>93</v>
      </c>
      <c r="Q722" t="s">
        <v>290</v>
      </c>
      <c r="R722" t="s">
        <v>73</v>
      </c>
      <c r="S722" s="6">
        <v>758654</v>
      </c>
      <c r="T722" s="6" t="s">
        <v>3</v>
      </c>
      <c r="U722">
        <v>107</v>
      </c>
      <c r="V722" s="6">
        <v>31.7</v>
      </c>
      <c r="W722" s="6">
        <v>36.1</v>
      </c>
      <c r="X722" s="6">
        <v>106.1</v>
      </c>
      <c r="Y722" s="6">
        <v>173.9</v>
      </c>
      <c r="Z722" s="6" t="s">
        <v>112</v>
      </c>
      <c r="AA722" t="s">
        <v>485</v>
      </c>
      <c r="AB722" s="6" t="s">
        <v>65</v>
      </c>
      <c r="AC722" t="s">
        <v>83</v>
      </c>
      <c r="AD722" t="s">
        <v>67</v>
      </c>
      <c r="AE722">
        <v>-52</v>
      </c>
      <c r="AF722">
        <v>0</v>
      </c>
      <c r="AG722">
        <v>0</v>
      </c>
      <c r="AH722" s="6">
        <v>56</v>
      </c>
      <c r="AI722" s="6">
        <v>0</v>
      </c>
      <c r="AJ722" s="6">
        <v>0.84799999999999998</v>
      </c>
      <c r="AK722" s="6">
        <v>0.7</v>
      </c>
      <c r="AL722" s="8">
        <v>8458.39</v>
      </c>
      <c r="AM722" s="6" t="s">
        <v>114</v>
      </c>
      <c r="AN722" s="6">
        <v>1</v>
      </c>
      <c r="AO722" s="6">
        <v>1</v>
      </c>
      <c r="AP722" s="6">
        <v>0</v>
      </c>
      <c r="AQ722" s="6">
        <v>1</v>
      </c>
      <c r="AR722" s="6">
        <v>0</v>
      </c>
      <c r="AS722" s="6">
        <v>1</v>
      </c>
      <c r="AT722" s="6">
        <v>0</v>
      </c>
      <c r="AU722" s="6">
        <v>2.37</v>
      </c>
      <c r="AV722" s="6">
        <v>1.57</v>
      </c>
      <c r="AW722" s="6">
        <v>140.61000000000001</v>
      </c>
      <c r="AX722" s="6">
        <v>25.45</v>
      </c>
      <c r="AY722" s="6">
        <v>116.44</v>
      </c>
      <c r="AZ722" s="6">
        <v>9.3000000000000007</v>
      </c>
      <c r="BA722" s="6">
        <v>25.1</v>
      </c>
    </row>
    <row r="723" spans="1:53" x14ac:dyDescent="0.3">
      <c r="A723" s="6">
        <v>717452511</v>
      </c>
      <c r="B723" s="6">
        <v>680099</v>
      </c>
      <c r="C723" s="6">
        <v>7003042</v>
      </c>
      <c r="D723" s="6">
        <v>6535</v>
      </c>
      <c r="E723" s="6" t="s">
        <v>101</v>
      </c>
      <c r="F723" s="6">
        <v>52886</v>
      </c>
      <c r="G723" s="6" t="s">
        <v>107</v>
      </c>
      <c r="H723" s="10">
        <v>45873</v>
      </c>
      <c r="I723" s="10">
        <v>45873</v>
      </c>
      <c r="J723" s="4">
        <v>45873.041666666664</v>
      </c>
      <c r="K723" s="4">
        <v>45873.159594907411</v>
      </c>
      <c r="L723" s="11">
        <v>45873.127650462964</v>
      </c>
      <c r="M723" s="10">
        <v>45873</v>
      </c>
      <c r="N723" s="6" t="s">
        <v>103</v>
      </c>
      <c r="O723" t="s">
        <v>204</v>
      </c>
      <c r="P723" s="6" t="s">
        <v>129</v>
      </c>
      <c r="Q723" t="s">
        <v>130</v>
      </c>
      <c r="R723" t="s">
        <v>123</v>
      </c>
      <c r="S723" s="6">
        <v>770517</v>
      </c>
      <c r="T723" s="6" t="s">
        <v>1</v>
      </c>
      <c r="U723">
        <v>137</v>
      </c>
      <c r="V723" s="6">
        <v>21.4</v>
      </c>
      <c r="W723" s="6">
        <v>12.1</v>
      </c>
      <c r="X723" s="6">
        <v>137.5</v>
      </c>
      <c r="Y723" s="6">
        <v>171</v>
      </c>
      <c r="Z723" s="6" t="s">
        <v>2</v>
      </c>
      <c r="AA723" t="s">
        <v>756</v>
      </c>
      <c r="AB723" s="6" t="s">
        <v>82</v>
      </c>
      <c r="AC723" t="s">
        <v>83</v>
      </c>
      <c r="AD723" t="s">
        <v>67</v>
      </c>
      <c r="AE723">
        <v>-46</v>
      </c>
      <c r="AF723">
        <v>0</v>
      </c>
      <c r="AG723">
        <v>0</v>
      </c>
      <c r="AH723" s="6">
        <v>34.299999999999997</v>
      </c>
      <c r="AI723" s="6">
        <v>0</v>
      </c>
      <c r="AJ723" s="6">
        <v>0.64900000000000002</v>
      </c>
      <c r="AK723" s="6">
        <v>0.65900000000000003</v>
      </c>
      <c r="AL723" s="8">
        <v>4414.42</v>
      </c>
      <c r="AM723" s="6" t="s">
        <v>68</v>
      </c>
      <c r="AN723" s="6">
        <v>1</v>
      </c>
      <c r="AO723" s="6">
        <v>1</v>
      </c>
      <c r="AP723" s="6">
        <v>0</v>
      </c>
      <c r="AQ723" s="6">
        <v>1</v>
      </c>
      <c r="AR723" s="6">
        <v>0</v>
      </c>
      <c r="AS723" s="6">
        <v>1</v>
      </c>
      <c r="AT723" s="6">
        <v>0</v>
      </c>
      <c r="AU723" s="6">
        <v>2.19</v>
      </c>
      <c r="AV723" s="6">
        <v>1.28</v>
      </c>
      <c r="AW723" s="6">
        <v>131.72999999999999</v>
      </c>
      <c r="AX723" s="6">
        <v>26.94</v>
      </c>
      <c r="AY723" s="6">
        <v>115.43</v>
      </c>
      <c r="AZ723" s="6">
        <v>28.3</v>
      </c>
      <c r="BA723" s="6">
        <v>34.799999999999997</v>
      </c>
    </row>
    <row r="724" spans="1:53" x14ac:dyDescent="0.3">
      <c r="A724" s="6">
        <v>359779090</v>
      </c>
      <c r="B724" s="6">
        <v>813536</v>
      </c>
      <c r="C724" s="6">
        <v>3500715</v>
      </c>
      <c r="D724" s="6">
        <v>5737</v>
      </c>
      <c r="E724" s="6" t="s">
        <v>57</v>
      </c>
      <c r="F724" s="6">
        <v>50477</v>
      </c>
      <c r="G724" s="6" t="s">
        <v>175</v>
      </c>
      <c r="H724" s="10">
        <v>45728</v>
      </c>
      <c r="I724" s="10">
        <v>45728</v>
      </c>
      <c r="J724" s="4">
        <v>45728.201388888891</v>
      </c>
      <c r="K724" s="4">
        <v>45728.367384259262</v>
      </c>
      <c r="L724" s="11">
        <v>45728.354189814818</v>
      </c>
      <c r="M724" s="10">
        <v>45728</v>
      </c>
      <c r="N724" s="6" t="s">
        <v>121</v>
      </c>
      <c r="O724" t="s">
        <v>179</v>
      </c>
      <c r="P724" s="6" t="s">
        <v>150</v>
      </c>
      <c r="Q724" t="s">
        <v>265</v>
      </c>
      <c r="R724" t="s">
        <v>73</v>
      </c>
      <c r="S724" s="6">
        <v>704946</v>
      </c>
      <c r="T724" s="6" t="s">
        <v>1</v>
      </c>
      <c r="U724">
        <v>162</v>
      </c>
      <c r="V724" s="6">
        <v>3.6</v>
      </c>
      <c r="W724" s="6">
        <v>5.0999999999999996</v>
      </c>
      <c r="X724" s="6">
        <v>164.3</v>
      </c>
      <c r="Y724" s="6">
        <v>173</v>
      </c>
      <c r="Z724" s="6" t="s">
        <v>2</v>
      </c>
      <c r="AA724" t="s">
        <v>395</v>
      </c>
      <c r="AB724" s="6" t="s">
        <v>82</v>
      </c>
      <c r="AC724" t="s">
        <v>125</v>
      </c>
      <c r="AD724" t="s">
        <v>67</v>
      </c>
      <c r="AE724">
        <v>-19</v>
      </c>
      <c r="AF724">
        <v>0</v>
      </c>
      <c r="AG724">
        <v>0</v>
      </c>
      <c r="AH724" s="6">
        <v>44.8</v>
      </c>
      <c r="AI724" s="6">
        <v>0</v>
      </c>
      <c r="AJ724" s="6">
        <v>0.57699999999999996</v>
      </c>
      <c r="AK724" s="6">
        <v>0.752</v>
      </c>
      <c r="AL724" s="8">
        <v>5570.62</v>
      </c>
      <c r="AM724" s="6" t="s">
        <v>68</v>
      </c>
      <c r="AN724" s="6">
        <v>1</v>
      </c>
      <c r="AO724" s="6">
        <v>1</v>
      </c>
      <c r="AP724" s="6">
        <v>0</v>
      </c>
      <c r="AQ724" s="6">
        <v>1</v>
      </c>
      <c r="AR724" s="6">
        <v>0</v>
      </c>
      <c r="AS724" s="6">
        <v>1</v>
      </c>
      <c r="AT724" s="6">
        <v>0</v>
      </c>
      <c r="AU724" s="6">
        <v>2.37</v>
      </c>
      <c r="AV724" s="6">
        <v>1.55</v>
      </c>
      <c r="AW724" s="6">
        <v>157.86000000000001</v>
      </c>
      <c r="AX724" s="6">
        <v>27.94</v>
      </c>
      <c r="AY724" s="6">
        <v>110.06</v>
      </c>
      <c r="AZ724" s="6">
        <v>6.9</v>
      </c>
      <c r="BA724" s="6">
        <v>46.6</v>
      </c>
    </row>
    <row r="725" spans="1:53" x14ac:dyDescent="0.3">
      <c r="A725" s="6">
        <v>871531100</v>
      </c>
      <c r="B725" s="6">
        <v>781446</v>
      </c>
      <c r="C725" s="6">
        <v>6098175</v>
      </c>
      <c r="D725" s="6">
        <v>2693</v>
      </c>
      <c r="E725" s="6" t="s">
        <v>211</v>
      </c>
      <c r="F725" s="6">
        <v>58953</v>
      </c>
      <c r="G725" s="6" t="s">
        <v>127</v>
      </c>
      <c r="H725" s="10">
        <v>45870</v>
      </c>
      <c r="I725" s="10">
        <v>45870</v>
      </c>
      <c r="J725" s="4">
        <v>45870.385416666664</v>
      </c>
      <c r="K725" s="4">
        <v>45870.567974537036</v>
      </c>
      <c r="L725" s="11">
        <v>45870.544363425928</v>
      </c>
      <c r="M725" s="10">
        <v>45870</v>
      </c>
      <c r="N725" s="6" t="s">
        <v>170</v>
      </c>
      <c r="O725" t="s">
        <v>189</v>
      </c>
      <c r="P725" s="6" t="s">
        <v>109</v>
      </c>
      <c r="Q725" t="s">
        <v>118</v>
      </c>
      <c r="R725" t="s">
        <v>88</v>
      </c>
      <c r="S725" s="6">
        <v>712358</v>
      </c>
      <c r="T725" s="6" t="s">
        <v>1</v>
      </c>
      <c r="U725">
        <v>231</v>
      </c>
      <c r="V725" s="6">
        <v>24.8</v>
      </c>
      <c r="W725" s="6">
        <v>21.2</v>
      </c>
      <c r="X725" s="6">
        <v>228.6</v>
      </c>
      <c r="Y725" s="6">
        <v>274.60000000000002</v>
      </c>
      <c r="Z725" s="6" t="s">
        <v>80</v>
      </c>
      <c r="AA725" t="s">
        <v>710</v>
      </c>
      <c r="AB725" s="6" t="s">
        <v>97</v>
      </c>
      <c r="AC725" t="s">
        <v>154</v>
      </c>
      <c r="AD725" t="s">
        <v>67</v>
      </c>
      <c r="AE725">
        <v>-34</v>
      </c>
      <c r="AF725">
        <v>0</v>
      </c>
      <c r="AG725">
        <v>0</v>
      </c>
      <c r="AH725" s="6">
        <v>48.9</v>
      </c>
      <c r="AI725" s="6">
        <v>0</v>
      </c>
      <c r="AJ725" s="6">
        <v>0.74099999999999999</v>
      </c>
      <c r="AK725" s="6">
        <v>0.71</v>
      </c>
      <c r="AL725" s="8">
        <v>2224.71</v>
      </c>
      <c r="AM725" s="6" t="s">
        <v>68</v>
      </c>
      <c r="AN725" s="6">
        <v>1</v>
      </c>
      <c r="AO725" s="6">
        <v>1</v>
      </c>
      <c r="AP725" s="6">
        <v>0</v>
      </c>
      <c r="AQ725" s="6">
        <v>1</v>
      </c>
      <c r="AR725" s="6">
        <v>0</v>
      </c>
      <c r="AS725" s="6">
        <v>1</v>
      </c>
      <c r="AT725" s="6">
        <v>0</v>
      </c>
      <c r="AU725" s="6">
        <v>2.09</v>
      </c>
      <c r="AV725" s="6">
        <v>1.29</v>
      </c>
      <c r="AW725" s="6">
        <v>186.57</v>
      </c>
      <c r="AX725" s="6">
        <v>50.26</v>
      </c>
      <c r="AY725" s="6">
        <v>183.43</v>
      </c>
      <c r="AZ725" s="6">
        <v>13.3</v>
      </c>
      <c r="BA725" s="6">
        <v>16</v>
      </c>
    </row>
    <row r="726" spans="1:53" x14ac:dyDescent="0.3">
      <c r="A726" s="6">
        <v>254164462</v>
      </c>
      <c r="B726" s="6">
        <v>662275</v>
      </c>
      <c r="C726" s="6">
        <v>7818496</v>
      </c>
      <c r="D726" s="6">
        <v>8629</v>
      </c>
      <c r="E726" s="6" t="s">
        <v>106</v>
      </c>
      <c r="F726" s="6">
        <v>58381</v>
      </c>
      <c r="G726" s="6" t="s">
        <v>102</v>
      </c>
      <c r="H726" s="10">
        <v>45842</v>
      </c>
      <c r="I726" s="10">
        <v>45842</v>
      </c>
      <c r="J726" s="4">
        <v>45842.954861111109</v>
      </c>
      <c r="K726" s="4">
        <v>45843.203981481478</v>
      </c>
      <c r="L726" s="11">
        <v>45843.196342592593</v>
      </c>
      <c r="M726" s="10">
        <v>45843</v>
      </c>
      <c r="N726" s="6" t="s">
        <v>103</v>
      </c>
      <c r="O726" t="s">
        <v>204</v>
      </c>
      <c r="P726" s="6" t="s">
        <v>132</v>
      </c>
      <c r="Q726" t="s">
        <v>328</v>
      </c>
      <c r="R726" t="s">
        <v>62</v>
      </c>
      <c r="S726" s="6">
        <v>729109</v>
      </c>
      <c r="T726" s="6" t="s">
        <v>1</v>
      </c>
      <c r="U726">
        <v>236</v>
      </c>
      <c r="V726" s="6">
        <v>28.5</v>
      </c>
      <c r="W726" s="6">
        <v>13.9</v>
      </c>
      <c r="X726" s="6">
        <v>243.5</v>
      </c>
      <c r="Y726" s="6">
        <v>285.89999999999998</v>
      </c>
      <c r="Z726" s="6" t="s">
        <v>112</v>
      </c>
      <c r="AA726" t="s">
        <v>757</v>
      </c>
      <c r="AB726" s="6" t="s">
        <v>65</v>
      </c>
      <c r="AC726" t="s">
        <v>154</v>
      </c>
      <c r="AD726" t="s">
        <v>67</v>
      </c>
      <c r="AE726">
        <v>-11</v>
      </c>
      <c r="AF726">
        <v>0</v>
      </c>
      <c r="AG726">
        <v>0</v>
      </c>
      <c r="AH726" s="6">
        <v>40.700000000000003</v>
      </c>
      <c r="AI726" s="6">
        <v>0</v>
      </c>
      <c r="AJ726" s="6">
        <v>0.73099999999999998</v>
      </c>
      <c r="AK726" s="6">
        <v>0.67400000000000004</v>
      </c>
      <c r="AL726" s="8">
        <v>6760.32</v>
      </c>
      <c r="AM726" s="6" t="s">
        <v>114</v>
      </c>
      <c r="AN726" s="6">
        <v>1</v>
      </c>
      <c r="AO726" s="6">
        <v>1</v>
      </c>
      <c r="AP726" s="6">
        <v>0</v>
      </c>
      <c r="AQ726" s="6">
        <v>1</v>
      </c>
      <c r="AR726" s="6">
        <v>0</v>
      </c>
      <c r="AS726" s="6">
        <v>1</v>
      </c>
      <c r="AT726" s="6">
        <v>0</v>
      </c>
      <c r="AU726" s="6">
        <v>2.5499999999999998</v>
      </c>
      <c r="AV726" s="6">
        <v>1.79</v>
      </c>
      <c r="AW726" s="6">
        <v>244.61</v>
      </c>
      <c r="AX726" s="6">
        <v>54.34</v>
      </c>
      <c r="AY726" s="6">
        <v>169.63</v>
      </c>
      <c r="AZ726" s="6">
        <v>31.4</v>
      </c>
      <c r="BA726" s="6">
        <v>62.7</v>
      </c>
    </row>
    <row r="727" spans="1:53" x14ac:dyDescent="0.3">
      <c r="A727" s="6">
        <v>412750915</v>
      </c>
      <c r="B727" s="6">
        <v>503457</v>
      </c>
      <c r="C727" s="6">
        <v>8210624</v>
      </c>
      <c r="D727" s="6">
        <v>8392</v>
      </c>
      <c r="E727" s="6" t="s">
        <v>225</v>
      </c>
      <c r="F727" s="6">
        <v>56854</v>
      </c>
      <c r="G727" s="6" t="s">
        <v>146</v>
      </c>
      <c r="H727" s="10">
        <v>45803</v>
      </c>
      <c r="I727" s="10">
        <v>45803</v>
      </c>
      <c r="J727" s="4">
        <v>45803.861111111109</v>
      </c>
      <c r="K727" s="4">
        <v>45804.013969907406</v>
      </c>
      <c r="L727" s="11">
        <v>45804.02716435185</v>
      </c>
      <c r="M727" s="10">
        <v>45804</v>
      </c>
      <c r="N727" s="6" t="s">
        <v>132</v>
      </c>
      <c r="O727" t="s">
        <v>133</v>
      </c>
      <c r="P727" s="6" t="s">
        <v>200</v>
      </c>
      <c r="Q727" t="s">
        <v>171</v>
      </c>
      <c r="R727" t="s">
        <v>62</v>
      </c>
      <c r="S727" s="6">
        <v>748997</v>
      </c>
      <c r="T727" s="6" t="s">
        <v>1</v>
      </c>
      <c r="U727">
        <v>138</v>
      </c>
      <c r="V727" s="6">
        <v>21.2</v>
      </c>
      <c r="W727" s="6">
        <v>32.5</v>
      </c>
      <c r="X727" s="6">
        <v>132</v>
      </c>
      <c r="Y727" s="6">
        <v>185.7</v>
      </c>
      <c r="Z727" s="6" t="s">
        <v>63</v>
      </c>
      <c r="AA727" t="s">
        <v>758</v>
      </c>
      <c r="AB727" s="6" t="s">
        <v>65</v>
      </c>
      <c r="AC727" t="s">
        <v>83</v>
      </c>
      <c r="AD727" t="s">
        <v>67</v>
      </c>
      <c r="AE727">
        <v>19</v>
      </c>
      <c r="AF727">
        <v>0</v>
      </c>
      <c r="AG727">
        <v>0</v>
      </c>
      <c r="AH727" s="6">
        <v>41.1</v>
      </c>
      <c r="AI727" s="6">
        <v>0</v>
      </c>
      <c r="AJ727" s="6">
        <v>0.66100000000000003</v>
      </c>
      <c r="AK727" s="6">
        <v>0.48599999999999999</v>
      </c>
      <c r="AL727" s="8">
        <v>77299.06</v>
      </c>
      <c r="AM727" s="6" t="s">
        <v>155</v>
      </c>
      <c r="AN727" s="6">
        <v>1</v>
      </c>
      <c r="AO727" s="6">
        <v>0</v>
      </c>
      <c r="AP727" s="6">
        <v>1</v>
      </c>
      <c r="AQ727" s="6">
        <v>0</v>
      </c>
      <c r="AR727" s="6">
        <v>1</v>
      </c>
      <c r="AS727" s="6">
        <v>0</v>
      </c>
      <c r="AT727" s="6">
        <v>1</v>
      </c>
      <c r="AU727" s="6">
        <v>1.91</v>
      </c>
      <c r="AV727" s="6">
        <v>1.32</v>
      </c>
      <c r="AW727" s="6">
        <v>152.72999999999999</v>
      </c>
      <c r="AX727" s="6">
        <v>40.299999999999997</v>
      </c>
      <c r="AY727" s="6">
        <v>113.68</v>
      </c>
      <c r="AZ727" s="6">
        <v>6.5</v>
      </c>
      <c r="BA727" s="6">
        <v>43.6</v>
      </c>
    </row>
    <row r="728" spans="1:53" x14ac:dyDescent="0.3">
      <c r="A728" s="6">
        <v>560891752</v>
      </c>
      <c r="B728" s="6">
        <v>872246</v>
      </c>
      <c r="C728" s="6">
        <v>4860684</v>
      </c>
      <c r="D728" s="6">
        <v>6578</v>
      </c>
      <c r="E728" s="6" t="s">
        <v>126</v>
      </c>
      <c r="F728" s="6">
        <v>50755</v>
      </c>
      <c r="G728" s="6" t="s">
        <v>107</v>
      </c>
      <c r="H728" s="10">
        <v>45701</v>
      </c>
      <c r="I728" s="10">
        <v>45701</v>
      </c>
      <c r="J728" s="4">
        <v>45701.604166666664</v>
      </c>
      <c r="K728" s="4">
        <v>45701.702905092592</v>
      </c>
      <c r="L728" s="11">
        <v>45701.68068287037</v>
      </c>
      <c r="M728" s="10">
        <v>45701</v>
      </c>
      <c r="N728" s="6" t="s">
        <v>109</v>
      </c>
      <c r="O728" t="s">
        <v>110</v>
      </c>
      <c r="P728" s="6" t="s">
        <v>109</v>
      </c>
      <c r="Q728" t="s">
        <v>118</v>
      </c>
      <c r="R728" t="s">
        <v>88</v>
      </c>
      <c r="S728" s="6">
        <v>705397</v>
      </c>
      <c r="T728" s="6" t="s">
        <v>3</v>
      </c>
      <c r="U728">
        <v>91</v>
      </c>
      <c r="V728" s="6">
        <v>29.8</v>
      </c>
      <c r="W728" s="6">
        <v>22.5</v>
      </c>
      <c r="X728" s="6">
        <v>101.2</v>
      </c>
      <c r="Y728" s="6">
        <v>153.5</v>
      </c>
      <c r="Z728" s="6" t="s">
        <v>2</v>
      </c>
      <c r="AA728" t="s">
        <v>701</v>
      </c>
      <c r="AB728" s="6" t="s">
        <v>90</v>
      </c>
      <c r="AC728" t="s">
        <v>137</v>
      </c>
      <c r="AD728" t="s">
        <v>67</v>
      </c>
      <c r="AE728">
        <v>-32</v>
      </c>
      <c r="AF728">
        <v>0</v>
      </c>
      <c r="AG728">
        <v>0</v>
      </c>
      <c r="AH728" s="6">
        <v>40.5</v>
      </c>
      <c r="AI728" s="6">
        <v>0</v>
      </c>
      <c r="AJ728" s="6">
        <v>0.65</v>
      </c>
      <c r="AK728" s="6">
        <v>0.76400000000000001</v>
      </c>
      <c r="AL728" s="8">
        <v>3012.99</v>
      </c>
      <c r="AM728" s="6" t="s">
        <v>68</v>
      </c>
      <c r="AN728" s="6">
        <v>1</v>
      </c>
      <c r="AO728" s="6">
        <v>1</v>
      </c>
      <c r="AP728" s="6">
        <v>0</v>
      </c>
      <c r="AQ728" s="6">
        <v>1</v>
      </c>
      <c r="AR728" s="6">
        <v>0</v>
      </c>
      <c r="AS728" s="6">
        <v>1</v>
      </c>
      <c r="AT728" s="6">
        <v>0</v>
      </c>
      <c r="AU728" s="6">
        <v>2.11</v>
      </c>
      <c r="AV728" s="6">
        <v>1.59</v>
      </c>
      <c r="AW728" s="6">
        <v>140.04</v>
      </c>
      <c r="AX728" s="6">
        <v>23.41</v>
      </c>
      <c r="AY728" s="6">
        <v>106.08</v>
      </c>
      <c r="AZ728" s="6">
        <v>41.8</v>
      </c>
      <c r="BA728" s="6">
        <v>13.1</v>
      </c>
    </row>
    <row r="729" spans="1:53" x14ac:dyDescent="0.3">
      <c r="A729" s="6">
        <v>101679695</v>
      </c>
      <c r="B729" s="6">
        <v>688508</v>
      </c>
      <c r="C729" s="6">
        <v>8930103</v>
      </c>
      <c r="D729" s="6">
        <v>3047</v>
      </c>
      <c r="E729" s="6" t="s">
        <v>225</v>
      </c>
      <c r="F729" s="6">
        <v>59638</v>
      </c>
      <c r="G729" s="6" t="s">
        <v>127</v>
      </c>
      <c r="H729" s="10">
        <v>45810</v>
      </c>
      <c r="I729" s="10">
        <v>45810</v>
      </c>
      <c r="J729" s="4">
        <v>45810.927083333336</v>
      </c>
      <c r="K729" s="4">
        <v>45811.352175925924</v>
      </c>
      <c r="L729" s="11">
        <v>45811.335509259261</v>
      </c>
      <c r="M729" s="10">
        <v>45811</v>
      </c>
      <c r="N729" s="6" t="s">
        <v>93</v>
      </c>
      <c r="O729" t="s">
        <v>94</v>
      </c>
      <c r="P729" s="6" t="s">
        <v>109</v>
      </c>
      <c r="Q729" t="s">
        <v>118</v>
      </c>
      <c r="R729" t="s">
        <v>88</v>
      </c>
      <c r="S729" s="6">
        <v>707094</v>
      </c>
      <c r="T729" s="6" t="s">
        <v>111</v>
      </c>
      <c r="U729">
        <v>470</v>
      </c>
      <c r="V729" s="6">
        <v>19.8</v>
      </c>
      <c r="W729" s="6">
        <v>30.5</v>
      </c>
      <c r="X729" s="6">
        <v>468.7</v>
      </c>
      <c r="Y729" s="6">
        <v>519</v>
      </c>
      <c r="Z729" s="6" t="s">
        <v>80</v>
      </c>
      <c r="AA729" t="s">
        <v>759</v>
      </c>
      <c r="AB729" s="6" t="s">
        <v>65</v>
      </c>
      <c r="AC729" t="s">
        <v>83</v>
      </c>
      <c r="AD729" t="s">
        <v>67</v>
      </c>
      <c r="AE729">
        <v>-24</v>
      </c>
      <c r="AF729">
        <v>0</v>
      </c>
      <c r="AG729">
        <v>0</v>
      </c>
      <c r="AH729" s="6">
        <v>15.9</v>
      </c>
      <c r="AI729" s="6">
        <v>0</v>
      </c>
      <c r="AJ729" s="6">
        <v>0.59099999999999997</v>
      </c>
      <c r="AK729" s="6">
        <v>0.59299999999999997</v>
      </c>
      <c r="AL729" s="8">
        <v>5401.61</v>
      </c>
      <c r="AM729" s="6" t="s">
        <v>68</v>
      </c>
      <c r="AN729" s="6">
        <v>1</v>
      </c>
      <c r="AO729" s="6">
        <v>1</v>
      </c>
      <c r="AP729" s="6">
        <v>0</v>
      </c>
      <c r="AQ729" s="6">
        <v>1</v>
      </c>
      <c r="AR729" s="6">
        <v>0</v>
      </c>
      <c r="AS729" s="6">
        <v>1</v>
      </c>
      <c r="AT729" s="6">
        <v>0</v>
      </c>
      <c r="AU729" s="6">
        <v>2.11</v>
      </c>
      <c r="AV729" s="6">
        <v>1.52</v>
      </c>
      <c r="AW729" s="6">
        <v>467.21</v>
      </c>
      <c r="AX729" s="6">
        <v>57.08</v>
      </c>
      <c r="AY729" s="6">
        <v>310.54000000000002</v>
      </c>
      <c r="AZ729" s="6">
        <v>4</v>
      </c>
      <c r="BA729" s="6">
        <v>53.9</v>
      </c>
    </row>
    <row r="730" spans="1:53" x14ac:dyDescent="0.3">
      <c r="A730" s="6">
        <v>760146764</v>
      </c>
      <c r="B730" s="6">
        <v>770487</v>
      </c>
      <c r="C730" s="6">
        <v>9683481</v>
      </c>
      <c r="D730" s="6">
        <v>8270</v>
      </c>
      <c r="E730" s="6" t="s">
        <v>211</v>
      </c>
      <c r="F730" s="6">
        <v>54931</v>
      </c>
      <c r="G730" s="6" t="s">
        <v>146</v>
      </c>
      <c r="H730" s="10">
        <v>45684</v>
      </c>
      <c r="I730" s="10">
        <v>45684</v>
      </c>
      <c r="J730" s="4">
        <v>45684.329861111109</v>
      </c>
      <c r="K730" s="4">
        <v>45684.619525462964</v>
      </c>
      <c r="L730" s="11">
        <v>45684.617442129631</v>
      </c>
      <c r="M730" s="10">
        <v>45684</v>
      </c>
      <c r="N730" s="6" t="s">
        <v>70</v>
      </c>
      <c r="O730" t="s">
        <v>138</v>
      </c>
      <c r="P730" s="6" t="s">
        <v>150</v>
      </c>
      <c r="Q730" t="s">
        <v>265</v>
      </c>
      <c r="R730" t="s">
        <v>73</v>
      </c>
      <c r="S730" s="6">
        <v>737982</v>
      </c>
      <c r="T730" s="6" t="s">
        <v>111</v>
      </c>
      <c r="U730">
        <v>344</v>
      </c>
      <c r="V730" s="6">
        <v>17.100000000000001</v>
      </c>
      <c r="W730" s="6">
        <v>21</v>
      </c>
      <c r="X730" s="6">
        <v>343.7</v>
      </c>
      <c r="Y730" s="6">
        <v>381.8</v>
      </c>
      <c r="Z730" s="6" t="s">
        <v>215</v>
      </c>
      <c r="AA730" t="s">
        <v>760</v>
      </c>
      <c r="AB730" s="6" t="s">
        <v>97</v>
      </c>
      <c r="AC730" t="s">
        <v>83</v>
      </c>
      <c r="AD730" t="s">
        <v>67</v>
      </c>
      <c r="AE730">
        <v>-3</v>
      </c>
      <c r="AF730">
        <v>0</v>
      </c>
      <c r="AG730">
        <v>0</v>
      </c>
      <c r="AH730" s="6">
        <v>12.7</v>
      </c>
      <c r="AI730" s="6">
        <v>0</v>
      </c>
      <c r="AJ730" s="6">
        <v>0.30199999999999999</v>
      </c>
      <c r="AK730" s="6">
        <v>0.749</v>
      </c>
      <c r="AL730" s="8">
        <v>4325.91</v>
      </c>
      <c r="AM730" s="6" t="s">
        <v>68</v>
      </c>
      <c r="AN730" s="6">
        <v>1</v>
      </c>
      <c r="AO730" s="6">
        <v>1</v>
      </c>
      <c r="AP730" s="6">
        <v>0</v>
      </c>
      <c r="AQ730" s="6">
        <v>1</v>
      </c>
      <c r="AR730" s="6">
        <v>0</v>
      </c>
      <c r="AS730" s="6">
        <v>1</v>
      </c>
      <c r="AT730" s="6">
        <v>0</v>
      </c>
      <c r="AU730" s="6">
        <v>2.58</v>
      </c>
      <c r="AV730" s="6">
        <v>1.9</v>
      </c>
      <c r="AW730" s="6">
        <v>251.44</v>
      </c>
      <c r="AX730" s="6">
        <v>69.709999999999994</v>
      </c>
      <c r="AY730" s="6">
        <v>215.42</v>
      </c>
      <c r="AZ730" s="6">
        <v>20</v>
      </c>
      <c r="BA730" s="6">
        <v>0</v>
      </c>
    </row>
    <row r="731" spans="1:53" x14ac:dyDescent="0.3">
      <c r="A731" s="6">
        <v>478833337</v>
      </c>
      <c r="B731" s="6">
        <v>559381</v>
      </c>
      <c r="C731" s="6">
        <v>4526280</v>
      </c>
      <c r="D731" s="6">
        <v>9754</v>
      </c>
      <c r="E731" s="6" t="s">
        <v>126</v>
      </c>
      <c r="F731" s="6">
        <v>59855</v>
      </c>
      <c r="G731" s="6" t="s">
        <v>107</v>
      </c>
      <c r="H731" s="10">
        <v>45694</v>
      </c>
      <c r="I731" s="10">
        <v>45694</v>
      </c>
      <c r="J731" s="4">
        <v>45694.829861111109</v>
      </c>
      <c r="K731" s="4">
        <v>45694.892361111109</v>
      </c>
      <c r="L731" s="11">
        <v>45694.869444444441</v>
      </c>
      <c r="M731" s="10">
        <v>45694</v>
      </c>
      <c r="N731" s="6" t="s">
        <v>86</v>
      </c>
      <c r="O731" t="s">
        <v>268</v>
      </c>
      <c r="P731" s="6" t="s">
        <v>200</v>
      </c>
      <c r="Q731" t="s">
        <v>161</v>
      </c>
      <c r="R731" t="s">
        <v>62</v>
      </c>
      <c r="S731" s="6">
        <v>739948</v>
      </c>
      <c r="T731" s="6" t="s">
        <v>3</v>
      </c>
      <c r="U731">
        <v>45</v>
      </c>
      <c r="V731" s="6">
        <v>47</v>
      </c>
      <c r="W731" s="6">
        <v>5.5</v>
      </c>
      <c r="X731" s="6">
        <v>41.2</v>
      </c>
      <c r="Y731" s="6">
        <v>93.7</v>
      </c>
      <c r="Z731" s="6" t="s">
        <v>2</v>
      </c>
      <c r="AA731" t="s">
        <v>456</v>
      </c>
      <c r="AB731" s="6" t="s">
        <v>65</v>
      </c>
      <c r="AC731" t="s">
        <v>137</v>
      </c>
      <c r="AD731" t="s">
        <v>67</v>
      </c>
      <c r="AE731">
        <v>-33</v>
      </c>
      <c r="AF731">
        <v>0</v>
      </c>
      <c r="AG731">
        <v>1.3</v>
      </c>
      <c r="AH731" s="6">
        <v>36.200000000000003</v>
      </c>
      <c r="AI731" s="6">
        <v>0</v>
      </c>
      <c r="AJ731" s="6">
        <v>0.67400000000000004</v>
      </c>
      <c r="AK731" s="6">
        <v>0.372</v>
      </c>
      <c r="AL731" s="8">
        <v>2834.46</v>
      </c>
      <c r="AM731" s="6" t="s">
        <v>68</v>
      </c>
      <c r="AN731" s="6">
        <v>1</v>
      </c>
      <c r="AO731" s="6">
        <v>1</v>
      </c>
      <c r="AP731" s="6">
        <v>0</v>
      </c>
      <c r="AQ731" s="6">
        <v>1</v>
      </c>
      <c r="AR731" s="6">
        <v>0</v>
      </c>
      <c r="AS731" s="6">
        <v>1</v>
      </c>
      <c r="AT731" s="6">
        <v>0</v>
      </c>
      <c r="AU731" s="6">
        <v>2.61</v>
      </c>
      <c r="AV731" s="6">
        <v>1.57</v>
      </c>
      <c r="AW731" s="6">
        <v>66.739999999999995</v>
      </c>
      <c r="AX731" s="6">
        <v>14.97</v>
      </c>
      <c r="AY731" s="6">
        <v>62.9</v>
      </c>
      <c r="AZ731" s="6">
        <v>25</v>
      </c>
      <c r="BA731" s="6">
        <v>3.3</v>
      </c>
    </row>
    <row r="732" spans="1:53" x14ac:dyDescent="0.3">
      <c r="A732" s="6">
        <v>358303887</v>
      </c>
      <c r="B732" s="6">
        <v>260263</v>
      </c>
      <c r="C732" s="6">
        <v>5674183</v>
      </c>
      <c r="D732" s="6">
        <v>5736</v>
      </c>
      <c r="E732" s="6" t="s">
        <v>185</v>
      </c>
      <c r="F732" s="6">
        <v>55724</v>
      </c>
      <c r="G732" s="6" t="s">
        <v>164</v>
      </c>
      <c r="H732" s="10">
        <v>45809</v>
      </c>
      <c r="I732" s="10">
        <v>45809</v>
      </c>
      <c r="J732" s="4">
        <v>45809.336805555555</v>
      </c>
      <c r="K732" s="4">
        <v>45809.670474537037</v>
      </c>
      <c r="L732" s="11">
        <v>45809.646863425929</v>
      </c>
      <c r="M732" s="10">
        <v>45809</v>
      </c>
      <c r="N732" s="6" t="s">
        <v>70</v>
      </c>
      <c r="O732" t="s">
        <v>71</v>
      </c>
      <c r="P732" s="6" t="s">
        <v>78</v>
      </c>
      <c r="Q732" t="s">
        <v>222</v>
      </c>
      <c r="R732" t="s">
        <v>88</v>
      </c>
      <c r="S732" s="6">
        <v>796425</v>
      </c>
      <c r="T732" s="6" t="s">
        <v>1</v>
      </c>
      <c r="U732">
        <v>306</v>
      </c>
      <c r="V732" s="6">
        <v>62.6</v>
      </c>
      <c r="W732" s="6">
        <v>35.1</v>
      </c>
      <c r="X732" s="6">
        <v>308.5</v>
      </c>
      <c r="Y732" s="6">
        <v>406.2</v>
      </c>
      <c r="Z732" s="6" t="s">
        <v>2</v>
      </c>
      <c r="AA732" t="s">
        <v>685</v>
      </c>
      <c r="AB732" s="6" t="s">
        <v>97</v>
      </c>
      <c r="AC732" t="s">
        <v>91</v>
      </c>
      <c r="AD732" t="s">
        <v>67</v>
      </c>
      <c r="AE732">
        <v>-34</v>
      </c>
      <c r="AF732">
        <v>0</v>
      </c>
      <c r="AG732">
        <v>0</v>
      </c>
      <c r="AH732" s="6">
        <v>40.799999999999997</v>
      </c>
      <c r="AI732" s="6">
        <v>0</v>
      </c>
      <c r="AJ732" s="6">
        <v>0.82899999999999996</v>
      </c>
      <c r="AK732" s="6">
        <v>0.58399999999999996</v>
      </c>
      <c r="AL732" s="8">
        <v>14055.66</v>
      </c>
      <c r="AM732" s="6" t="s">
        <v>114</v>
      </c>
      <c r="AN732" s="6">
        <v>1</v>
      </c>
      <c r="AO732" s="6">
        <v>1</v>
      </c>
      <c r="AP732" s="6">
        <v>0</v>
      </c>
      <c r="AQ732" s="6">
        <v>1</v>
      </c>
      <c r="AR732" s="6">
        <v>0</v>
      </c>
      <c r="AS732" s="6">
        <v>1</v>
      </c>
      <c r="AT732" s="6">
        <v>0</v>
      </c>
      <c r="AU732" s="6">
        <v>2.17</v>
      </c>
      <c r="AV732" s="6">
        <v>1.27</v>
      </c>
      <c r="AW732" s="6">
        <v>355.52</v>
      </c>
      <c r="AX732" s="6">
        <v>81.61</v>
      </c>
      <c r="AY732" s="6">
        <v>199.9</v>
      </c>
      <c r="AZ732" s="6">
        <v>30.8</v>
      </c>
      <c r="BA732" s="6">
        <v>28.3</v>
      </c>
    </row>
    <row r="733" spans="1:53" x14ac:dyDescent="0.3">
      <c r="A733" s="6">
        <v>712745501</v>
      </c>
      <c r="B733" s="6">
        <v>982554</v>
      </c>
      <c r="C733" s="6">
        <v>4740036</v>
      </c>
      <c r="D733" s="6">
        <v>3976</v>
      </c>
      <c r="E733" s="6" t="s">
        <v>84</v>
      </c>
      <c r="F733" s="6">
        <v>54150</v>
      </c>
      <c r="G733" s="6" t="s">
        <v>77</v>
      </c>
      <c r="H733" s="10">
        <v>45769</v>
      </c>
      <c r="I733" s="10">
        <v>45769</v>
      </c>
      <c r="J733" s="4">
        <v>45769.319444444445</v>
      </c>
      <c r="K733" s="4">
        <v>45769.412314814814</v>
      </c>
      <c r="L733" s="11">
        <v>45769.392870370371</v>
      </c>
      <c r="M733" s="10">
        <v>45769</v>
      </c>
      <c r="N733" s="6" t="s">
        <v>170</v>
      </c>
      <c r="O733" t="s">
        <v>171</v>
      </c>
      <c r="P733" s="6" t="s">
        <v>121</v>
      </c>
      <c r="Q733" t="s">
        <v>195</v>
      </c>
      <c r="R733" t="s">
        <v>123</v>
      </c>
      <c r="S733" s="6">
        <v>739953</v>
      </c>
      <c r="T733" s="6" t="s">
        <v>3</v>
      </c>
      <c r="U733">
        <v>94</v>
      </c>
      <c r="V733" s="6">
        <v>37.799999999999997</v>
      </c>
      <c r="W733" s="6">
        <v>20.7</v>
      </c>
      <c r="X733" s="6">
        <v>91.7</v>
      </c>
      <c r="Y733" s="6">
        <v>150.19999999999999</v>
      </c>
      <c r="Z733" s="6" t="s">
        <v>63</v>
      </c>
      <c r="AA733" t="s">
        <v>613</v>
      </c>
      <c r="AB733" s="6" t="s">
        <v>97</v>
      </c>
      <c r="AC733" t="s">
        <v>66</v>
      </c>
      <c r="AD733" t="s">
        <v>67</v>
      </c>
      <c r="AE733">
        <v>-28</v>
      </c>
      <c r="AF733">
        <v>0</v>
      </c>
      <c r="AG733">
        <v>0</v>
      </c>
      <c r="AH733" s="6">
        <v>35.9</v>
      </c>
      <c r="AI733" s="6">
        <v>0</v>
      </c>
      <c r="AJ733" s="6">
        <v>0.56499999999999995</v>
      </c>
      <c r="AK733" s="6">
        <v>0.41899999999999998</v>
      </c>
      <c r="AL733" s="8">
        <v>4643.93</v>
      </c>
      <c r="AM733" s="6" t="s">
        <v>68</v>
      </c>
      <c r="AN733" s="6">
        <v>1</v>
      </c>
      <c r="AO733" s="6">
        <v>1</v>
      </c>
      <c r="AP733" s="6">
        <v>0</v>
      </c>
      <c r="AQ733" s="6">
        <v>1</v>
      </c>
      <c r="AR733" s="6">
        <v>0</v>
      </c>
      <c r="AS733" s="6">
        <v>1</v>
      </c>
      <c r="AT733" s="6">
        <v>0</v>
      </c>
      <c r="AU733" s="6">
        <v>2.08</v>
      </c>
      <c r="AV733" s="6">
        <v>1.65</v>
      </c>
      <c r="AW733" s="6">
        <v>103.43</v>
      </c>
      <c r="AX733" s="6">
        <v>17.66</v>
      </c>
      <c r="AY733" s="6">
        <v>106.64</v>
      </c>
      <c r="AZ733" s="6">
        <v>44.5</v>
      </c>
      <c r="BA733" s="6">
        <v>14</v>
      </c>
    </row>
    <row r="734" spans="1:53" x14ac:dyDescent="0.3">
      <c r="A734" s="6">
        <v>547286055</v>
      </c>
      <c r="B734" s="6">
        <v>944151</v>
      </c>
      <c r="C734" s="6">
        <v>6855396</v>
      </c>
      <c r="D734" s="6">
        <v>8574</v>
      </c>
      <c r="E734" s="6" t="s">
        <v>225</v>
      </c>
      <c r="F734" s="6">
        <v>54060</v>
      </c>
      <c r="G734" s="6" t="s">
        <v>127</v>
      </c>
      <c r="H734" s="10">
        <v>45995</v>
      </c>
      <c r="I734" s="10">
        <v>45995</v>
      </c>
      <c r="J734" s="4">
        <v>45995.263888888891</v>
      </c>
      <c r="K734" s="4">
        <v>45995.491006944445</v>
      </c>
      <c r="L734" s="11">
        <v>45995.491701388892</v>
      </c>
      <c r="M734" s="10">
        <v>45995</v>
      </c>
      <c r="N734" s="6" t="s">
        <v>132</v>
      </c>
      <c r="O734" t="s">
        <v>229</v>
      </c>
      <c r="P734" s="6" t="s">
        <v>93</v>
      </c>
      <c r="Q734" t="s">
        <v>94</v>
      </c>
      <c r="R734" t="s">
        <v>73</v>
      </c>
      <c r="S734" s="6">
        <v>780769</v>
      </c>
      <c r="T734" s="6" t="s">
        <v>1</v>
      </c>
      <c r="U734">
        <v>255</v>
      </c>
      <c r="V734" s="6">
        <v>11.7</v>
      </c>
      <c r="W734" s="6">
        <v>16.399999999999999</v>
      </c>
      <c r="X734" s="6">
        <v>252.1</v>
      </c>
      <c r="Y734" s="6">
        <v>280.2</v>
      </c>
      <c r="Z734" s="6" t="s">
        <v>112</v>
      </c>
      <c r="AA734" t="s">
        <v>761</v>
      </c>
      <c r="AB734" s="6" t="s">
        <v>97</v>
      </c>
      <c r="AC734" t="s">
        <v>137</v>
      </c>
      <c r="AD734" t="s">
        <v>67</v>
      </c>
      <c r="AE734">
        <v>1</v>
      </c>
      <c r="AF734">
        <v>0</v>
      </c>
      <c r="AG734">
        <v>0</v>
      </c>
      <c r="AH734" s="6">
        <v>29.6</v>
      </c>
      <c r="AI734" s="6">
        <v>0</v>
      </c>
      <c r="AJ734" s="6">
        <v>0.68799999999999994</v>
      </c>
      <c r="AK734" s="6">
        <v>0.46700000000000003</v>
      </c>
      <c r="AL734" s="8">
        <v>5561.56</v>
      </c>
      <c r="AM734" s="6" t="s">
        <v>68</v>
      </c>
      <c r="AN734" s="6">
        <v>1</v>
      </c>
      <c r="AO734" s="6">
        <v>1</v>
      </c>
      <c r="AP734" s="6">
        <v>0</v>
      </c>
      <c r="AQ734" s="6">
        <v>1</v>
      </c>
      <c r="AR734" s="6">
        <v>0</v>
      </c>
      <c r="AS734" s="6">
        <v>1</v>
      </c>
      <c r="AT734" s="6">
        <v>0</v>
      </c>
      <c r="AU734" s="6">
        <v>2.62</v>
      </c>
      <c r="AV734" s="6">
        <v>1.77</v>
      </c>
      <c r="AW734" s="6">
        <v>205.54</v>
      </c>
      <c r="AX734" s="6">
        <v>49.7</v>
      </c>
      <c r="AY734" s="6">
        <v>157.36000000000001</v>
      </c>
      <c r="AZ734" s="6">
        <v>12.8</v>
      </c>
      <c r="BA734" s="6">
        <v>35.6</v>
      </c>
    </row>
    <row r="735" spans="1:53" x14ac:dyDescent="0.3">
      <c r="A735" s="6">
        <v>301126777</v>
      </c>
      <c r="B735" s="6">
        <v>705397</v>
      </c>
      <c r="C735" s="6">
        <v>5449368</v>
      </c>
      <c r="D735" s="6">
        <v>5859</v>
      </c>
      <c r="E735" s="6" t="s">
        <v>84</v>
      </c>
      <c r="F735" s="6">
        <v>54765</v>
      </c>
      <c r="G735" s="6" t="s">
        <v>69</v>
      </c>
      <c r="H735" s="10">
        <v>45795</v>
      </c>
      <c r="I735" s="10">
        <v>45795</v>
      </c>
      <c r="J735" s="4">
        <v>45795.555555555555</v>
      </c>
      <c r="K735" s="4">
        <v>45795.670312499999</v>
      </c>
      <c r="L735" s="11">
        <v>45795.630729166667</v>
      </c>
      <c r="M735" s="10">
        <v>45795</v>
      </c>
      <c r="N735" s="6" t="s">
        <v>86</v>
      </c>
      <c r="O735" t="s">
        <v>253</v>
      </c>
      <c r="P735" s="6" t="s">
        <v>86</v>
      </c>
      <c r="Q735" t="s">
        <v>268</v>
      </c>
      <c r="R735" t="s">
        <v>88</v>
      </c>
      <c r="S735" s="6">
        <v>742558</v>
      </c>
      <c r="T735" s="6" t="s">
        <v>1</v>
      </c>
      <c r="U735">
        <v>122</v>
      </c>
      <c r="V735" s="6">
        <v>26.1</v>
      </c>
      <c r="W735" s="6">
        <v>14.1</v>
      </c>
      <c r="X735" s="6">
        <v>125.7</v>
      </c>
      <c r="Y735" s="6">
        <v>165.9</v>
      </c>
      <c r="Z735" s="6" t="s">
        <v>2</v>
      </c>
      <c r="AA735" t="s">
        <v>657</v>
      </c>
      <c r="AB735" s="6" t="s">
        <v>75</v>
      </c>
      <c r="AC735" t="s">
        <v>91</v>
      </c>
      <c r="AD735" t="s">
        <v>67</v>
      </c>
      <c r="AE735">
        <v>-57</v>
      </c>
      <c r="AF735">
        <v>0</v>
      </c>
      <c r="AG735">
        <v>0.4</v>
      </c>
      <c r="AH735" s="6">
        <v>43.4</v>
      </c>
      <c r="AI735" s="6">
        <v>0</v>
      </c>
      <c r="AJ735" s="6">
        <v>0.79400000000000004</v>
      </c>
      <c r="AK735" s="6">
        <v>0.57199999999999995</v>
      </c>
      <c r="AL735" s="8">
        <v>7632.42</v>
      </c>
      <c r="AM735" s="6" t="s">
        <v>68</v>
      </c>
      <c r="AN735" s="6">
        <v>1</v>
      </c>
      <c r="AO735" s="6">
        <v>1</v>
      </c>
      <c r="AP735" s="6">
        <v>0</v>
      </c>
      <c r="AQ735" s="6">
        <v>1</v>
      </c>
      <c r="AR735" s="6">
        <v>0</v>
      </c>
      <c r="AS735" s="6">
        <v>1</v>
      </c>
      <c r="AT735" s="6">
        <v>0</v>
      </c>
      <c r="AU735" s="6">
        <v>2.34</v>
      </c>
      <c r="AV735" s="6">
        <v>1.56</v>
      </c>
      <c r="AW735" s="6">
        <v>134.01</v>
      </c>
      <c r="AX735" s="6">
        <v>25.73</v>
      </c>
      <c r="AY735" s="6">
        <v>104.7</v>
      </c>
      <c r="AZ735" s="6">
        <v>11.4</v>
      </c>
      <c r="BA735" s="6">
        <v>45</v>
      </c>
    </row>
    <row r="736" spans="1:53" x14ac:dyDescent="0.3">
      <c r="A736" s="6">
        <v>813363254</v>
      </c>
      <c r="B736" s="6">
        <v>391369</v>
      </c>
      <c r="C736" s="6">
        <v>4214348</v>
      </c>
      <c r="D736" s="6">
        <v>7235</v>
      </c>
      <c r="E736" s="6" t="s">
        <v>142</v>
      </c>
      <c r="F736" s="6">
        <v>53612</v>
      </c>
      <c r="G736" s="6" t="s">
        <v>69</v>
      </c>
      <c r="H736" s="10">
        <v>45934</v>
      </c>
      <c r="I736" s="10">
        <v>45934</v>
      </c>
      <c r="J736" s="4">
        <v>45934.652777777781</v>
      </c>
      <c r="K736" s="4">
        <v>45934.773912037039</v>
      </c>
      <c r="L736" s="11">
        <v>45934.748217592591</v>
      </c>
      <c r="M736" s="10">
        <v>45934</v>
      </c>
      <c r="N736" s="6" t="s">
        <v>86</v>
      </c>
      <c r="O736" t="s">
        <v>87</v>
      </c>
      <c r="P736" s="6" t="s">
        <v>86</v>
      </c>
      <c r="Q736" t="s">
        <v>268</v>
      </c>
      <c r="R736" t="s">
        <v>88</v>
      </c>
      <c r="S736" s="6">
        <v>742558</v>
      </c>
      <c r="T736" s="6" t="s">
        <v>1</v>
      </c>
      <c r="U736">
        <v>194</v>
      </c>
      <c r="V736" s="6">
        <v>24.7</v>
      </c>
      <c r="W736" s="6">
        <v>2.5</v>
      </c>
      <c r="X736" s="6">
        <v>201</v>
      </c>
      <c r="Y736" s="6">
        <v>228.2</v>
      </c>
      <c r="Z736" s="6" t="s">
        <v>215</v>
      </c>
      <c r="AA736" t="s">
        <v>762</v>
      </c>
      <c r="AB736" s="6" t="s">
        <v>90</v>
      </c>
      <c r="AC736" t="s">
        <v>76</v>
      </c>
      <c r="AD736" t="s">
        <v>67</v>
      </c>
      <c r="AE736">
        <v>-37</v>
      </c>
      <c r="AF736">
        <v>0</v>
      </c>
      <c r="AG736">
        <v>0</v>
      </c>
      <c r="AH736" s="6">
        <v>66.599999999999994</v>
      </c>
      <c r="AI736" s="6">
        <v>0</v>
      </c>
      <c r="AJ736" s="6">
        <v>0.82499999999999996</v>
      </c>
      <c r="AK736" s="6">
        <v>0.92300000000000004</v>
      </c>
      <c r="AL736" s="8">
        <v>7112.5</v>
      </c>
      <c r="AM736" s="6" t="s">
        <v>114</v>
      </c>
      <c r="AN736" s="6">
        <v>1</v>
      </c>
      <c r="AO736" s="6">
        <v>1</v>
      </c>
      <c r="AP736" s="6">
        <v>0</v>
      </c>
      <c r="AQ736" s="6">
        <v>1</v>
      </c>
      <c r="AR736" s="6">
        <v>0</v>
      </c>
      <c r="AS736" s="6">
        <v>1</v>
      </c>
      <c r="AT736" s="6">
        <v>0</v>
      </c>
      <c r="AU736" s="6">
        <v>2.42</v>
      </c>
      <c r="AV736" s="6">
        <v>1.42</v>
      </c>
      <c r="AW736" s="6">
        <v>180.02</v>
      </c>
      <c r="AX736" s="6">
        <v>34.299999999999997</v>
      </c>
      <c r="AY736" s="6">
        <v>147.08000000000001</v>
      </c>
      <c r="AZ736" s="6">
        <v>45.2</v>
      </c>
      <c r="BA736" s="6">
        <v>17.2</v>
      </c>
    </row>
    <row r="737" spans="1:53" x14ac:dyDescent="0.3">
      <c r="A737" s="6">
        <v>817490291</v>
      </c>
      <c r="B737" s="6">
        <v>748564</v>
      </c>
      <c r="C737" s="6">
        <v>1036161</v>
      </c>
      <c r="D737" s="6">
        <v>1878</v>
      </c>
      <c r="E737" s="6" t="s">
        <v>126</v>
      </c>
      <c r="F737" s="6">
        <v>56553</v>
      </c>
      <c r="G737" s="6" t="s">
        <v>149</v>
      </c>
      <c r="H737" s="10">
        <v>45851</v>
      </c>
      <c r="I737" s="10">
        <v>45851</v>
      </c>
      <c r="J737" s="4">
        <v>45851.534722222219</v>
      </c>
      <c r="K737" s="4">
        <v>45851.761874999997</v>
      </c>
      <c r="L737" s="11">
        <v>45851.772986111115</v>
      </c>
      <c r="M737" s="10">
        <v>45851</v>
      </c>
      <c r="N737" s="6" t="s">
        <v>134</v>
      </c>
      <c r="O737" t="s">
        <v>278</v>
      </c>
      <c r="P737" s="6" t="s">
        <v>109</v>
      </c>
      <c r="Q737" t="s">
        <v>118</v>
      </c>
      <c r="R737" t="s">
        <v>88</v>
      </c>
      <c r="S737" s="6">
        <v>760341</v>
      </c>
      <c r="T737" s="6" t="s">
        <v>1</v>
      </c>
      <c r="U737">
        <v>225</v>
      </c>
      <c r="V737" s="6">
        <v>34.1</v>
      </c>
      <c r="W737" s="6">
        <v>11.4</v>
      </c>
      <c r="X737" s="6">
        <v>218.7</v>
      </c>
      <c r="Y737" s="6">
        <v>264.2</v>
      </c>
      <c r="Z737" s="6" t="s">
        <v>63</v>
      </c>
      <c r="AA737" t="s">
        <v>105</v>
      </c>
      <c r="AB737" s="6" t="s">
        <v>75</v>
      </c>
      <c r="AC737" t="s">
        <v>91</v>
      </c>
      <c r="AD737" t="s">
        <v>67</v>
      </c>
      <c r="AE737">
        <v>16</v>
      </c>
      <c r="AF737">
        <v>0</v>
      </c>
      <c r="AG737">
        <v>0</v>
      </c>
      <c r="AH737" s="6">
        <v>65.400000000000006</v>
      </c>
      <c r="AI737" s="6">
        <v>0</v>
      </c>
      <c r="AJ737" s="6">
        <v>0.76600000000000001</v>
      </c>
      <c r="AK737" s="6">
        <v>0.55800000000000005</v>
      </c>
      <c r="AL737" s="8">
        <v>1221.93</v>
      </c>
      <c r="AM737" s="6" t="s">
        <v>68</v>
      </c>
      <c r="AN737" s="6">
        <v>1</v>
      </c>
      <c r="AO737" s="6">
        <v>0</v>
      </c>
      <c r="AP737" s="6">
        <v>1</v>
      </c>
      <c r="AQ737" s="6">
        <v>0</v>
      </c>
      <c r="AR737" s="6">
        <v>1</v>
      </c>
      <c r="AS737" s="6">
        <v>0</v>
      </c>
      <c r="AT737" s="6">
        <v>1</v>
      </c>
      <c r="AU737" s="6">
        <v>2.2799999999999998</v>
      </c>
      <c r="AV737" s="6">
        <v>1.38</v>
      </c>
      <c r="AW737" s="6">
        <v>214.58</v>
      </c>
      <c r="AX737" s="6">
        <v>44.33</v>
      </c>
      <c r="AY737" s="6">
        <v>135.51</v>
      </c>
      <c r="AZ737" s="6">
        <v>10.7</v>
      </c>
      <c r="BA737" s="6">
        <v>41.5</v>
      </c>
    </row>
    <row r="738" spans="1:53" x14ac:dyDescent="0.3">
      <c r="A738" s="6">
        <v>191927283</v>
      </c>
      <c r="B738" s="6">
        <v>974628</v>
      </c>
      <c r="C738" s="6">
        <v>3641282</v>
      </c>
      <c r="D738" s="6">
        <v>6892</v>
      </c>
      <c r="E738" s="6" t="s">
        <v>57</v>
      </c>
      <c r="F738" s="6">
        <v>57378</v>
      </c>
      <c r="G738" s="6" t="s">
        <v>69</v>
      </c>
      <c r="H738" s="10">
        <v>45914</v>
      </c>
      <c r="I738" s="10">
        <v>45914</v>
      </c>
      <c r="J738" s="4">
        <v>45914.833333333336</v>
      </c>
      <c r="K738" s="4">
        <v>45915.241770833331</v>
      </c>
      <c r="L738" s="11">
        <v>45915.18204861111</v>
      </c>
      <c r="M738" s="10">
        <v>45915</v>
      </c>
      <c r="N738" s="6" t="s">
        <v>109</v>
      </c>
      <c r="O738" t="s">
        <v>198</v>
      </c>
      <c r="P738" s="6" t="s">
        <v>200</v>
      </c>
      <c r="Q738" t="s">
        <v>338</v>
      </c>
      <c r="R738" t="s">
        <v>62</v>
      </c>
      <c r="S738" s="6">
        <v>786969</v>
      </c>
      <c r="T738" s="6" t="s">
        <v>140</v>
      </c>
      <c r="U738">
        <v>586</v>
      </c>
      <c r="V738" s="6">
        <v>49.7</v>
      </c>
      <c r="W738" s="6">
        <v>13.7</v>
      </c>
      <c r="X738" s="6">
        <v>591</v>
      </c>
      <c r="Y738" s="6">
        <v>654.4</v>
      </c>
      <c r="Z738" s="6" t="s">
        <v>63</v>
      </c>
      <c r="AA738" t="s">
        <v>763</v>
      </c>
      <c r="AB738" s="6" t="s">
        <v>65</v>
      </c>
      <c r="AC738" t="s">
        <v>91</v>
      </c>
      <c r="AD738" t="s">
        <v>67</v>
      </c>
      <c r="AE738">
        <v>-86</v>
      </c>
      <c r="AF738">
        <v>0</v>
      </c>
      <c r="AG738">
        <v>1.7</v>
      </c>
      <c r="AH738" s="6">
        <v>66</v>
      </c>
      <c r="AI738" s="6">
        <v>0</v>
      </c>
      <c r="AJ738" s="6">
        <v>0.745</v>
      </c>
      <c r="AK738" s="6">
        <v>0.84699999999999998</v>
      </c>
      <c r="AL738" s="8">
        <v>3908.16</v>
      </c>
      <c r="AM738" s="6" t="s">
        <v>68</v>
      </c>
      <c r="AN738" s="6">
        <v>1</v>
      </c>
      <c r="AO738" s="6">
        <v>1</v>
      </c>
      <c r="AP738" s="6">
        <v>0</v>
      </c>
      <c r="AQ738" s="6">
        <v>1</v>
      </c>
      <c r="AR738" s="6">
        <v>0</v>
      </c>
      <c r="AS738" s="6">
        <v>1</v>
      </c>
      <c r="AT738" s="6">
        <v>0</v>
      </c>
      <c r="AU738" s="6">
        <v>1.86</v>
      </c>
      <c r="AV738" s="6">
        <v>1.46</v>
      </c>
      <c r="AW738" s="6">
        <v>545.79999999999995</v>
      </c>
      <c r="AX738" s="6">
        <v>119.17</v>
      </c>
      <c r="AY738" s="6">
        <v>443.35</v>
      </c>
      <c r="AZ738" s="6">
        <v>1.4</v>
      </c>
      <c r="BA738" s="6">
        <v>4.3</v>
      </c>
    </row>
    <row r="739" spans="1:53" x14ac:dyDescent="0.3">
      <c r="A739" s="6">
        <v>662087258</v>
      </c>
      <c r="B739" s="6">
        <v>857168</v>
      </c>
      <c r="C739" s="6">
        <v>2813543</v>
      </c>
      <c r="D739" s="6">
        <v>1659</v>
      </c>
      <c r="E739" s="6" t="s">
        <v>142</v>
      </c>
      <c r="F739" s="6">
        <v>51689</v>
      </c>
      <c r="G739" s="6" t="s">
        <v>77</v>
      </c>
      <c r="H739" s="10">
        <v>45752</v>
      </c>
      <c r="I739" s="10">
        <v>45752</v>
      </c>
      <c r="J739" s="4">
        <v>45752.479166666664</v>
      </c>
      <c r="K739" s="4">
        <v>45752.686354166668</v>
      </c>
      <c r="L739" s="11">
        <v>45752.671770833331</v>
      </c>
      <c r="M739" s="10">
        <v>45752</v>
      </c>
      <c r="N739" s="6" t="s">
        <v>78</v>
      </c>
      <c r="O739" t="s">
        <v>147</v>
      </c>
      <c r="P739" s="6" t="s">
        <v>129</v>
      </c>
      <c r="Q739" t="s">
        <v>162</v>
      </c>
      <c r="R739" t="s">
        <v>123</v>
      </c>
      <c r="S739" s="6">
        <v>751815</v>
      </c>
      <c r="T739" s="6" t="s">
        <v>1</v>
      </c>
      <c r="U739">
        <v>201</v>
      </c>
      <c r="V739" s="6">
        <v>33.1</v>
      </c>
      <c r="W739" s="6">
        <v>25.5</v>
      </c>
      <c r="X739" s="6">
        <v>208.5</v>
      </c>
      <c r="Y739" s="6">
        <v>267.10000000000002</v>
      </c>
      <c r="Z739" s="6" t="s">
        <v>112</v>
      </c>
      <c r="AA739" t="s">
        <v>764</v>
      </c>
      <c r="AB739" s="6" t="s">
        <v>75</v>
      </c>
      <c r="AC739" t="s">
        <v>76</v>
      </c>
      <c r="AD739" t="s">
        <v>67</v>
      </c>
      <c r="AE739">
        <v>-21</v>
      </c>
      <c r="AF739">
        <v>0</v>
      </c>
      <c r="AG739">
        <v>0</v>
      </c>
      <c r="AH739" s="6">
        <v>41.8</v>
      </c>
      <c r="AI739" s="6">
        <v>0</v>
      </c>
      <c r="AJ739" s="6">
        <v>0.503</v>
      </c>
      <c r="AK739" s="6">
        <v>0.77600000000000002</v>
      </c>
      <c r="AL739" s="8">
        <v>13943.94</v>
      </c>
      <c r="AM739" s="6" t="s">
        <v>114</v>
      </c>
      <c r="AN739" s="6">
        <v>1</v>
      </c>
      <c r="AO739" s="6">
        <v>1</v>
      </c>
      <c r="AP739" s="6">
        <v>0</v>
      </c>
      <c r="AQ739" s="6">
        <v>1</v>
      </c>
      <c r="AR739" s="6">
        <v>0</v>
      </c>
      <c r="AS739" s="6">
        <v>1</v>
      </c>
      <c r="AT739" s="6">
        <v>0</v>
      </c>
      <c r="AU739" s="6">
        <v>2.4700000000000002</v>
      </c>
      <c r="AV739" s="6">
        <v>1.81</v>
      </c>
      <c r="AW739" s="6">
        <v>224</v>
      </c>
      <c r="AX739" s="6">
        <v>53.98</v>
      </c>
      <c r="AY739" s="6">
        <v>164.88</v>
      </c>
      <c r="AZ739" s="6">
        <v>23.7</v>
      </c>
      <c r="BA739" s="6">
        <v>38.6</v>
      </c>
    </row>
    <row r="740" spans="1:53" x14ac:dyDescent="0.3">
      <c r="A740" s="6">
        <v>487195336</v>
      </c>
      <c r="B740" s="6">
        <v>322955</v>
      </c>
      <c r="C740" s="6">
        <v>1131249</v>
      </c>
      <c r="D740" s="6">
        <v>6915</v>
      </c>
      <c r="E740" s="6" t="s">
        <v>57</v>
      </c>
      <c r="F740" s="6">
        <v>51316</v>
      </c>
      <c r="G740" s="6" t="s">
        <v>102</v>
      </c>
      <c r="H740" s="10">
        <v>46001</v>
      </c>
      <c r="I740" s="10">
        <v>46001</v>
      </c>
      <c r="J740" s="4">
        <v>46001.329861111109</v>
      </c>
      <c r="K740" s="4">
        <v>46001.549467592595</v>
      </c>
      <c r="L740" s="11">
        <v>46001.560578703706</v>
      </c>
      <c r="M740" s="10">
        <v>46001</v>
      </c>
      <c r="N740" s="6" t="s">
        <v>129</v>
      </c>
      <c r="O740" t="s">
        <v>157</v>
      </c>
      <c r="P740" s="6" t="s">
        <v>170</v>
      </c>
      <c r="Q740" t="s">
        <v>189</v>
      </c>
      <c r="R740" t="s">
        <v>62</v>
      </c>
      <c r="S740" s="6">
        <v>731856</v>
      </c>
      <c r="T740" s="6" t="s">
        <v>1</v>
      </c>
      <c r="U740">
        <v>234</v>
      </c>
      <c r="V740" s="6">
        <v>54.2</v>
      </c>
      <c r="W740" s="6">
        <v>25.6</v>
      </c>
      <c r="X740" s="6">
        <v>223.4</v>
      </c>
      <c r="Y740" s="6">
        <v>303.2</v>
      </c>
      <c r="Z740" s="6" t="s">
        <v>63</v>
      </c>
      <c r="AA740" t="s">
        <v>765</v>
      </c>
      <c r="AB740" s="6" t="s">
        <v>97</v>
      </c>
      <c r="AC740" t="s">
        <v>125</v>
      </c>
      <c r="AD740" t="s">
        <v>67</v>
      </c>
      <c r="AE740">
        <v>16</v>
      </c>
      <c r="AF740">
        <v>0</v>
      </c>
      <c r="AG740">
        <v>1</v>
      </c>
      <c r="AH740" s="6">
        <v>44</v>
      </c>
      <c r="AI740" s="6">
        <v>0</v>
      </c>
      <c r="AJ740" s="6">
        <v>0.622</v>
      </c>
      <c r="AK740" s="6">
        <v>0.36299999999999999</v>
      </c>
      <c r="AL740" s="8">
        <v>2323.27</v>
      </c>
      <c r="AM740" s="6" t="s">
        <v>68</v>
      </c>
      <c r="AN740" s="6">
        <v>1</v>
      </c>
      <c r="AO740" s="6">
        <v>0</v>
      </c>
      <c r="AP740" s="6">
        <v>1</v>
      </c>
      <c r="AQ740" s="6">
        <v>0</v>
      </c>
      <c r="AR740" s="6">
        <v>1</v>
      </c>
      <c r="AS740" s="6">
        <v>0</v>
      </c>
      <c r="AT740" s="6">
        <v>1</v>
      </c>
      <c r="AU740" s="6">
        <v>2.04</v>
      </c>
      <c r="AV740" s="6">
        <v>1.37</v>
      </c>
      <c r="AW740" s="6">
        <v>255.07</v>
      </c>
      <c r="AX740" s="6">
        <v>38.869999999999997</v>
      </c>
      <c r="AY740" s="6">
        <v>169.4</v>
      </c>
      <c r="AZ740" s="6">
        <v>31.4</v>
      </c>
      <c r="BA740" s="6">
        <v>47.1</v>
      </c>
    </row>
    <row r="741" spans="1:53" x14ac:dyDescent="0.3">
      <c r="A741" s="6">
        <v>172670118</v>
      </c>
      <c r="B741" s="6">
        <v>198246</v>
      </c>
      <c r="C741" s="6">
        <v>9626108</v>
      </c>
      <c r="D741" s="6">
        <v>5555</v>
      </c>
      <c r="E741" s="6" t="s">
        <v>57</v>
      </c>
      <c r="F741" s="6">
        <v>57130</v>
      </c>
      <c r="G741" s="6" t="s">
        <v>115</v>
      </c>
      <c r="H741" s="10">
        <v>45851</v>
      </c>
      <c r="I741" s="10">
        <v>45851</v>
      </c>
      <c r="J741" s="4">
        <v>45851.493055555555</v>
      </c>
      <c r="K741" s="4">
        <v>45851.629918981482</v>
      </c>
      <c r="L741" s="11">
        <v>45851.755613425928</v>
      </c>
      <c r="M741" s="10">
        <v>45851</v>
      </c>
      <c r="N741" s="6" t="s">
        <v>132</v>
      </c>
      <c r="O741" t="s">
        <v>186</v>
      </c>
      <c r="P741" s="6" t="s">
        <v>103</v>
      </c>
      <c r="Q741" t="s">
        <v>285</v>
      </c>
      <c r="R741" t="s">
        <v>73</v>
      </c>
      <c r="S741" s="6">
        <v>771847</v>
      </c>
      <c r="T741" s="6" t="s">
        <v>1</v>
      </c>
      <c r="U741">
        <v>175</v>
      </c>
      <c r="V741" s="6">
        <v>11.2</v>
      </c>
      <c r="W741" s="6">
        <v>19.8</v>
      </c>
      <c r="X741" s="6">
        <v>169.9</v>
      </c>
      <c r="Y741" s="6">
        <v>200.9</v>
      </c>
      <c r="Z741" s="6" t="s">
        <v>80</v>
      </c>
      <c r="AA741" t="s">
        <v>766</v>
      </c>
      <c r="AB741" s="6" t="s">
        <v>75</v>
      </c>
      <c r="AC741" t="s">
        <v>91</v>
      </c>
      <c r="AD741" t="s">
        <v>192</v>
      </c>
      <c r="AE741">
        <v>181</v>
      </c>
      <c r="AF741">
        <v>0</v>
      </c>
      <c r="AG741">
        <v>0</v>
      </c>
      <c r="AH741" s="6">
        <v>89.2</v>
      </c>
      <c r="AI741" s="6">
        <v>0</v>
      </c>
      <c r="AJ741" s="6">
        <v>0.433</v>
      </c>
      <c r="AK741" s="6">
        <v>0.82599999999999996</v>
      </c>
      <c r="AL741" s="8">
        <v>5876.1</v>
      </c>
      <c r="AM741" s="6" t="s">
        <v>68</v>
      </c>
      <c r="AN741" s="6">
        <v>1</v>
      </c>
      <c r="AO741" s="6">
        <v>0</v>
      </c>
      <c r="AP741" s="6">
        <v>1</v>
      </c>
      <c r="AQ741" s="6">
        <v>0</v>
      </c>
      <c r="AR741" s="6">
        <v>1</v>
      </c>
      <c r="AS741" s="6">
        <v>0</v>
      </c>
      <c r="AT741" s="6">
        <v>1</v>
      </c>
      <c r="AU741" s="6">
        <v>1.96</v>
      </c>
      <c r="AV741" s="6">
        <v>1.53</v>
      </c>
      <c r="AW741" s="6">
        <v>184.33</v>
      </c>
      <c r="AX741" s="6">
        <v>27.16</v>
      </c>
      <c r="AY741" s="6">
        <v>137.44999999999999</v>
      </c>
      <c r="AZ741" s="6">
        <v>11.5</v>
      </c>
      <c r="BA741" s="6">
        <v>0</v>
      </c>
    </row>
    <row r="742" spans="1:53" x14ac:dyDescent="0.3">
      <c r="A742" s="6">
        <v>664852025</v>
      </c>
      <c r="B742" s="6">
        <v>216739</v>
      </c>
      <c r="C742" s="6">
        <v>8574680</v>
      </c>
      <c r="D742" s="6">
        <v>1860</v>
      </c>
      <c r="E742" s="6" t="s">
        <v>106</v>
      </c>
      <c r="F742" s="6">
        <v>53186</v>
      </c>
      <c r="G742" s="6" t="s">
        <v>77</v>
      </c>
      <c r="H742" s="10">
        <v>45961</v>
      </c>
      <c r="I742" s="10">
        <v>45961</v>
      </c>
      <c r="J742" s="4">
        <v>45961.704861111109</v>
      </c>
      <c r="K742" s="4">
        <v>45962.453009259261</v>
      </c>
      <c r="L742" s="11">
        <v>45962.453009259261</v>
      </c>
      <c r="M742" s="10">
        <v>45962</v>
      </c>
      <c r="N742" s="6" t="s">
        <v>109</v>
      </c>
      <c r="O742" t="s">
        <v>161</v>
      </c>
      <c r="P742" s="6" t="s">
        <v>86</v>
      </c>
      <c r="Q742" t="s">
        <v>253</v>
      </c>
      <c r="R742" t="s">
        <v>88</v>
      </c>
      <c r="S742" s="6">
        <v>795889</v>
      </c>
      <c r="T742" s="6" t="s">
        <v>140</v>
      </c>
      <c r="U742">
        <v>925</v>
      </c>
      <c r="V742" s="6">
        <v>18.100000000000001</v>
      </c>
      <c r="W742" s="6">
        <v>30.9</v>
      </c>
      <c r="X742" s="6">
        <v>932.3</v>
      </c>
      <c r="Y742" s="6">
        <v>981.3</v>
      </c>
      <c r="Z742" s="6" t="s">
        <v>80</v>
      </c>
      <c r="AA742" t="s">
        <v>767</v>
      </c>
      <c r="AB742" s="6" t="s">
        <v>90</v>
      </c>
      <c r="AC742" t="s">
        <v>154</v>
      </c>
      <c r="AD742" t="s">
        <v>67</v>
      </c>
      <c r="AE742">
        <v>0</v>
      </c>
      <c r="AF742">
        <v>0</v>
      </c>
      <c r="AG742">
        <v>0</v>
      </c>
      <c r="AH742" s="6">
        <v>16.2</v>
      </c>
      <c r="AI742" s="6">
        <v>0</v>
      </c>
      <c r="AJ742" s="6">
        <v>0.73599999999999999</v>
      </c>
      <c r="AK742" s="6">
        <v>0.38600000000000001</v>
      </c>
      <c r="AL742" s="8">
        <v>4680.59</v>
      </c>
      <c r="AM742" s="6" t="s">
        <v>68</v>
      </c>
      <c r="AN742" s="6">
        <v>1</v>
      </c>
      <c r="AO742" s="6">
        <v>1</v>
      </c>
      <c r="AP742" s="6">
        <v>0</v>
      </c>
      <c r="AQ742" s="6">
        <v>1</v>
      </c>
      <c r="AR742" s="6">
        <v>0</v>
      </c>
      <c r="AS742" s="6">
        <v>1</v>
      </c>
      <c r="AT742" s="6">
        <v>0</v>
      </c>
      <c r="AU742" s="6">
        <v>2.36</v>
      </c>
      <c r="AV742" s="6">
        <v>1.68</v>
      </c>
      <c r="AW742" s="6">
        <v>713.38</v>
      </c>
      <c r="AX742" s="6">
        <v>162.72999999999999</v>
      </c>
      <c r="AY742" s="6">
        <v>618.24</v>
      </c>
      <c r="AZ742" s="6">
        <v>14.3</v>
      </c>
      <c r="BA742" s="6">
        <v>28.5</v>
      </c>
    </row>
    <row r="743" spans="1:53" x14ac:dyDescent="0.3">
      <c r="A743" s="6">
        <v>684203557</v>
      </c>
      <c r="B743" s="6">
        <v>629903</v>
      </c>
      <c r="C743" s="6">
        <v>9143903</v>
      </c>
      <c r="D743" s="6">
        <v>9666</v>
      </c>
      <c r="E743" s="6" t="s">
        <v>225</v>
      </c>
      <c r="F743" s="6">
        <v>55789</v>
      </c>
      <c r="G743" s="6" t="s">
        <v>207</v>
      </c>
      <c r="H743" s="10">
        <v>45791</v>
      </c>
      <c r="I743" s="10">
        <v>45791</v>
      </c>
      <c r="J743" s="4">
        <v>45791.625</v>
      </c>
      <c r="K743" s="4">
        <v>45792.052870370368</v>
      </c>
      <c r="L743" s="11">
        <v>45792.058425925927</v>
      </c>
      <c r="M743" s="10">
        <v>45792</v>
      </c>
      <c r="N743" s="6" t="s">
        <v>116</v>
      </c>
      <c r="O743" t="s">
        <v>251</v>
      </c>
      <c r="P743" s="6" t="s">
        <v>150</v>
      </c>
      <c r="Q743" t="s">
        <v>196</v>
      </c>
      <c r="R743" t="s">
        <v>73</v>
      </c>
      <c r="S743" s="6">
        <v>734413</v>
      </c>
      <c r="T743" s="6" t="s">
        <v>111</v>
      </c>
      <c r="U743">
        <v>483</v>
      </c>
      <c r="V743" s="6">
        <v>39.299999999999997</v>
      </c>
      <c r="W743" s="6">
        <v>22</v>
      </c>
      <c r="X743" s="6">
        <v>485.2</v>
      </c>
      <c r="Y743" s="6">
        <v>546.5</v>
      </c>
      <c r="Z743" s="6" t="s">
        <v>112</v>
      </c>
      <c r="AA743" t="s">
        <v>768</v>
      </c>
      <c r="AB743" s="6" t="s">
        <v>90</v>
      </c>
      <c r="AC743" t="s">
        <v>125</v>
      </c>
      <c r="AD743" t="s">
        <v>67</v>
      </c>
      <c r="AE743">
        <v>8</v>
      </c>
      <c r="AF743">
        <v>0</v>
      </c>
      <c r="AG743">
        <v>0</v>
      </c>
      <c r="AH743" s="6">
        <v>39.700000000000003</v>
      </c>
      <c r="AI743" s="6">
        <v>0</v>
      </c>
      <c r="AJ743" s="6">
        <v>0.71399999999999997</v>
      </c>
      <c r="AK743" s="6">
        <v>0.70199999999999996</v>
      </c>
      <c r="AL743" s="8">
        <v>16997.080000000002</v>
      </c>
      <c r="AM743" s="6" t="s">
        <v>114</v>
      </c>
      <c r="AN743" s="6">
        <v>1</v>
      </c>
      <c r="AO743" s="6">
        <v>1</v>
      </c>
      <c r="AP743" s="6">
        <v>0</v>
      </c>
      <c r="AQ743" s="6">
        <v>1</v>
      </c>
      <c r="AR743" s="6">
        <v>0</v>
      </c>
      <c r="AS743" s="6">
        <v>1</v>
      </c>
      <c r="AT743" s="6">
        <v>0</v>
      </c>
      <c r="AU743" s="6">
        <v>2.36</v>
      </c>
      <c r="AV743" s="6">
        <v>1.76</v>
      </c>
      <c r="AW743" s="6">
        <v>346.07</v>
      </c>
      <c r="AX743" s="6">
        <v>77.38</v>
      </c>
      <c r="AY743" s="6">
        <v>365.38</v>
      </c>
      <c r="AZ743" s="6">
        <v>10.3</v>
      </c>
      <c r="BA743" s="6">
        <v>13.7</v>
      </c>
    </row>
    <row r="744" spans="1:53" x14ac:dyDescent="0.3">
      <c r="A744" s="6">
        <v>644738967</v>
      </c>
      <c r="B744" s="6">
        <v>816751</v>
      </c>
      <c r="C744" s="6">
        <v>3011363</v>
      </c>
      <c r="D744" s="6">
        <v>9996</v>
      </c>
      <c r="E744" s="6" t="s">
        <v>185</v>
      </c>
      <c r="F744" s="6">
        <v>51145</v>
      </c>
      <c r="G744" s="6" t="s">
        <v>98</v>
      </c>
      <c r="H744" s="10">
        <v>45694</v>
      </c>
      <c r="I744" s="10">
        <v>45694</v>
      </c>
      <c r="J744" s="4">
        <v>45694.545138888891</v>
      </c>
      <c r="K744" s="4">
        <v>45694.716956018521</v>
      </c>
      <c r="L744" s="11">
        <v>45694.689872685187</v>
      </c>
      <c r="M744" s="10">
        <v>45694</v>
      </c>
      <c r="N744" s="6" t="s">
        <v>70</v>
      </c>
      <c r="O744" t="s">
        <v>138</v>
      </c>
      <c r="P744" s="6" t="s">
        <v>134</v>
      </c>
      <c r="Q744" t="s">
        <v>282</v>
      </c>
      <c r="R744" t="s">
        <v>73</v>
      </c>
      <c r="S744" s="6">
        <v>751684</v>
      </c>
      <c r="T744" s="6" t="s">
        <v>1</v>
      </c>
      <c r="U744">
        <v>174</v>
      </c>
      <c r="V744" s="6">
        <v>21.2</v>
      </c>
      <c r="W744" s="6">
        <v>7.6</v>
      </c>
      <c r="X744" s="6">
        <v>184.3</v>
      </c>
      <c r="Y744" s="6">
        <v>213.1</v>
      </c>
      <c r="Z744" s="6" t="s">
        <v>63</v>
      </c>
      <c r="AA744" t="s">
        <v>769</v>
      </c>
      <c r="AB744" s="6" t="s">
        <v>75</v>
      </c>
      <c r="AC744" t="s">
        <v>137</v>
      </c>
      <c r="AD744" t="s">
        <v>67</v>
      </c>
      <c r="AE744">
        <v>-39</v>
      </c>
      <c r="AF744">
        <v>0</v>
      </c>
      <c r="AG744">
        <v>0</v>
      </c>
      <c r="AH744" s="6">
        <v>52</v>
      </c>
      <c r="AI744" s="6">
        <v>0</v>
      </c>
      <c r="AJ744" s="6">
        <v>0.91300000000000003</v>
      </c>
      <c r="AK744" s="6">
        <v>0.54600000000000004</v>
      </c>
      <c r="AL744" s="8">
        <v>1742.91</v>
      </c>
      <c r="AM744" s="6" t="s">
        <v>68</v>
      </c>
      <c r="AN744" s="6">
        <v>1</v>
      </c>
      <c r="AO744" s="6">
        <v>1</v>
      </c>
      <c r="AP744" s="6">
        <v>0</v>
      </c>
      <c r="AQ744" s="6">
        <v>1</v>
      </c>
      <c r="AR744" s="6">
        <v>0</v>
      </c>
      <c r="AS744" s="6">
        <v>1</v>
      </c>
      <c r="AT744" s="6">
        <v>0</v>
      </c>
      <c r="AU744" s="6">
        <v>1.95</v>
      </c>
      <c r="AV744" s="6">
        <v>1.32</v>
      </c>
      <c r="AW744" s="6">
        <v>154.41999999999999</v>
      </c>
      <c r="AX744" s="6">
        <v>35.840000000000003</v>
      </c>
      <c r="AY744" s="6">
        <v>153.04</v>
      </c>
      <c r="AZ744" s="6">
        <v>13.3</v>
      </c>
      <c r="BA744" s="6">
        <v>33.200000000000003</v>
      </c>
    </row>
    <row r="745" spans="1:53" x14ac:dyDescent="0.3">
      <c r="A745" s="6">
        <v>944403809</v>
      </c>
      <c r="B745" s="6">
        <v>791798</v>
      </c>
      <c r="C745" s="6">
        <v>6539837</v>
      </c>
      <c r="D745" s="6">
        <v>5433</v>
      </c>
      <c r="E745" s="6" t="s">
        <v>225</v>
      </c>
      <c r="F745" s="6">
        <v>54394</v>
      </c>
      <c r="G745" s="6" t="s">
        <v>203</v>
      </c>
      <c r="H745" s="10">
        <v>45903</v>
      </c>
      <c r="I745" s="10">
        <v>45903</v>
      </c>
      <c r="J745" s="4">
        <v>45903.527777777781</v>
      </c>
      <c r="K745" s="4">
        <v>45904.019166666665</v>
      </c>
      <c r="L745" s="11">
        <v>45903.993472222224</v>
      </c>
      <c r="M745" s="10">
        <v>45903</v>
      </c>
      <c r="N745" s="6" t="s">
        <v>170</v>
      </c>
      <c r="O745" t="s">
        <v>171</v>
      </c>
      <c r="P745" s="6" t="s">
        <v>121</v>
      </c>
      <c r="Q745" t="s">
        <v>179</v>
      </c>
      <c r="R745" t="s">
        <v>123</v>
      </c>
      <c r="S745" s="6">
        <v>739953</v>
      </c>
      <c r="T745" s="6" t="s">
        <v>111</v>
      </c>
      <c r="U745">
        <v>482</v>
      </c>
      <c r="V745" s="6">
        <v>-32.700000000000003</v>
      </c>
      <c r="W745" s="6">
        <v>14.9</v>
      </c>
      <c r="X745" s="6">
        <v>480.9</v>
      </c>
      <c r="Y745" s="6">
        <v>495.8</v>
      </c>
      <c r="Z745" s="6" t="s">
        <v>112</v>
      </c>
      <c r="AA745" t="s">
        <v>770</v>
      </c>
      <c r="AB745" s="6" t="s">
        <v>75</v>
      </c>
      <c r="AC745" t="s">
        <v>125</v>
      </c>
      <c r="AD745" t="s">
        <v>67</v>
      </c>
      <c r="AE745">
        <v>-37</v>
      </c>
      <c r="AF745">
        <v>0</v>
      </c>
      <c r="AG745">
        <v>0</v>
      </c>
      <c r="AH745" s="6">
        <v>29.3</v>
      </c>
      <c r="AI745" s="6">
        <v>0</v>
      </c>
      <c r="AJ745" s="6">
        <v>0.872</v>
      </c>
      <c r="AK745" s="6">
        <v>0.58499999999999996</v>
      </c>
      <c r="AL745" s="8">
        <v>2276.44</v>
      </c>
      <c r="AM745" s="6" t="s">
        <v>68</v>
      </c>
      <c r="AN745" s="6">
        <v>1</v>
      </c>
      <c r="AO745" s="6">
        <v>1</v>
      </c>
      <c r="AP745" s="6">
        <v>0</v>
      </c>
      <c r="AQ745" s="6">
        <v>1</v>
      </c>
      <c r="AR745" s="6">
        <v>0</v>
      </c>
      <c r="AS745" s="6">
        <v>1</v>
      </c>
      <c r="AT745" s="6">
        <v>0</v>
      </c>
      <c r="AU745" s="6">
        <v>2.41</v>
      </c>
      <c r="AV745" s="6">
        <v>1.63</v>
      </c>
      <c r="AW745" s="6">
        <v>442.98</v>
      </c>
      <c r="AX745" s="6">
        <v>61.49</v>
      </c>
      <c r="AY745" s="6">
        <v>253.49</v>
      </c>
      <c r="AZ745" s="6">
        <v>11.5</v>
      </c>
      <c r="BA745" s="6">
        <v>32.9</v>
      </c>
    </row>
    <row r="746" spans="1:53" x14ac:dyDescent="0.3">
      <c r="A746" s="6">
        <v>645055605</v>
      </c>
      <c r="B746" s="6">
        <v>245051</v>
      </c>
      <c r="C746" s="6">
        <v>1739653</v>
      </c>
      <c r="D746" s="6">
        <v>4763</v>
      </c>
      <c r="E746" s="6" t="s">
        <v>185</v>
      </c>
      <c r="F746" s="6">
        <v>57942</v>
      </c>
      <c r="G746" s="6" t="s">
        <v>102</v>
      </c>
      <c r="H746" s="10">
        <v>45660</v>
      </c>
      <c r="I746" s="10">
        <v>45660</v>
      </c>
      <c r="J746" s="4">
        <v>45660.305555555555</v>
      </c>
      <c r="K746" s="4">
        <v>45660.401354166665</v>
      </c>
      <c r="L746" s="11">
        <v>45660.415243055555</v>
      </c>
      <c r="M746" s="10">
        <v>45660</v>
      </c>
      <c r="N746" s="6" t="s">
        <v>132</v>
      </c>
      <c r="O746" t="s">
        <v>229</v>
      </c>
      <c r="P746" s="6" t="s">
        <v>200</v>
      </c>
      <c r="Q746" t="s">
        <v>171</v>
      </c>
      <c r="R746" t="s">
        <v>62</v>
      </c>
      <c r="S746" s="6">
        <v>748997</v>
      </c>
      <c r="T746" s="6" t="s">
        <v>1</v>
      </c>
      <c r="U746">
        <v>127</v>
      </c>
      <c r="V746" s="6">
        <v>18.600000000000001</v>
      </c>
      <c r="W746" s="6">
        <v>0.4</v>
      </c>
      <c r="X746" s="6">
        <v>123.8</v>
      </c>
      <c r="Y746" s="6">
        <v>142.80000000000001</v>
      </c>
      <c r="Z746" s="6" t="s">
        <v>63</v>
      </c>
      <c r="AA746" t="s">
        <v>771</v>
      </c>
      <c r="AB746" s="6" t="s">
        <v>97</v>
      </c>
      <c r="AC746" t="s">
        <v>154</v>
      </c>
      <c r="AD746" t="s">
        <v>67</v>
      </c>
      <c r="AE746">
        <v>20</v>
      </c>
      <c r="AF746">
        <v>63</v>
      </c>
      <c r="AG746">
        <v>0.5</v>
      </c>
      <c r="AH746" s="6">
        <v>55.7</v>
      </c>
      <c r="AI746" s="6">
        <v>0</v>
      </c>
      <c r="AJ746" s="6">
        <v>0.56000000000000005</v>
      </c>
      <c r="AK746" s="6">
        <v>0.57799999999999996</v>
      </c>
      <c r="AL746" s="8">
        <v>15680.3</v>
      </c>
      <c r="AM746" s="6" t="s">
        <v>114</v>
      </c>
      <c r="AN746" s="6">
        <v>1</v>
      </c>
      <c r="AO746" s="6">
        <v>0</v>
      </c>
      <c r="AP746" s="6">
        <v>1</v>
      </c>
      <c r="AQ746" s="6">
        <v>0</v>
      </c>
      <c r="AR746" s="6">
        <v>1</v>
      </c>
      <c r="AS746" s="6">
        <v>0</v>
      </c>
      <c r="AT746" s="6">
        <v>1</v>
      </c>
      <c r="AU746" s="6">
        <v>2.17</v>
      </c>
      <c r="AV746" s="6">
        <v>1.29</v>
      </c>
      <c r="AW746" s="6">
        <v>92.11</v>
      </c>
      <c r="AX746" s="6">
        <v>19.55</v>
      </c>
      <c r="AY746" s="6">
        <v>94.23</v>
      </c>
      <c r="AZ746" s="6">
        <v>12.9</v>
      </c>
      <c r="BA746" s="6">
        <v>68.3</v>
      </c>
    </row>
    <row r="747" spans="1:53" x14ac:dyDescent="0.3">
      <c r="A747" s="6">
        <v>695016134</v>
      </c>
      <c r="B747" s="6">
        <v>260263</v>
      </c>
      <c r="C747" s="6">
        <v>5674183</v>
      </c>
      <c r="D747" s="6">
        <v>5736</v>
      </c>
      <c r="E747" s="6" t="s">
        <v>185</v>
      </c>
      <c r="F747" s="6">
        <v>57548</v>
      </c>
      <c r="G747" s="6" t="s">
        <v>127</v>
      </c>
      <c r="H747" s="10">
        <v>45831</v>
      </c>
      <c r="I747" s="10">
        <v>45831</v>
      </c>
      <c r="J747" s="4">
        <v>45831.652777777781</v>
      </c>
      <c r="K747" s="4">
        <v>45832.076979166668</v>
      </c>
      <c r="L747" s="11">
        <v>45832.060312499998</v>
      </c>
      <c r="M747" s="10">
        <v>45832</v>
      </c>
      <c r="N747" s="6" t="s">
        <v>116</v>
      </c>
      <c r="O747" t="s">
        <v>128</v>
      </c>
      <c r="P747" s="6" t="s">
        <v>129</v>
      </c>
      <c r="Q747" t="s">
        <v>241</v>
      </c>
      <c r="R747" t="s">
        <v>123</v>
      </c>
      <c r="S747" s="6">
        <v>778087</v>
      </c>
      <c r="T747" s="6" t="s">
        <v>111</v>
      </c>
      <c r="U747">
        <v>482</v>
      </c>
      <c r="V747" s="6">
        <v>50.1</v>
      </c>
      <c r="W747" s="6">
        <v>35.9</v>
      </c>
      <c r="X747" s="6">
        <v>490.2</v>
      </c>
      <c r="Y747" s="6">
        <v>576.20000000000005</v>
      </c>
      <c r="Z747" s="6" t="s">
        <v>2</v>
      </c>
      <c r="AA747" t="s">
        <v>509</v>
      </c>
      <c r="AB747" s="6" t="s">
        <v>90</v>
      </c>
      <c r="AC747" t="s">
        <v>83</v>
      </c>
      <c r="AD747" t="s">
        <v>67</v>
      </c>
      <c r="AE747">
        <v>-24</v>
      </c>
      <c r="AF747">
        <v>0</v>
      </c>
      <c r="AG747">
        <v>0</v>
      </c>
      <c r="AH747" s="6">
        <v>87.8</v>
      </c>
      <c r="AI747" s="6">
        <v>0</v>
      </c>
      <c r="AJ747" s="6">
        <v>0.318</v>
      </c>
      <c r="AK747" s="6">
        <v>0.83299999999999996</v>
      </c>
      <c r="AL747" s="8">
        <v>7408.9</v>
      </c>
      <c r="AM747" s="6" t="s">
        <v>68</v>
      </c>
      <c r="AN747" s="6">
        <v>1</v>
      </c>
      <c r="AO747" s="6">
        <v>1</v>
      </c>
      <c r="AP747" s="6">
        <v>0</v>
      </c>
      <c r="AQ747" s="6">
        <v>1</v>
      </c>
      <c r="AR747" s="6">
        <v>0</v>
      </c>
      <c r="AS747" s="6">
        <v>1</v>
      </c>
      <c r="AT747" s="6">
        <v>0</v>
      </c>
      <c r="AU747" s="6">
        <v>2.42</v>
      </c>
      <c r="AV747" s="6">
        <v>1.79</v>
      </c>
      <c r="AW747" s="6">
        <v>469.07</v>
      </c>
      <c r="AX747" s="6">
        <v>80.08</v>
      </c>
      <c r="AY747" s="6">
        <v>381.35</v>
      </c>
      <c r="AZ747" s="6">
        <v>30.8</v>
      </c>
      <c r="BA747" s="6">
        <v>28.4</v>
      </c>
    </row>
    <row r="748" spans="1:53" x14ac:dyDescent="0.3">
      <c r="A748" s="6">
        <v>121833792</v>
      </c>
      <c r="B748" s="6">
        <v>330283</v>
      </c>
      <c r="C748" s="6">
        <v>6304573</v>
      </c>
      <c r="D748" s="6">
        <v>8035</v>
      </c>
      <c r="E748" s="6" t="s">
        <v>101</v>
      </c>
      <c r="F748" s="6">
        <v>50560</v>
      </c>
      <c r="G748" s="6" t="s">
        <v>149</v>
      </c>
      <c r="H748" s="10">
        <v>45728</v>
      </c>
      <c r="I748" s="10">
        <v>45728</v>
      </c>
      <c r="J748" s="4">
        <v>45728.822916666664</v>
      </c>
      <c r="K748" s="4">
        <v>45729.162199074075</v>
      </c>
      <c r="L748" s="11">
        <v>45729.12122685185</v>
      </c>
      <c r="M748" s="10">
        <v>45729</v>
      </c>
      <c r="N748" s="6" t="s">
        <v>132</v>
      </c>
      <c r="O748" t="s">
        <v>133</v>
      </c>
      <c r="P748" s="6" t="s">
        <v>132</v>
      </c>
      <c r="Q748" t="s">
        <v>186</v>
      </c>
      <c r="R748" t="s">
        <v>62</v>
      </c>
      <c r="S748" s="6">
        <v>711807</v>
      </c>
      <c r="T748" s="6" t="s">
        <v>111</v>
      </c>
      <c r="U748">
        <v>325</v>
      </c>
      <c r="V748" s="6">
        <v>42.9</v>
      </c>
      <c r="W748" s="6">
        <v>2.6</v>
      </c>
      <c r="X748" s="6">
        <v>320</v>
      </c>
      <c r="Y748" s="6">
        <v>365.5</v>
      </c>
      <c r="Z748" s="6" t="s">
        <v>63</v>
      </c>
      <c r="AA748" t="s">
        <v>772</v>
      </c>
      <c r="AB748" s="6" t="s">
        <v>65</v>
      </c>
      <c r="AC748" t="s">
        <v>125</v>
      </c>
      <c r="AD748" t="s">
        <v>67</v>
      </c>
      <c r="AE748">
        <v>-59</v>
      </c>
      <c r="AF748">
        <v>0</v>
      </c>
      <c r="AG748">
        <v>0</v>
      </c>
      <c r="AH748" s="6">
        <v>70</v>
      </c>
      <c r="AI748" s="6">
        <v>0</v>
      </c>
      <c r="AJ748" s="6">
        <v>0.438</v>
      </c>
      <c r="AK748" s="6">
        <v>0.55700000000000005</v>
      </c>
      <c r="AL748" s="8">
        <v>113243.91</v>
      </c>
      <c r="AM748" s="6" t="s">
        <v>155</v>
      </c>
      <c r="AN748" s="6">
        <v>1</v>
      </c>
      <c r="AO748" s="6">
        <v>1</v>
      </c>
      <c r="AP748" s="6">
        <v>0</v>
      </c>
      <c r="AQ748" s="6">
        <v>1</v>
      </c>
      <c r="AR748" s="6">
        <v>0</v>
      </c>
      <c r="AS748" s="6">
        <v>1</v>
      </c>
      <c r="AT748" s="6">
        <v>0</v>
      </c>
      <c r="AU748" s="6">
        <v>1.98</v>
      </c>
      <c r="AV748" s="6">
        <v>1.19</v>
      </c>
      <c r="AW748" s="6">
        <v>273.01</v>
      </c>
      <c r="AX748" s="6">
        <v>80.069999999999993</v>
      </c>
      <c r="AY748" s="6">
        <v>252.17</v>
      </c>
      <c r="AZ748" s="6">
        <v>36.299999999999997</v>
      </c>
      <c r="BA748" s="6">
        <v>27.9</v>
      </c>
    </row>
    <row r="749" spans="1:53" x14ac:dyDescent="0.3">
      <c r="A749" s="6">
        <v>519246503</v>
      </c>
      <c r="B749" s="6">
        <v>575435</v>
      </c>
      <c r="C749" s="6">
        <v>9436429</v>
      </c>
      <c r="D749" s="6">
        <v>7736</v>
      </c>
      <c r="E749" s="6" t="s">
        <v>225</v>
      </c>
      <c r="F749" s="6">
        <v>51912</v>
      </c>
      <c r="G749" s="6" t="s">
        <v>127</v>
      </c>
      <c r="H749" s="10">
        <v>45886</v>
      </c>
      <c r="I749" s="10">
        <v>45886</v>
      </c>
      <c r="J749" s="4">
        <v>45886.197916666664</v>
      </c>
      <c r="K749" s="4">
        <v>45886.317083333335</v>
      </c>
      <c r="L749" s="11">
        <v>45886.600416666668</v>
      </c>
      <c r="M749" s="10">
        <v>45886</v>
      </c>
      <c r="N749" s="6" t="s">
        <v>103</v>
      </c>
      <c r="O749" t="s">
        <v>232</v>
      </c>
      <c r="P749" s="6" t="s">
        <v>134</v>
      </c>
      <c r="Q749" t="s">
        <v>135</v>
      </c>
      <c r="R749" t="s">
        <v>73</v>
      </c>
      <c r="S749" s="6">
        <v>763999</v>
      </c>
      <c r="T749" s="6" t="s">
        <v>1</v>
      </c>
      <c r="U749">
        <v>122</v>
      </c>
      <c r="V749" s="6">
        <v>27.4</v>
      </c>
      <c r="W749" s="6">
        <v>14.2</v>
      </c>
      <c r="X749" s="6">
        <v>120.5</v>
      </c>
      <c r="Y749" s="6">
        <v>162.1</v>
      </c>
      <c r="Z749" s="6" t="s">
        <v>80</v>
      </c>
      <c r="AA749" t="s">
        <v>773</v>
      </c>
      <c r="AB749" s="6" t="s">
        <v>82</v>
      </c>
      <c r="AC749" t="s">
        <v>91</v>
      </c>
      <c r="AD749" t="s">
        <v>192</v>
      </c>
      <c r="AE749">
        <v>408</v>
      </c>
      <c r="AF749">
        <v>53</v>
      </c>
      <c r="AG749">
        <v>0</v>
      </c>
      <c r="AH749" s="6">
        <v>64.3</v>
      </c>
      <c r="AI749" s="6">
        <v>0</v>
      </c>
      <c r="AJ749" s="6">
        <v>0.72199999999999998</v>
      </c>
      <c r="AK749" s="6">
        <v>0.67100000000000004</v>
      </c>
      <c r="AL749" s="8">
        <v>90377.23</v>
      </c>
      <c r="AM749" s="6" t="s">
        <v>155</v>
      </c>
      <c r="AN749" s="6">
        <v>1</v>
      </c>
      <c r="AO749" s="6">
        <v>0</v>
      </c>
      <c r="AP749" s="6">
        <v>1</v>
      </c>
      <c r="AQ749" s="6">
        <v>0</v>
      </c>
      <c r="AR749" s="6">
        <v>1</v>
      </c>
      <c r="AS749" s="6">
        <v>0</v>
      </c>
      <c r="AT749" s="6">
        <v>1</v>
      </c>
      <c r="AU749" s="6">
        <v>2.09</v>
      </c>
      <c r="AV749" s="6">
        <v>1.56</v>
      </c>
      <c r="AW749" s="6">
        <v>145.32</v>
      </c>
      <c r="AX749" s="6">
        <v>32.83</v>
      </c>
      <c r="AY749" s="6">
        <v>93.68</v>
      </c>
      <c r="AZ749" s="6">
        <v>17.2</v>
      </c>
      <c r="BA749" s="6">
        <v>21.5</v>
      </c>
    </row>
    <row r="750" spans="1:53" x14ac:dyDescent="0.3">
      <c r="A750" s="6">
        <v>604803700</v>
      </c>
      <c r="B750" s="6">
        <v>731262</v>
      </c>
      <c r="C750" s="6">
        <v>4594297</v>
      </c>
      <c r="D750" s="6">
        <v>3558</v>
      </c>
      <c r="E750" s="6" t="s">
        <v>126</v>
      </c>
      <c r="F750" s="6">
        <v>51864</v>
      </c>
      <c r="G750" s="6" t="s">
        <v>175</v>
      </c>
      <c r="H750" s="10">
        <v>46015</v>
      </c>
      <c r="I750" s="10">
        <v>46015</v>
      </c>
      <c r="J750" s="4">
        <v>46015.826388888891</v>
      </c>
      <c r="K750" s="4">
        <v>46016.18341435185</v>
      </c>
      <c r="L750" s="11">
        <v>46016.170914351853</v>
      </c>
      <c r="M750" s="10">
        <v>46016</v>
      </c>
      <c r="N750" s="6" t="s">
        <v>134</v>
      </c>
      <c r="O750" t="s">
        <v>135</v>
      </c>
      <c r="P750" s="6" t="s">
        <v>134</v>
      </c>
      <c r="Q750" t="s">
        <v>248</v>
      </c>
      <c r="R750" t="s">
        <v>73</v>
      </c>
      <c r="S750" s="6">
        <v>752322</v>
      </c>
      <c r="T750" s="6" t="s">
        <v>111</v>
      </c>
      <c r="U750">
        <v>437</v>
      </c>
      <c r="V750" s="6">
        <v>52.1</v>
      </c>
      <c r="W750" s="6">
        <v>44.7</v>
      </c>
      <c r="X750" s="6">
        <v>440.4</v>
      </c>
      <c r="Y750" s="6">
        <v>537.20000000000005</v>
      </c>
      <c r="Z750" s="6" t="s">
        <v>2</v>
      </c>
      <c r="AA750" t="s">
        <v>774</v>
      </c>
      <c r="AB750" s="6" t="s">
        <v>65</v>
      </c>
      <c r="AC750" t="s">
        <v>125</v>
      </c>
      <c r="AD750" t="s">
        <v>67</v>
      </c>
      <c r="AE750">
        <v>-18</v>
      </c>
      <c r="AF750">
        <v>0</v>
      </c>
      <c r="AG750">
        <v>0</v>
      </c>
      <c r="AH750" s="6">
        <v>62.7</v>
      </c>
      <c r="AI750" s="6">
        <v>0</v>
      </c>
      <c r="AJ750" s="6">
        <v>0.51900000000000002</v>
      </c>
      <c r="AK750" s="6">
        <v>0.72</v>
      </c>
      <c r="AL750" s="8">
        <v>14992.49</v>
      </c>
      <c r="AM750" s="6" t="s">
        <v>114</v>
      </c>
      <c r="AN750" s="6">
        <v>1</v>
      </c>
      <c r="AO750" s="6">
        <v>1</v>
      </c>
      <c r="AP750" s="6">
        <v>0</v>
      </c>
      <c r="AQ750" s="6">
        <v>1</v>
      </c>
      <c r="AR750" s="6">
        <v>0</v>
      </c>
      <c r="AS750" s="6">
        <v>1</v>
      </c>
      <c r="AT750" s="6">
        <v>0</v>
      </c>
      <c r="AU750" s="6">
        <v>2.48</v>
      </c>
      <c r="AV750" s="6">
        <v>1.54</v>
      </c>
      <c r="AW750" s="6">
        <v>482.71</v>
      </c>
      <c r="AX750" s="6">
        <v>107.72</v>
      </c>
      <c r="AY750" s="6">
        <v>369.98</v>
      </c>
      <c r="AZ750" s="6">
        <v>10</v>
      </c>
      <c r="BA750" s="6">
        <v>75.599999999999994</v>
      </c>
    </row>
    <row r="751" spans="1:53" x14ac:dyDescent="0.3">
      <c r="A751" s="6">
        <v>146744734</v>
      </c>
      <c r="B751" s="6">
        <v>867460</v>
      </c>
      <c r="C751" s="6">
        <v>5273534</v>
      </c>
      <c r="D751" s="6">
        <v>6539</v>
      </c>
      <c r="E751" s="6" t="s">
        <v>84</v>
      </c>
      <c r="F751" s="6">
        <v>50296</v>
      </c>
      <c r="G751" s="6" t="s">
        <v>115</v>
      </c>
      <c r="H751" s="10">
        <v>45827</v>
      </c>
      <c r="I751" s="10">
        <v>45827</v>
      </c>
      <c r="J751" s="4">
        <v>45827.416666666664</v>
      </c>
      <c r="K751" s="4">
        <v>45827.644444444442</v>
      </c>
      <c r="L751" s="11">
        <v>45827.622916666667</v>
      </c>
      <c r="M751" s="10">
        <v>45827</v>
      </c>
      <c r="N751" s="6" t="s">
        <v>93</v>
      </c>
      <c r="O751" t="s">
        <v>217</v>
      </c>
      <c r="P751" s="6" t="s">
        <v>59</v>
      </c>
      <c r="Q751" t="s">
        <v>167</v>
      </c>
      <c r="R751" t="s">
        <v>62</v>
      </c>
      <c r="S751" s="6">
        <v>756614</v>
      </c>
      <c r="T751" s="6" t="s">
        <v>1</v>
      </c>
      <c r="U751">
        <v>206</v>
      </c>
      <c r="V751" s="6">
        <v>27.6</v>
      </c>
      <c r="W751" s="6">
        <v>13.7</v>
      </c>
      <c r="X751" s="6">
        <v>210</v>
      </c>
      <c r="Y751" s="6">
        <v>251.3</v>
      </c>
      <c r="Z751" s="6" t="s">
        <v>63</v>
      </c>
      <c r="AA751" t="s">
        <v>163</v>
      </c>
      <c r="AB751" s="6" t="s">
        <v>75</v>
      </c>
      <c r="AC751" t="s">
        <v>137</v>
      </c>
      <c r="AD751" t="s">
        <v>67</v>
      </c>
      <c r="AE751">
        <v>-31</v>
      </c>
      <c r="AF751">
        <v>0</v>
      </c>
      <c r="AG751">
        <v>0</v>
      </c>
      <c r="AH751" s="6">
        <v>17.100000000000001</v>
      </c>
      <c r="AI751" s="6">
        <v>0</v>
      </c>
      <c r="AJ751" s="6">
        <v>0.70199999999999996</v>
      </c>
      <c r="AK751" s="6">
        <v>0.44</v>
      </c>
      <c r="AL751" s="8">
        <v>17057.25</v>
      </c>
      <c r="AM751" s="6" t="s">
        <v>114</v>
      </c>
      <c r="AN751" s="6">
        <v>1</v>
      </c>
      <c r="AO751" s="6">
        <v>1</v>
      </c>
      <c r="AP751" s="6">
        <v>0</v>
      </c>
      <c r="AQ751" s="6">
        <v>1</v>
      </c>
      <c r="AR751" s="6">
        <v>0</v>
      </c>
      <c r="AS751" s="6">
        <v>1</v>
      </c>
      <c r="AT751" s="6">
        <v>0</v>
      </c>
      <c r="AU751" s="6">
        <v>2.23</v>
      </c>
      <c r="AV751" s="6">
        <v>1.41</v>
      </c>
      <c r="AW751" s="6">
        <v>215.01</v>
      </c>
      <c r="AX751" s="6">
        <v>40.619999999999997</v>
      </c>
      <c r="AY751" s="6">
        <v>159.22</v>
      </c>
      <c r="AZ751" s="6">
        <v>31.7</v>
      </c>
      <c r="BA751" s="6">
        <v>21.6</v>
      </c>
    </row>
    <row r="752" spans="1:53" x14ac:dyDescent="0.3">
      <c r="A752" s="6">
        <v>782546314</v>
      </c>
      <c r="B752" s="6">
        <v>211579</v>
      </c>
      <c r="C752" s="6">
        <v>6866294</v>
      </c>
      <c r="D752" s="6">
        <v>2734</v>
      </c>
      <c r="E752" s="6" t="s">
        <v>225</v>
      </c>
      <c r="F752" s="6">
        <v>52409</v>
      </c>
      <c r="G752" s="6" t="s">
        <v>149</v>
      </c>
      <c r="H752" s="10">
        <v>45956</v>
      </c>
      <c r="I752" s="10">
        <v>45956</v>
      </c>
      <c r="J752" s="4">
        <v>45956.329861111109</v>
      </c>
      <c r="K752" s="4">
        <v>45956.540601851855</v>
      </c>
      <c r="L752" s="11">
        <v>45956.509351851855</v>
      </c>
      <c r="M752" s="10">
        <v>45956</v>
      </c>
      <c r="N752" s="6" t="s">
        <v>86</v>
      </c>
      <c r="O752" t="s">
        <v>108</v>
      </c>
      <c r="P752" s="6" t="s">
        <v>86</v>
      </c>
      <c r="Q752" t="s">
        <v>268</v>
      </c>
      <c r="R752" t="s">
        <v>88</v>
      </c>
      <c r="S752" s="6">
        <v>742558</v>
      </c>
      <c r="T752" s="6" t="s">
        <v>1</v>
      </c>
      <c r="U752">
        <v>300</v>
      </c>
      <c r="V752" s="6">
        <v>23.2</v>
      </c>
      <c r="W752" s="6">
        <v>37</v>
      </c>
      <c r="X752" s="6">
        <v>295.2</v>
      </c>
      <c r="Y752" s="6">
        <v>355.4</v>
      </c>
      <c r="Z752" s="6" t="s">
        <v>63</v>
      </c>
      <c r="AA752" t="s">
        <v>775</v>
      </c>
      <c r="AB752" s="6" t="s">
        <v>97</v>
      </c>
      <c r="AC752" t="s">
        <v>91</v>
      </c>
      <c r="AD752" t="s">
        <v>67</v>
      </c>
      <c r="AE752">
        <v>-45</v>
      </c>
      <c r="AF752">
        <v>0</v>
      </c>
      <c r="AG752">
        <v>0</v>
      </c>
      <c r="AH752" s="6">
        <v>53</v>
      </c>
      <c r="AI752" s="6">
        <v>0</v>
      </c>
      <c r="AJ752" s="6">
        <v>0.41099999999999998</v>
      </c>
      <c r="AK752" s="6">
        <v>0.49399999999999999</v>
      </c>
      <c r="AL752" s="8">
        <v>7106.81</v>
      </c>
      <c r="AM752" s="6" t="s">
        <v>114</v>
      </c>
      <c r="AN752" s="6">
        <v>1</v>
      </c>
      <c r="AO752" s="6">
        <v>1</v>
      </c>
      <c r="AP752" s="6">
        <v>0</v>
      </c>
      <c r="AQ752" s="6">
        <v>1</v>
      </c>
      <c r="AR752" s="6">
        <v>0</v>
      </c>
      <c r="AS752" s="6">
        <v>1</v>
      </c>
      <c r="AT752" s="6">
        <v>0</v>
      </c>
      <c r="AU752" s="6">
        <v>2.02</v>
      </c>
      <c r="AV752" s="6">
        <v>1.58</v>
      </c>
      <c r="AW752" s="6">
        <v>230.85</v>
      </c>
      <c r="AX752" s="6">
        <v>55.45</v>
      </c>
      <c r="AY752" s="6">
        <v>176.46</v>
      </c>
      <c r="AZ752" s="6">
        <v>9.3000000000000007</v>
      </c>
      <c r="BA752" s="6">
        <v>5.3</v>
      </c>
    </row>
    <row r="753" spans="1:53" x14ac:dyDescent="0.3">
      <c r="A753" s="6">
        <v>515410649</v>
      </c>
      <c r="B753" s="6">
        <v>325772</v>
      </c>
      <c r="C753" s="6">
        <v>9997381</v>
      </c>
      <c r="D753" s="6">
        <v>8099</v>
      </c>
      <c r="E753" s="6" t="s">
        <v>211</v>
      </c>
      <c r="F753" s="6">
        <v>57630</v>
      </c>
      <c r="G753" s="6" t="s">
        <v>207</v>
      </c>
      <c r="H753" s="10">
        <v>45843</v>
      </c>
      <c r="I753" s="10">
        <v>45843</v>
      </c>
      <c r="J753" s="4">
        <v>45843.8125</v>
      </c>
      <c r="K753" s="4">
        <v>45843.984050925923</v>
      </c>
      <c r="L753" s="11">
        <v>45843.970856481479</v>
      </c>
      <c r="M753" s="10">
        <v>45843</v>
      </c>
      <c r="N753" s="6" t="s">
        <v>176</v>
      </c>
      <c r="O753" t="s">
        <v>227</v>
      </c>
      <c r="P753" s="6" t="s">
        <v>116</v>
      </c>
      <c r="Q753" t="s">
        <v>128</v>
      </c>
      <c r="R753" t="s">
        <v>123</v>
      </c>
      <c r="S753" s="6">
        <v>774899</v>
      </c>
      <c r="T753" s="6" t="s">
        <v>1</v>
      </c>
      <c r="U753">
        <v>183</v>
      </c>
      <c r="V753" s="6">
        <v>48.5</v>
      </c>
      <c r="W753" s="6">
        <v>25.3</v>
      </c>
      <c r="X753" s="6">
        <v>184.6</v>
      </c>
      <c r="Y753" s="6">
        <v>258.39999999999998</v>
      </c>
      <c r="Z753" s="6" t="s">
        <v>2</v>
      </c>
      <c r="AA753" t="s">
        <v>264</v>
      </c>
      <c r="AB753" s="6" t="s">
        <v>65</v>
      </c>
      <c r="AC753" t="s">
        <v>76</v>
      </c>
      <c r="AD753" t="s">
        <v>67</v>
      </c>
      <c r="AE753">
        <v>-19</v>
      </c>
      <c r="AF753">
        <v>0</v>
      </c>
      <c r="AG753">
        <v>0</v>
      </c>
      <c r="AH753" s="6">
        <v>54.5</v>
      </c>
      <c r="AI753" s="6">
        <v>0</v>
      </c>
      <c r="AJ753" s="6">
        <v>0.68799999999999994</v>
      </c>
      <c r="AK753" s="6">
        <v>0.58399999999999996</v>
      </c>
      <c r="AL753" s="8">
        <v>5520.8</v>
      </c>
      <c r="AM753" s="6" t="s">
        <v>68</v>
      </c>
      <c r="AN753" s="6">
        <v>1</v>
      </c>
      <c r="AO753" s="6">
        <v>1</v>
      </c>
      <c r="AP753" s="6">
        <v>0</v>
      </c>
      <c r="AQ753" s="6">
        <v>1</v>
      </c>
      <c r="AR753" s="6">
        <v>0</v>
      </c>
      <c r="AS753" s="6">
        <v>1</v>
      </c>
      <c r="AT753" s="6">
        <v>0</v>
      </c>
      <c r="AU753" s="6">
        <v>2.44</v>
      </c>
      <c r="AV753" s="6">
        <v>1.67</v>
      </c>
      <c r="AW753" s="6">
        <v>162.12</v>
      </c>
      <c r="AX753" s="6">
        <v>28.01</v>
      </c>
      <c r="AY753" s="6">
        <v>125.99</v>
      </c>
      <c r="AZ753" s="6">
        <v>4.7</v>
      </c>
      <c r="BA753" s="6">
        <v>22.1</v>
      </c>
    </row>
    <row r="754" spans="1:53" x14ac:dyDescent="0.3">
      <c r="A754" s="6">
        <v>500830389</v>
      </c>
      <c r="B754" s="6">
        <v>520651</v>
      </c>
      <c r="C754" s="6">
        <v>5098412</v>
      </c>
      <c r="D754" s="6">
        <v>7892</v>
      </c>
      <c r="E754" s="6" t="s">
        <v>84</v>
      </c>
      <c r="F754" s="6">
        <v>51461</v>
      </c>
      <c r="G754" s="6" t="s">
        <v>207</v>
      </c>
      <c r="H754" s="10">
        <v>45838</v>
      </c>
      <c r="I754" s="10">
        <v>45838</v>
      </c>
      <c r="J754" s="4">
        <v>45838.458333333336</v>
      </c>
      <c r="K754" s="4">
        <v>45838.70616898148</v>
      </c>
      <c r="L754" s="11">
        <v>45838.699918981481</v>
      </c>
      <c r="M754" s="10">
        <v>45838</v>
      </c>
      <c r="N754" s="6" t="s">
        <v>129</v>
      </c>
      <c r="O754" t="s">
        <v>156</v>
      </c>
      <c r="P754" s="6" t="s">
        <v>121</v>
      </c>
      <c r="Q754" t="s">
        <v>143</v>
      </c>
      <c r="R754" t="s">
        <v>123</v>
      </c>
      <c r="S754" s="6">
        <v>775399</v>
      </c>
      <c r="T754" s="6" t="s">
        <v>111</v>
      </c>
      <c r="U754">
        <v>356</v>
      </c>
      <c r="V754" s="6">
        <v>3.2</v>
      </c>
      <c r="W754" s="6">
        <v>29.6</v>
      </c>
      <c r="X754" s="6">
        <v>354.3</v>
      </c>
      <c r="Y754" s="6">
        <v>387.1</v>
      </c>
      <c r="Z754" s="6" t="s">
        <v>63</v>
      </c>
      <c r="AA754" t="s">
        <v>757</v>
      </c>
      <c r="AB754" s="6" t="s">
        <v>75</v>
      </c>
      <c r="AC754" t="s">
        <v>83</v>
      </c>
      <c r="AD754" t="s">
        <v>67</v>
      </c>
      <c r="AE754">
        <v>-9</v>
      </c>
      <c r="AF754">
        <v>0</v>
      </c>
      <c r="AG754">
        <v>0</v>
      </c>
      <c r="AH754" s="6">
        <v>57.3</v>
      </c>
      <c r="AI754" s="6">
        <v>0</v>
      </c>
      <c r="AJ754" s="6">
        <v>0.74099999999999999</v>
      </c>
      <c r="AK754" s="6">
        <v>0.57199999999999995</v>
      </c>
      <c r="AL754" s="8">
        <v>5452.05</v>
      </c>
      <c r="AM754" s="6" t="s">
        <v>68</v>
      </c>
      <c r="AN754" s="6">
        <v>1</v>
      </c>
      <c r="AO754" s="6">
        <v>1</v>
      </c>
      <c r="AP754" s="6">
        <v>0</v>
      </c>
      <c r="AQ754" s="6">
        <v>1</v>
      </c>
      <c r="AR754" s="6">
        <v>0</v>
      </c>
      <c r="AS754" s="6">
        <v>1</v>
      </c>
      <c r="AT754" s="6">
        <v>0</v>
      </c>
      <c r="AU754" s="6">
        <v>1.87</v>
      </c>
      <c r="AV754" s="6">
        <v>1.1399999999999999</v>
      </c>
      <c r="AW754" s="6">
        <v>255.86</v>
      </c>
      <c r="AX754" s="6">
        <v>47.88</v>
      </c>
      <c r="AY754" s="6">
        <v>230.54</v>
      </c>
      <c r="AZ754" s="6">
        <v>45.8</v>
      </c>
      <c r="BA754" s="6">
        <v>65.5</v>
      </c>
    </row>
    <row r="755" spans="1:53" x14ac:dyDescent="0.3">
      <c r="A755" s="6">
        <v>372354893</v>
      </c>
      <c r="B755" s="6">
        <v>905635</v>
      </c>
      <c r="C755" s="6">
        <v>2677407</v>
      </c>
      <c r="D755" s="6">
        <v>3790</v>
      </c>
      <c r="E755" s="6" t="s">
        <v>106</v>
      </c>
      <c r="F755" s="6">
        <v>54292</v>
      </c>
      <c r="G755" s="6" t="s">
        <v>115</v>
      </c>
      <c r="H755" s="10">
        <v>45997</v>
      </c>
      <c r="I755" s="10">
        <v>45997</v>
      </c>
      <c r="J755" s="4">
        <v>45997.263888888891</v>
      </c>
      <c r="K755" s="4">
        <v>45997.444606481484</v>
      </c>
      <c r="L755" s="11">
        <v>45997.439745370371</v>
      </c>
      <c r="M755" s="10">
        <v>45997</v>
      </c>
      <c r="N755" s="6" t="s">
        <v>103</v>
      </c>
      <c r="O755" t="s">
        <v>204</v>
      </c>
      <c r="P755" s="6" t="s">
        <v>86</v>
      </c>
      <c r="Q755" t="s">
        <v>268</v>
      </c>
      <c r="R755" t="s">
        <v>88</v>
      </c>
      <c r="S755" s="6">
        <v>719605</v>
      </c>
      <c r="T755" s="6" t="s">
        <v>1</v>
      </c>
      <c r="U755">
        <v>212</v>
      </c>
      <c r="V755" s="6">
        <v>25</v>
      </c>
      <c r="W755" s="6">
        <v>28.3</v>
      </c>
      <c r="X755" s="6">
        <v>201.9</v>
      </c>
      <c r="Y755" s="6">
        <v>255.2</v>
      </c>
      <c r="Z755" s="6" t="s">
        <v>63</v>
      </c>
      <c r="AA755" t="s">
        <v>525</v>
      </c>
      <c r="AB755" s="6" t="s">
        <v>97</v>
      </c>
      <c r="AC755" t="s">
        <v>76</v>
      </c>
      <c r="AD755" t="s">
        <v>67</v>
      </c>
      <c r="AE755">
        <v>-7</v>
      </c>
      <c r="AF755">
        <v>0</v>
      </c>
      <c r="AG755">
        <v>0</v>
      </c>
      <c r="AH755" s="6">
        <v>49.9</v>
      </c>
      <c r="AI755" s="6">
        <v>0</v>
      </c>
      <c r="AJ755" s="6">
        <v>0.81599999999999995</v>
      </c>
      <c r="AK755" s="6">
        <v>0.71199999999999997</v>
      </c>
      <c r="AL755" s="8">
        <v>16191.14</v>
      </c>
      <c r="AM755" s="6" t="s">
        <v>114</v>
      </c>
      <c r="AN755" s="6">
        <v>1</v>
      </c>
      <c r="AO755" s="6">
        <v>1</v>
      </c>
      <c r="AP755" s="6">
        <v>0</v>
      </c>
      <c r="AQ755" s="6">
        <v>1</v>
      </c>
      <c r="AR755" s="6">
        <v>0</v>
      </c>
      <c r="AS755" s="6">
        <v>1</v>
      </c>
      <c r="AT755" s="6">
        <v>0</v>
      </c>
      <c r="AU755" s="6">
        <v>2.44</v>
      </c>
      <c r="AV755" s="6">
        <v>1.9</v>
      </c>
      <c r="AW755" s="6">
        <v>182.86</v>
      </c>
      <c r="AX755" s="6">
        <v>52.94</v>
      </c>
      <c r="AY755" s="6">
        <v>170.63</v>
      </c>
      <c r="AZ755" s="6">
        <v>27.7</v>
      </c>
      <c r="BA755" s="6">
        <v>18.100000000000001</v>
      </c>
    </row>
    <row r="756" spans="1:53" x14ac:dyDescent="0.3">
      <c r="A756" s="6">
        <v>902425085</v>
      </c>
      <c r="B756" s="6">
        <v>479580</v>
      </c>
      <c r="C756" s="6">
        <v>8106422</v>
      </c>
      <c r="D756" s="6">
        <v>2495</v>
      </c>
      <c r="E756" s="6" t="s">
        <v>126</v>
      </c>
      <c r="F756" s="6">
        <v>52268</v>
      </c>
      <c r="G756" s="6" t="s">
        <v>77</v>
      </c>
      <c r="H756" s="10">
        <v>45982</v>
      </c>
      <c r="I756" s="10">
        <v>45982</v>
      </c>
      <c r="J756" s="4">
        <v>45982.34375</v>
      </c>
      <c r="K756" s="4">
        <v>45982.431400462963</v>
      </c>
      <c r="L756" s="11">
        <v>45982.41265046296</v>
      </c>
      <c r="M756" s="10">
        <v>45982</v>
      </c>
      <c r="N756" s="6" t="s">
        <v>132</v>
      </c>
      <c r="O756" t="s">
        <v>133</v>
      </c>
      <c r="P756" s="6" t="s">
        <v>109</v>
      </c>
      <c r="Q756" t="s">
        <v>110</v>
      </c>
      <c r="R756" t="s">
        <v>88</v>
      </c>
      <c r="S756" s="6">
        <v>711743</v>
      </c>
      <c r="T756" s="6" t="s">
        <v>3</v>
      </c>
      <c r="U756">
        <v>61</v>
      </c>
      <c r="V756" s="6">
        <v>28.4</v>
      </c>
      <c r="W756" s="6">
        <v>21</v>
      </c>
      <c r="X756" s="6">
        <v>58.2</v>
      </c>
      <c r="Y756" s="6">
        <v>107.6</v>
      </c>
      <c r="Z756" s="6" t="s">
        <v>63</v>
      </c>
      <c r="AA756" t="s">
        <v>776</v>
      </c>
      <c r="AB756" s="6" t="s">
        <v>97</v>
      </c>
      <c r="AC756" t="s">
        <v>154</v>
      </c>
      <c r="AD756" t="s">
        <v>67</v>
      </c>
      <c r="AE756">
        <v>-27</v>
      </c>
      <c r="AF756">
        <v>0</v>
      </c>
      <c r="AG756">
        <v>0</v>
      </c>
      <c r="AH756" s="6">
        <v>55</v>
      </c>
      <c r="AI756" s="6">
        <v>0</v>
      </c>
      <c r="AJ756" s="6">
        <v>0.48499999999999999</v>
      </c>
      <c r="AK756" s="6">
        <v>0.504</v>
      </c>
      <c r="AL756" s="8">
        <v>6120.64</v>
      </c>
      <c r="AM756" s="6" t="s">
        <v>114</v>
      </c>
      <c r="AN756" s="6">
        <v>1</v>
      </c>
      <c r="AO756" s="6">
        <v>1</v>
      </c>
      <c r="AP756" s="6">
        <v>0</v>
      </c>
      <c r="AQ756" s="6">
        <v>1</v>
      </c>
      <c r="AR756" s="6">
        <v>0</v>
      </c>
      <c r="AS756" s="6">
        <v>1</v>
      </c>
      <c r="AT756" s="6">
        <v>0</v>
      </c>
      <c r="AU756" s="6">
        <v>2.04</v>
      </c>
      <c r="AV756" s="6">
        <v>1.39</v>
      </c>
      <c r="AW756" s="6">
        <v>74.510000000000005</v>
      </c>
      <c r="AX756" s="6">
        <v>17.55</v>
      </c>
      <c r="AY756" s="6">
        <v>61.57</v>
      </c>
      <c r="AZ756" s="6">
        <v>9.6999999999999993</v>
      </c>
      <c r="BA756" s="6">
        <v>55.8</v>
      </c>
    </row>
    <row r="757" spans="1:53" x14ac:dyDescent="0.3">
      <c r="A757" s="6">
        <v>117439966</v>
      </c>
      <c r="B757" s="6">
        <v>377932</v>
      </c>
      <c r="C757" s="6">
        <v>9508103</v>
      </c>
      <c r="D757" s="6">
        <v>6699</v>
      </c>
      <c r="E757" s="6" t="s">
        <v>92</v>
      </c>
      <c r="F757" s="6">
        <v>50994</v>
      </c>
      <c r="G757" s="6" t="s">
        <v>203</v>
      </c>
      <c r="H757" s="10">
        <v>45944</v>
      </c>
      <c r="I757" s="10">
        <v>45944</v>
      </c>
      <c r="J757" s="4">
        <v>45944.347222222219</v>
      </c>
      <c r="K757" s="4">
        <v>45944.638506944444</v>
      </c>
      <c r="L757" s="11">
        <v>45944.610729166663</v>
      </c>
      <c r="M757" s="10">
        <v>45944</v>
      </c>
      <c r="N757" s="6" t="s">
        <v>176</v>
      </c>
      <c r="O757" t="s">
        <v>177</v>
      </c>
      <c r="P757" s="6" t="s">
        <v>59</v>
      </c>
      <c r="Q757" t="s">
        <v>61</v>
      </c>
      <c r="R757" t="s">
        <v>62</v>
      </c>
      <c r="S757" s="6">
        <v>785905</v>
      </c>
      <c r="T757" s="6" t="s">
        <v>111</v>
      </c>
      <c r="U757">
        <v>369</v>
      </c>
      <c r="V757" s="6">
        <v>18</v>
      </c>
      <c r="W757" s="6">
        <v>17.8</v>
      </c>
      <c r="X757" s="6">
        <v>359.2</v>
      </c>
      <c r="Y757" s="6">
        <v>395</v>
      </c>
      <c r="Z757" s="6" t="s">
        <v>112</v>
      </c>
      <c r="AA757" t="s">
        <v>493</v>
      </c>
      <c r="AB757" s="6" t="s">
        <v>97</v>
      </c>
      <c r="AC757" t="s">
        <v>66</v>
      </c>
      <c r="AD757" t="s">
        <v>67</v>
      </c>
      <c r="AE757">
        <v>-40</v>
      </c>
      <c r="AF757">
        <v>0</v>
      </c>
      <c r="AG757">
        <v>0</v>
      </c>
      <c r="AH757" s="6">
        <v>21.9</v>
      </c>
      <c r="AI757" s="6">
        <v>0</v>
      </c>
      <c r="AJ757" s="6">
        <v>0.60399999999999998</v>
      </c>
      <c r="AK757" s="6">
        <v>0.79300000000000004</v>
      </c>
      <c r="AL757" s="8">
        <v>90062.87</v>
      </c>
      <c r="AM757" s="6" t="s">
        <v>155</v>
      </c>
      <c r="AN757" s="6">
        <v>1</v>
      </c>
      <c r="AO757" s="6">
        <v>1</v>
      </c>
      <c r="AP757" s="6">
        <v>0</v>
      </c>
      <c r="AQ757" s="6">
        <v>1</v>
      </c>
      <c r="AR757" s="6">
        <v>0</v>
      </c>
      <c r="AS757" s="6">
        <v>1</v>
      </c>
      <c r="AT757" s="6">
        <v>0</v>
      </c>
      <c r="AU757" s="6">
        <v>2.19</v>
      </c>
      <c r="AV757" s="6">
        <v>1.33</v>
      </c>
      <c r="AW757" s="6">
        <v>288.72000000000003</v>
      </c>
      <c r="AX757" s="6">
        <v>86.3</v>
      </c>
      <c r="AY757" s="6">
        <v>270.35000000000002</v>
      </c>
      <c r="AZ757" s="6">
        <v>13.9</v>
      </c>
      <c r="BA757" s="6">
        <v>29.5</v>
      </c>
    </row>
    <row r="758" spans="1:53" x14ac:dyDescent="0.3">
      <c r="A758" s="6">
        <v>483426624</v>
      </c>
      <c r="B758" s="6">
        <v>249811</v>
      </c>
      <c r="C758" s="6">
        <v>2795765</v>
      </c>
      <c r="D758" s="6">
        <v>8392</v>
      </c>
      <c r="E758" s="6" t="s">
        <v>92</v>
      </c>
      <c r="F758" s="6">
        <v>56554</v>
      </c>
      <c r="G758" s="6" t="s">
        <v>175</v>
      </c>
      <c r="H758" s="10">
        <v>45766</v>
      </c>
      <c r="I758" s="10">
        <v>45766</v>
      </c>
      <c r="J758" s="4">
        <v>45766.708333333336</v>
      </c>
      <c r="K758" s="4">
        <v>45766.770833333336</v>
      </c>
      <c r="L758" s="11">
        <v>45766.748611111114</v>
      </c>
      <c r="M758" s="10">
        <v>45766</v>
      </c>
      <c r="N758" s="6" t="s">
        <v>129</v>
      </c>
      <c r="O758" t="s">
        <v>156</v>
      </c>
      <c r="P758" s="6" t="s">
        <v>116</v>
      </c>
      <c r="Q758" t="s">
        <v>139</v>
      </c>
      <c r="R758" t="s">
        <v>123</v>
      </c>
      <c r="S758" s="6">
        <v>778005</v>
      </c>
      <c r="T758" s="6" t="s">
        <v>3</v>
      </c>
      <c r="U758">
        <v>82</v>
      </c>
      <c r="V758" s="6">
        <v>8.6</v>
      </c>
      <c r="W758" s="6">
        <v>1.5</v>
      </c>
      <c r="X758" s="6">
        <v>78</v>
      </c>
      <c r="Y758" s="6">
        <v>88.1</v>
      </c>
      <c r="Z758" s="6" t="s">
        <v>63</v>
      </c>
      <c r="AA758" t="s">
        <v>350</v>
      </c>
      <c r="AB758" s="6" t="s">
        <v>90</v>
      </c>
      <c r="AC758" t="s">
        <v>76</v>
      </c>
      <c r="AD758" t="s">
        <v>67</v>
      </c>
      <c r="AE758">
        <v>-32</v>
      </c>
      <c r="AF758">
        <v>0</v>
      </c>
      <c r="AG758">
        <v>0.3</v>
      </c>
      <c r="AH758" s="6">
        <v>42.4</v>
      </c>
      <c r="AI758" s="6">
        <v>0</v>
      </c>
      <c r="AJ758" s="6">
        <v>0.71599999999999997</v>
      </c>
      <c r="AK758" s="6">
        <v>0.76800000000000002</v>
      </c>
      <c r="AL758" s="8">
        <v>93191.52</v>
      </c>
      <c r="AM758" s="6" t="s">
        <v>155</v>
      </c>
      <c r="AN758" s="6">
        <v>1</v>
      </c>
      <c r="AO758" s="6">
        <v>1</v>
      </c>
      <c r="AP758" s="6">
        <v>0</v>
      </c>
      <c r="AQ758" s="6">
        <v>1</v>
      </c>
      <c r="AR758" s="6">
        <v>0</v>
      </c>
      <c r="AS758" s="6">
        <v>1</v>
      </c>
      <c r="AT758" s="6">
        <v>0</v>
      </c>
      <c r="AU758" s="6">
        <v>2.0299999999999998</v>
      </c>
      <c r="AV758" s="6">
        <v>1.35</v>
      </c>
      <c r="AW758" s="6">
        <v>58.4</v>
      </c>
      <c r="AX758" s="6">
        <v>15.07</v>
      </c>
      <c r="AY758" s="6">
        <v>52.69</v>
      </c>
      <c r="AZ758" s="6">
        <v>11.1</v>
      </c>
      <c r="BA758" s="6">
        <v>18.7</v>
      </c>
    </row>
    <row r="759" spans="1:53" x14ac:dyDescent="0.3">
      <c r="A759" s="6">
        <v>946666926</v>
      </c>
      <c r="B759" s="6">
        <v>322955</v>
      </c>
      <c r="C759" s="6">
        <v>1131249</v>
      </c>
      <c r="D759" s="6">
        <v>6915</v>
      </c>
      <c r="E759" s="6" t="s">
        <v>57</v>
      </c>
      <c r="F759" s="6">
        <v>50007</v>
      </c>
      <c r="G759" s="6" t="s">
        <v>127</v>
      </c>
      <c r="H759" s="10">
        <v>45856</v>
      </c>
      <c r="I759" s="10">
        <v>45856</v>
      </c>
      <c r="J759" s="4">
        <v>45856.520833333336</v>
      </c>
      <c r="K759" s="4">
        <v>45856.645231481481</v>
      </c>
      <c r="L759" s="11">
        <v>45856.604259259257</v>
      </c>
      <c r="M759" s="10">
        <v>45856</v>
      </c>
      <c r="N759" s="6" t="s">
        <v>176</v>
      </c>
      <c r="O759" t="s">
        <v>227</v>
      </c>
      <c r="P759" s="6" t="s">
        <v>176</v>
      </c>
      <c r="Q759" t="s">
        <v>227</v>
      </c>
      <c r="R759" t="s">
        <v>88</v>
      </c>
      <c r="S759" s="6">
        <v>745653</v>
      </c>
      <c r="T759" s="6" t="s">
        <v>3</v>
      </c>
      <c r="U759">
        <v>88</v>
      </c>
      <c r="V759" s="6">
        <v>20.7</v>
      </c>
      <c r="W759" s="6">
        <v>43.6</v>
      </c>
      <c r="X759" s="6">
        <v>80.8</v>
      </c>
      <c r="Y759" s="6">
        <v>145.1</v>
      </c>
      <c r="Z759" s="6" t="s">
        <v>63</v>
      </c>
      <c r="AA759" t="s">
        <v>335</v>
      </c>
      <c r="AB759" s="6" t="s">
        <v>75</v>
      </c>
      <c r="AC759" t="s">
        <v>154</v>
      </c>
      <c r="AD759" t="s">
        <v>67</v>
      </c>
      <c r="AE759">
        <v>-59</v>
      </c>
      <c r="AF759">
        <v>0</v>
      </c>
      <c r="AG759">
        <v>0</v>
      </c>
      <c r="AH759" s="6">
        <v>43.4</v>
      </c>
      <c r="AI759" s="6">
        <v>0</v>
      </c>
      <c r="AJ759" s="6">
        <v>0.86799999999999999</v>
      </c>
      <c r="AK759" s="6">
        <v>0.627</v>
      </c>
      <c r="AL759" s="8">
        <v>3614.39</v>
      </c>
      <c r="AM759" s="6" t="s">
        <v>68</v>
      </c>
      <c r="AN759" s="6">
        <v>1</v>
      </c>
      <c r="AO759" s="6">
        <v>1</v>
      </c>
      <c r="AP759" s="6">
        <v>0</v>
      </c>
      <c r="AQ759" s="6">
        <v>1</v>
      </c>
      <c r="AR759" s="6">
        <v>0</v>
      </c>
      <c r="AS759" s="6">
        <v>1</v>
      </c>
      <c r="AT759" s="6">
        <v>0</v>
      </c>
      <c r="AU759" s="6">
        <v>2.2999999999999998</v>
      </c>
      <c r="AV759" s="6">
        <v>1.63</v>
      </c>
      <c r="AW759" s="6">
        <v>122.72</v>
      </c>
      <c r="AX759" s="6">
        <v>21.08</v>
      </c>
      <c r="AY759" s="6">
        <v>70.56</v>
      </c>
      <c r="AZ759" s="6">
        <v>31.4</v>
      </c>
      <c r="BA759" s="6">
        <v>52.8</v>
      </c>
    </row>
    <row r="760" spans="1:53" x14ac:dyDescent="0.3">
      <c r="A760" s="6">
        <v>172541521</v>
      </c>
      <c r="B760" s="6">
        <v>872246</v>
      </c>
      <c r="C760" s="6">
        <v>4860684</v>
      </c>
      <c r="D760" s="6">
        <v>6578</v>
      </c>
      <c r="E760" s="6" t="s">
        <v>126</v>
      </c>
      <c r="F760" s="6">
        <v>52515</v>
      </c>
      <c r="G760" s="6" t="s">
        <v>235</v>
      </c>
      <c r="H760" s="10">
        <v>45739</v>
      </c>
      <c r="I760" s="10">
        <v>45739</v>
      </c>
      <c r="J760" s="4">
        <v>45739.819444444445</v>
      </c>
      <c r="K760" s="4">
        <v>45740.038078703707</v>
      </c>
      <c r="L760" s="11">
        <v>45740.007523148146</v>
      </c>
      <c r="M760" s="10">
        <v>45740</v>
      </c>
      <c r="N760" s="6" t="s">
        <v>59</v>
      </c>
      <c r="O760" t="s">
        <v>61</v>
      </c>
      <c r="P760" s="6" t="s">
        <v>70</v>
      </c>
      <c r="Q760" t="s">
        <v>138</v>
      </c>
      <c r="R760" t="s">
        <v>73</v>
      </c>
      <c r="S760" s="6">
        <v>736170</v>
      </c>
      <c r="T760" s="6" t="s">
        <v>1</v>
      </c>
      <c r="U760">
        <v>288</v>
      </c>
      <c r="V760" s="6">
        <v>5.2</v>
      </c>
      <c r="W760" s="6">
        <v>3.5</v>
      </c>
      <c r="X760" s="6">
        <v>292.60000000000002</v>
      </c>
      <c r="Y760" s="6">
        <v>301.3</v>
      </c>
      <c r="Z760" s="6" t="s">
        <v>2</v>
      </c>
      <c r="AA760" t="s">
        <v>777</v>
      </c>
      <c r="AB760" s="6" t="s">
        <v>65</v>
      </c>
      <c r="AC760" t="s">
        <v>91</v>
      </c>
      <c r="AD760" t="s">
        <v>67</v>
      </c>
      <c r="AE760">
        <v>-44</v>
      </c>
      <c r="AF760">
        <v>0</v>
      </c>
      <c r="AG760">
        <v>0</v>
      </c>
      <c r="AH760" s="6">
        <v>16</v>
      </c>
      <c r="AI760" s="6">
        <v>0</v>
      </c>
      <c r="AJ760" s="6">
        <v>0.73099999999999998</v>
      </c>
      <c r="AK760" s="6">
        <v>0.52800000000000002</v>
      </c>
      <c r="AL760" s="8">
        <v>20873.21</v>
      </c>
      <c r="AM760" s="6" t="s">
        <v>114</v>
      </c>
      <c r="AN760" s="6">
        <v>1</v>
      </c>
      <c r="AO760" s="6">
        <v>1</v>
      </c>
      <c r="AP760" s="6">
        <v>0</v>
      </c>
      <c r="AQ760" s="6">
        <v>1</v>
      </c>
      <c r="AR760" s="6">
        <v>0</v>
      </c>
      <c r="AS760" s="6">
        <v>1</v>
      </c>
      <c r="AT760" s="6">
        <v>0</v>
      </c>
      <c r="AU760" s="6">
        <v>2.54</v>
      </c>
      <c r="AV760" s="6">
        <v>1.68</v>
      </c>
      <c r="AW760" s="6">
        <v>263.20999999999998</v>
      </c>
      <c r="AX760" s="6">
        <v>40.04</v>
      </c>
      <c r="AY760" s="6">
        <v>215.03</v>
      </c>
      <c r="AZ760" s="6">
        <v>41.8</v>
      </c>
      <c r="BA760" s="6">
        <v>13.7</v>
      </c>
    </row>
    <row r="761" spans="1:53" x14ac:dyDescent="0.3">
      <c r="A761" s="6">
        <v>470228863</v>
      </c>
      <c r="B761" s="6">
        <v>719176</v>
      </c>
      <c r="C761" s="6">
        <v>2130789</v>
      </c>
      <c r="D761" s="6">
        <v>6311</v>
      </c>
      <c r="E761" s="6" t="s">
        <v>211</v>
      </c>
      <c r="F761" s="6">
        <v>51417</v>
      </c>
      <c r="G761" s="6" t="s">
        <v>107</v>
      </c>
      <c r="H761" s="10">
        <v>45820</v>
      </c>
      <c r="I761" s="10">
        <v>45820</v>
      </c>
      <c r="J761" s="4">
        <v>45820.326388888891</v>
      </c>
      <c r="K761" s="4">
        <v>45820.613518518519</v>
      </c>
      <c r="L761" s="11">
        <v>45820.584351851852</v>
      </c>
      <c r="M761" s="10">
        <v>45820</v>
      </c>
      <c r="N761" s="6" t="s">
        <v>103</v>
      </c>
      <c r="O761" t="s">
        <v>99</v>
      </c>
      <c r="P761" s="6" t="s">
        <v>70</v>
      </c>
      <c r="Q761" t="s">
        <v>138</v>
      </c>
      <c r="R761" t="s">
        <v>73</v>
      </c>
      <c r="S761" s="6">
        <v>780997</v>
      </c>
      <c r="T761" s="6" t="s">
        <v>1</v>
      </c>
      <c r="U761">
        <v>314</v>
      </c>
      <c r="V761" s="6">
        <v>50</v>
      </c>
      <c r="W761" s="6">
        <v>7.5</v>
      </c>
      <c r="X761" s="6">
        <v>315.8</v>
      </c>
      <c r="Y761" s="6">
        <v>373.3</v>
      </c>
      <c r="Z761" s="6" t="s">
        <v>63</v>
      </c>
      <c r="AA761" t="s">
        <v>491</v>
      </c>
      <c r="AB761" s="6" t="s">
        <v>97</v>
      </c>
      <c r="AC761" t="s">
        <v>137</v>
      </c>
      <c r="AD761" t="s">
        <v>67</v>
      </c>
      <c r="AE761">
        <v>-42</v>
      </c>
      <c r="AF761">
        <v>0</v>
      </c>
      <c r="AG761">
        <v>0</v>
      </c>
      <c r="AH761" s="6">
        <v>50.5</v>
      </c>
      <c r="AI761" s="6">
        <v>0</v>
      </c>
      <c r="AJ761" s="6">
        <v>0.68500000000000005</v>
      </c>
      <c r="AK761" s="6">
        <v>0.54700000000000004</v>
      </c>
      <c r="AL761" s="8">
        <v>9236.66</v>
      </c>
      <c r="AM761" s="6" t="s">
        <v>114</v>
      </c>
      <c r="AN761" s="6">
        <v>1</v>
      </c>
      <c r="AO761" s="6">
        <v>1</v>
      </c>
      <c r="AP761" s="6">
        <v>0</v>
      </c>
      <c r="AQ761" s="6">
        <v>1</v>
      </c>
      <c r="AR761" s="6">
        <v>0</v>
      </c>
      <c r="AS761" s="6">
        <v>1</v>
      </c>
      <c r="AT761" s="6">
        <v>0</v>
      </c>
      <c r="AU761" s="6">
        <v>2.0499999999999998</v>
      </c>
      <c r="AV761" s="6">
        <v>1.61</v>
      </c>
      <c r="AW761" s="6">
        <v>286.08999999999997</v>
      </c>
      <c r="AX761" s="6">
        <v>78.47</v>
      </c>
      <c r="AY761" s="6">
        <v>223.05</v>
      </c>
      <c r="AZ761" s="6">
        <v>17</v>
      </c>
      <c r="BA761" s="6">
        <v>40.6</v>
      </c>
    </row>
    <row r="762" spans="1:53" x14ac:dyDescent="0.3">
      <c r="A762" s="6">
        <v>358906986</v>
      </c>
      <c r="B762" s="6">
        <v>197251</v>
      </c>
      <c r="C762" s="6">
        <v>4078418</v>
      </c>
      <c r="D762" s="6">
        <v>2585</v>
      </c>
      <c r="E762" s="6" t="s">
        <v>106</v>
      </c>
      <c r="F762" s="6">
        <v>52316</v>
      </c>
      <c r="G762" s="6" t="s">
        <v>69</v>
      </c>
      <c r="H762" s="10">
        <v>45834</v>
      </c>
      <c r="I762" s="10">
        <v>45834</v>
      </c>
      <c r="J762" s="4">
        <v>45834.364583333336</v>
      </c>
      <c r="K762" s="4">
        <v>45834.548611111109</v>
      </c>
      <c r="L762" s="11">
        <v>45834.549305555556</v>
      </c>
      <c r="M762" s="10">
        <v>45834</v>
      </c>
      <c r="N762" s="6" t="s">
        <v>134</v>
      </c>
      <c r="O762" t="s">
        <v>248</v>
      </c>
      <c r="P762" s="6" t="s">
        <v>134</v>
      </c>
      <c r="Q762" t="s">
        <v>282</v>
      </c>
      <c r="R762" t="s">
        <v>73</v>
      </c>
      <c r="S762" s="6">
        <v>752322</v>
      </c>
      <c r="T762" s="6" t="s">
        <v>1</v>
      </c>
      <c r="U762">
        <v>162</v>
      </c>
      <c r="V762" s="6">
        <v>50.9</v>
      </c>
      <c r="W762" s="6">
        <v>13.4</v>
      </c>
      <c r="X762" s="6">
        <v>171.2</v>
      </c>
      <c r="Y762" s="6">
        <v>235.5</v>
      </c>
      <c r="Z762" s="6" t="s">
        <v>63</v>
      </c>
      <c r="AA762" t="s">
        <v>417</v>
      </c>
      <c r="AB762" s="6" t="s">
        <v>97</v>
      </c>
      <c r="AC762" t="s">
        <v>137</v>
      </c>
      <c r="AD762" t="s">
        <v>67</v>
      </c>
      <c r="AE762">
        <v>1</v>
      </c>
      <c r="AF762">
        <v>0</v>
      </c>
      <c r="AG762">
        <v>0</v>
      </c>
      <c r="AH762" s="6">
        <v>63</v>
      </c>
      <c r="AI762" s="6">
        <v>0</v>
      </c>
      <c r="AJ762" s="6">
        <v>0.66600000000000004</v>
      </c>
      <c r="AK762" s="6">
        <v>0.81799999999999995</v>
      </c>
      <c r="AL762" s="8">
        <v>62079.93</v>
      </c>
      <c r="AM762" s="6" t="s">
        <v>155</v>
      </c>
      <c r="AN762" s="6">
        <v>1</v>
      </c>
      <c r="AO762" s="6">
        <v>1</v>
      </c>
      <c r="AP762" s="6">
        <v>0</v>
      </c>
      <c r="AQ762" s="6">
        <v>1</v>
      </c>
      <c r="AR762" s="6">
        <v>0</v>
      </c>
      <c r="AS762" s="6">
        <v>1</v>
      </c>
      <c r="AT762" s="6">
        <v>0</v>
      </c>
      <c r="AU762" s="6">
        <v>1.95</v>
      </c>
      <c r="AV762" s="6">
        <v>1.25</v>
      </c>
      <c r="AW762" s="6">
        <v>213.59</v>
      </c>
      <c r="AX762" s="6">
        <v>34.03</v>
      </c>
      <c r="AY762" s="6">
        <v>149.79</v>
      </c>
      <c r="AZ762" s="6">
        <v>11.9</v>
      </c>
      <c r="BA762" s="6">
        <v>25.2</v>
      </c>
    </row>
    <row r="763" spans="1:53" x14ac:dyDescent="0.3">
      <c r="A763" s="6">
        <v>886989426</v>
      </c>
      <c r="B763" s="6">
        <v>246316</v>
      </c>
      <c r="C763" s="6">
        <v>1352896</v>
      </c>
      <c r="D763" s="6">
        <v>5426</v>
      </c>
      <c r="E763" s="6" t="s">
        <v>185</v>
      </c>
      <c r="F763" s="6">
        <v>57358</v>
      </c>
      <c r="G763" s="6" t="s">
        <v>98</v>
      </c>
      <c r="H763" s="10">
        <v>45961</v>
      </c>
      <c r="I763" s="10">
        <v>45961</v>
      </c>
      <c r="J763" s="4">
        <v>45961.21875</v>
      </c>
      <c r="K763" s="4">
        <v>45961.293321759258</v>
      </c>
      <c r="L763" s="11">
        <v>45961.294016203705</v>
      </c>
      <c r="M763" s="10">
        <v>45961</v>
      </c>
      <c r="N763" s="6" t="s">
        <v>134</v>
      </c>
      <c r="O763" t="s">
        <v>172</v>
      </c>
      <c r="P763" s="6" t="s">
        <v>116</v>
      </c>
      <c r="Q763" t="s">
        <v>139</v>
      </c>
      <c r="R763" t="s">
        <v>123</v>
      </c>
      <c r="S763" s="6">
        <v>799317</v>
      </c>
      <c r="T763" s="6" t="s">
        <v>3</v>
      </c>
      <c r="U763">
        <v>84</v>
      </c>
      <c r="V763" s="6">
        <v>23.3</v>
      </c>
      <c r="W763" s="6">
        <v>1.7</v>
      </c>
      <c r="X763" s="6">
        <v>78.5</v>
      </c>
      <c r="Y763" s="6">
        <v>103.5</v>
      </c>
      <c r="Z763" s="6" t="s">
        <v>63</v>
      </c>
      <c r="AA763" t="s">
        <v>778</v>
      </c>
      <c r="AB763" s="6" t="s">
        <v>82</v>
      </c>
      <c r="AC763" t="s">
        <v>154</v>
      </c>
      <c r="AD763" t="s">
        <v>67</v>
      </c>
      <c r="AE763">
        <v>1</v>
      </c>
      <c r="AF763">
        <v>0</v>
      </c>
      <c r="AG763">
        <v>0</v>
      </c>
      <c r="AH763" s="6">
        <v>85.1</v>
      </c>
      <c r="AI763" s="6">
        <v>0</v>
      </c>
      <c r="AJ763" s="6">
        <v>0.54900000000000004</v>
      </c>
      <c r="AK763" s="6">
        <v>0.78900000000000003</v>
      </c>
      <c r="AL763" s="8">
        <v>4999.45</v>
      </c>
      <c r="AM763" s="6" t="s">
        <v>68</v>
      </c>
      <c r="AN763" s="6">
        <v>1</v>
      </c>
      <c r="AO763" s="6">
        <v>1</v>
      </c>
      <c r="AP763" s="6">
        <v>0</v>
      </c>
      <c r="AQ763" s="6">
        <v>1</v>
      </c>
      <c r="AR763" s="6">
        <v>0</v>
      </c>
      <c r="AS763" s="6">
        <v>1</v>
      </c>
      <c r="AT763" s="6">
        <v>0</v>
      </c>
      <c r="AU763" s="6">
        <v>2.27</v>
      </c>
      <c r="AV763" s="6">
        <v>1.4</v>
      </c>
      <c r="AW763" s="6">
        <v>67.91</v>
      </c>
      <c r="AX763" s="6">
        <v>12.17</v>
      </c>
      <c r="AY763" s="6">
        <v>54.63</v>
      </c>
      <c r="AZ763" s="6">
        <v>28.1</v>
      </c>
      <c r="BA763" s="6">
        <v>1.6</v>
      </c>
    </row>
    <row r="764" spans="1:53" x14ac:dyDescent="0.3">
      <c r="A764" s="6">
        <v>805560474</v>
      </c>
      <c r="B764" s="6">
        <v>555884</v>
      </c>
      <c r="C764" s="6">
        <v>7907400</v>
      </c>
      <c r="D764" s="6">
        <v>7287</v>
      </c>
      <c r="E764" s="6" t="s">
        <v>126</v>
      </c>
      <c r="F764" s="6">
        <v>53932</v>
      </c>
      <c r="G764" s="6" t="s">
        <v>146</v>
      </c>
      <c r="H764" s="10">
        <v>45985</v>
      </c>
      <c r="I764" s="10">
        <v>45985</v>
      </c>
      <c r="J764" s="4">
        <v>45985.493055555555</v>
      </c>
      <c r="K764" s="4">
        <v>45986.140648148146</v>
      </c>
      <c r="L764" s="11">
        <v>45986.160787037035</v>
      </c>
      <c r="M764" s="10">
        <v>45986</v>
      </c>
      <c r="N764" s="6" t="s">
        <v>93</v>
      </c>
      <c r="O764" t="s">
        <v>144</v>
      </c>
      <c r="P764" s="6" t="s">
        <v>129</v>
      </c>
      <c r="Q764" t="s">
        <v>156</v>
      </c>
      <c r="R764" t="s">
        <v>123</v>
      </c>
      <c r="S764" s="6">
        <v>798350</v>
      </c>
      <c r="T764" s="6" t="s">
        <v>140</v>
      </c>
      <c r="U764">
        <v>704</v>
      </c>
      <c r="V764" s="6">
        <v>26.5</v>
      </c>
      <c r="W764" s="6">
        <v>10.1</v>
      </c>
      <c r="X764" s="6">
        <v>704.7</v>
      </c>
      <c r="Y764" s="6">
        <v>741.3</v>
      </c>
      <c r="Z764" s="6" t="s">
        <v>63</v>
      </c>
      <c r="AA764" t="s">
        <v>779</v>
      </c>
      <c r="AB764" s="6" t="s">
        <v>75</v>
      </c>
      <c r="AC764" t="s">
        <v>83</v>
      </c>
      <c r="AD764" t="s">
        <v>67</v>
      </c>
      <c r="AE764">
        <v>29</v>
      </c>
      <c r="AF764">
        <v>0</v>
      </c>
      <c r="AG764">
        <v>0</v>
      </c>
      <c r="AH764" s="6">
        <v>61.7</v>
      </c>
      <c r="AI764" s="6">
        <v>0</v>
      </c>
      <c r="AJ764" s="6">
        <v>0.69699999999999995</v>
      </c>
      <c r="AK764" s="6">
        <v>0.71899999999999997</v>
      </c>
      <c r="AL764" s="8">
        <v>15659.04</v>
      </c>
      <c r="AM764" s="6" t="s">
        <v>114</v>
      </c>
      <c r="AN764" s="6">
        <v>1</v>
      </c>
      <c r="AO764" s="6">
        <v>0</v>
      </c>
      <c r="AP764" s="6">
        <v>1</v>
      </c>
      <c r="AQ764" s="6">
        <v>0</v>
      </c>
      <c r="AR764" s="6">
        <v>1</v>
      </c>
      <c r="AS764" s="6">
        <v>0</v>
      </c>
      <c r="AT764" s="6">
        <v>1</v>
      </c>
      <c r="AU764" s="6">
        <v>2.29</v>
      </c>
      <c r="AW764" s="6">
        <v>483.14</v>
      </c>
      <c r="AX764" s="6">
        <v>98.88</v>
      </c>
      <c r="AY764" s="6">
        <v>408.72</v>
      </c>
      <c r="AZ764" s="6">
        <v>19.5</v>
      </c>
      <c r="BA764" s="6">
        <v>77.7</v>
      </c>
    </row>
    <row r="765" spans="1:53" x14ac:dyDescent="0.3">
      <c r="A765" s="6">
        <v>774585778</v>
      </c>
      <c r="B765" s="6">
        <v>814825</v>
      </c>
      <c r="C765" s="6">
        <v>7817881</v>
      </c>
      <c r="D765" s="6">
        <v>9958</v>
      </c>
      <c r="E765" s="6" t="s">
        <v>84</v>
      </c>
      <c r="F765" s="6">
        <v>56204</v>
      </c>
      <c r="G765" s="6" t="s">
        <v>77</v>
      </c>
      <c r="H765" s="10">
        <v>45809</v>
      </c>
      <c r="I765" s="10">
        <v>45809</v>
      </c>
      <c r="J765" s="4">
        <v>45809.770833333336</v>
      </c>
      <c r="K765" s="4">
        <v>45810.266493055555</v>
      </c>
      <c r="L765" s="11">
        <v>45810.257465277777</v>
      </c>
      <c r="M765" s="10">
        <v>45810</v>
      </c>
      <c r="N765" s="6" t="s">
        <v>129</v>
      </c>
      <c r="O765" t="s">
        <v>130</v>
      </c>
      <c r="P765" s="6" t="s">
        <v>134</v>
      </c>
      <c r="Q765" t="s">
        <v>278</v>
      </c>
      <c r="R765" t="s">
        <v>73</v>
      </c>
      <c r="S765" s="6">
        <v>770769</v>
      </c>
      <c r="T765" s="6" t="s">
        <v>111</v>
      </c>
      <c r="U765">
        <v>445</v>
      </c>
      <c r="V765" s="6">
        <v>4.5999999999999996</v>
      </c>
      <c r="W765" s="6">
        <v>7.7</v>
      </c>
      <c r="X765" s="6">
        <v>438.4</v>
      </c>
      <c r="Y765" s="6">
        <v>450.7</v>
      </c>
      <c r="Z765" s="6" t="s">
        <v>63</v>
      </c>
      <c r="AA765" t="s">
        <v>780</v>
      </c>
      <c r="AB765" s="6" t="s">
        <v>65</v>
      </c>
      <c r="AC765" t="s">
        <v>91</v>
      </c>
      <c r="AD765" t="s">
        <v>67</v>
      </c>
      <c r="AE765">
        <v>-13</v>
      </c>
      <c r="AF765">
        <v>0</v>
      </c>
      <c r="AG765">
        <v>0</v>
      </c>
      <c r="AH765" s="6">
        <v>82</v>
      </c>
      <c r="AI765" s="6">
        <v>0</v>
      </c>
      <c r="AJ765" s="6">
        <v>0.50800000000000001</v>
      </c>
      <c r="AK765" s="6">
        <v>0.58699999999999997</v>
      </c>
      <c r="AL765" s="8">
        <v>5970.7</v>
      </c>
      <c r="AM765" s="6" t="s">
        <v>68</v>
      </c>
      <c r="AN765" s="6">
        <v>1</v>
      </c>
      <c r="AO765" s="6">
        <v>1</v>
      </c>
      <c r="AP765" s="6">
        <v>0</v>
      </c>
      <c r="AQ765" s="6">
        <v>1</v>
      </c>
      <c r="AR765" s="6">
        <v>0</v>
      </c>
      <c r="AS765" s="6">
        <v>1</v>
      </c>
      <c r="AT765" s="6">
        <v>0</v>
      </c>
      <c r="AU765" s="6">
        <v>2.2799999999999998</v>
      </c>
      <c r="AV765" s="6">
        <v>1.36</v>
      </c>
      <c r="AW765" s="6">
        <v>306.52999999999997</v>
      </c>
      <c r="AX765" s="6">
        <v>79.989999999999995</v>
      </c>
      <c r="AY765" s="6">
        <v>268.72000000000003</v>
      </c>
      <c r="AZ765" s="6">
        <v>11.6</v>
      </c>
      <c r="BA765" s="6">
        <v>23.5</v>
      </c>
    </row>
    <row r="766" spans="1:53" x14ac:dyDescent="0.3">
      <c r="A766" s="6">
        <v>211308231</v>
      </c>
      <c r="B766" s="6">
        <v>331148</v>
      </c>
      <c r="C766" s="6">
        <v>8231838</v>
      </c>
      <c r="D766" s="6">
        <v>8734</v>
      </c>
      <c r="E766" s="6" t="s">
        <v>84</v>
      </c>
      <c r="F766" s="6">
        <v>51287</v>
      </c>
      <c r="G766" s="6" t="s">
        <v>69</v>
      </c>
      <c r="H766" s="10">
        <v>45664</v>
      </c>
      <c r="I766" s="10">
        <v>45664</v>
      </c>
      <c r="J766" s="4">
        <v>45664.739583333336</v>
      </c>
      <c r="K766" s="4">
        <v>45664.917604166665</v>
      </c>
      <c r="L766" s="11">
        <v>45664.897465277776</v>
      </c>
      <c r="M766" s="10">
        <v>45664</v>
      </c>
      <c r="N766" s="6" t="s">
        <v>116</v>
      </c>
      <c r="O766" t="s">
        <v>117</v>
      </c>
      <c r="P766" s="6" t="s">
        <v>170</v>
      </c>
      <c r="Q766" t="s">
        <v>183</v>
      </c>
      <c r="R766" t="s">
        <v>62</v>
      </c>
      <c r="S766" s="6">
        <v>712499</v>
      </c>
      <c r="T766" s="6" t="s">
        <v>1</v>
      </c>
      <c r="U766">
        <v>207</v>
      </c>
      <c r="V766" s="6">
        <v>10.199999999999999</v>
      </c>
      <c r="W766" s="6">
        <v>19.8</v>
      </c>
      <c r="X766" s="6">
        <v>203.2</v>
      </c>
      <c r="Y766" s="6">
        <v>233.2</v>
      </c>
      <c r="Z766" s="6" t="s">
        <v>63</v>
      </c>
      <c r="AA766" t="s">
        <v>291</v>
      </c>
      <c r="AB766" s="6" t="s">
        <v>90</v>
      </c>
      <c r="AC766" t="s">
        <v>66</v>
      </c>
      <c r="AD766" t="s">
        <v>67</v>
      </c>
      <c r="AE766">
        <v>-29</v>
      </c>
      <c r="AF766">
        <v>0</v>
      </c>
      <c r="AG766">
        <v>0</v>
      </c>
      <c r="AH766" s="6">
        <v>47.4</v>
      </c>
      <c r="AI766" s="6">
        <v>0</v>
      </c>
      <c r="AJ766" s="6">
        <v>0.94099999999999995</v>
      </c>
      <c r="AK766" s="6">
        <v>0.66</v>
      </c>
      <c r="AL766" s="8">
        <v>1160.17</v>
      </c>
      <c r="AM766" s="6" t="s">
        <v>68</v>
      </c>
      <c r="AN766" s="6">
        <v>1</v>
      </c>
      <c r="AO766" s="6">
        <v>1</v>
      </c>
      <c r="AP766" s="6">
        <v>0</v>
      </c>
      <c r="AQ766" s="6">
        <v>1</v>
      </c>
      <c r="AR766" s="6">
        <v>0</v>
      </c>
      <c r="AS766" s="6">
        <v>1</v>
      </c>
      <c r="AT766" s="6">
        <v>0</v>
      </c>
      <c r="AU766" s="6">
        <v>2.13</v>
      </c>
      <c r="AV766" s="6">
        <v>1.45</v>
      </c>
      <c r="AW766" s="6">
        <v>213.28</v>
      </c>
      <c r="AX766" s="6">
        <v>27.04</v>
      </c>
      <c r="AY766" s="6">
        <v>159.86000000000001</v>
      </c>
      <c r="AZ766" s="6">
        <v>5.8</v>
      </c>
      <c r="BA766" s="6">
        <v>18.3</v>
      </c>
    </row>
    <row r="767" spans="1:53" x14ac:dyDescent="0.3">
      <c r="A767" s="6">
        <v>928393291</v>
      </c>
      <c r="B767" s="6">
        <v>439902</v>
      </c>
      <c r="C767" s="6">
        <v>2935113</v>
      </c>
      <c r="D767" s="6">
        <v>9815</v>
      </c>
      <c r="E767" s="6" t="s">
        <v>142</v>
      </c>
      <c r="F767" s="6">
        <v>51118</v>
      </c>
      <c r="G767" s="6" t="s">
        <v>203</v>
      </c>
      <c r="H767" s="10">
        <v>45972</v>
      </c>
      <c r="I767" s="10">
        <v>45972</v>
      </c>
      <c r="J767" s="4">
        <v>45972.34375</v>
      </c>
      <c r="K767" s="4">
        <v>45972.560891203706</v>
      </c>
      <c r="L767" s="11">
        <v>45972.548391203702</v>
      </c>
      <c r="M767" s="10">
        <v>45972</v>
      </c>
      <c r="N767" s="6" t="s">
        <v>103</v>
      </c>
      <c r="O767" t="s">
        <v>285</v>
      </c>
      <c r="P767" s="6" t="s">
        <v>116</v>
      </c>
      <c r="Q767" t="s">
        <v>212</v>
      </c>
      <c r="R767" t="s">
        <v>123</v>
      </c>
      <c r="S767" s="6">
        <v>706957</v>
      </c>
      <c r="T767" s="6" t="s">
        <v>1</v>
      </c>
      <c r="U767">
        <v>318</v>
      </c>
      <c r="V767" s="6">
        <v>48.7</v>
      </c>
      <c r="W767" s="6">
        <v>25.6</v>
      </c>
      <c r="X767" s="6">
        <v>315.60000000000002</v>
      </c>
      <c r="Y767" s="6">
        <v>389.9</v>
      </c>
      <c r="Z767" s="6" t="s">
        <v>63</v>
      </c>
      <c r="AA767" t="s">
        <v>374</v>
      </c>
      <c r="AB767" s="6" t="s">
        <v>97</v>
      </c>
      <c r="AC767" t="s">
        <v>66</v>
      </c>
      <c r="AD767" t="s">
        <v>67</v>
      </c>
      <c r="AE767">
        <v>-18</v>
      </c>
      <c r="AF767">
        <v>0</v>
      </c>
      <c r="AG767">
        <v>0</v>
      </c>
      <c r="AH767" s="6">
        <v>37.4</v>
      </c>
      <c r="AI767" s="6">
        <v>0</v>
      </c>
      <c r="AJ767" s="6">
        <v>0.85299999999999998</v>
      </c>
      <c r="AK767" s="6">
        <v>0.497</v>
      </c>
      <c r="AL767" s="8">
        <v>2070.42</v>
      </c>
      <c r="AM767" s="6" t="s">
        <v>68</v>
      </c>
      <c r="AN767" s="6">
        <v>1</v>
      </c>
      <c r="AO767" s="6">
        <v>1</v>
      </c>
      <c r="AP767" s="6">
        <v>0</v>
      </c>
      <c r="AQ767" s="6">
        <v>1</v>
      </c>
      <c r="AR767" s="6">
        <v>0</v>
      </c>
      <c r="AS767" s="6">
        <v>1</v>
      </c>
      <c r="AT767" s="6">
        <v>0</v>
      </c>
      <c r="AU767" s="6">
        <v>2.23</v>
      </c>
      <c r="AV767" s="6">
        <v>1.72</v>
      </c>
      <c r="AW767" s="6">
        <v>290.45999999999998</v>
      </c>
      <c r="AX767" s="6">
        <v>43.27</v>
      </c>
      <c r="AY767" s="6">
        <v>196.69</v>
      </c>
      <c r="AZ767" s="6">
        <v>45.7</v>
      </c>
      <c r="BA767" s="6">
        <v>40.200000000000003</v>
      </c>
    </row>
    <row r="768" spans="1:53" x14ac:dyDescent="0.3">
      <c r="A768" s="6">
        <v>724813934</v>
      </c>
      <c r="B768" s="6">
        <v>391369</v>
      </c>
      <c r="C768" s="6">
        <v>4214348</v>
      </c>
      <c r="D768" s="6">
        <v>7235</v>
      </c>
      <c r="E768" s="6" t="s">
        <v>142</v>
      </c>
      <c r="F768" s="6">
        <v>58744</v>
      </c>
      <c r="G768" s="6" t="s">
        <v>207</v>
      </c>
      <c r="H768" s="10">
        <v>45721</v>
      </c>
      <c r="I768" s="10">
        <v>45721</v>
      </c>
      <c r="J768" s="4">
        <v>45721.795138888891</v>
      </c>
      <c r="K768" s="4">
        <v>45721.976111111115</v>
      </c>
      <c r="L768" s="11">
        <v>45721.960833333331</v>
      </c>
      <c r="M768" s="10">
        <v>45721</v>
      </c>
      <c r="N768" s="6" t="s">
        <v>129</v>
      </c>
      <c r="O768" t="s">
        <v>157</v>
      </c>
      <c r="P768" s="6" t="s">
        <v>134</v>
      </c>
      <c r="Q768" t="s">
        <v>278</v>
      </c>
      <c r="R768" t="s">
        <v>73</v>
      </c>
      <c r="S768" s="6">
        <v>770769</v>
      </c>
      <c r="T768" s="6" t="s">
        <v>1</v>
      </c>
      <c r="U768">
        <v>261</v>
      </c>
      <c r="V768" s="6">
        <v>22.1</v>
      </c>
      <c r="W768" s="6">
        <v>18</v>
      </c>
      <c r="X768" s="6">
        <v>272.8</v>
      </c>
      <c r="Y768" s="6">
        <v>312.89999999999998</v>
      </c>
      <c r="Z768" s="6" t="s">
        <v>215</v>
      </c>
      <c r="AA768" t="s">
        <v>781</v>
      </c>
      <c r="AB768" s="6" t="s">
        <v>65</v>
      </c>
      <c r="AC768" t="s">
        <v>125</v>
      </c>
      <c r="AD768" t="s">
        <v>67</v>
      </c>
      <c r="AE768">
        <v>-22</v>
      </c>
      <c r="AF768">
        <v>0</v>
      </c>
      <c r="AG768">
        <v>1.1000000000000001</v>
      </c>
      <c r="AH768" s="6">
        <v>47</v>
      </c>
      <c r="AI768" s="6">
        <v>0</v>
      </c>
      <c r="AJ768" s="6">
        <v>0.52500000000000002</v>
      </c>
      <c r="AK768" s="6">
        <v>0.85299999999999998</v>
      </c>
      <c r="AL768" s="8">
        <v>41514.28</v>
      </c>
      <c r="AM768" s="6" t="s">
        <v>155</v>
      </c>
      <c r="AN768" s="6">
        <v>1</v>
      </c>
      <c r="AO768" s="6">
        <v>1</v>
      </c>
      <c r="AP768" s="6">
        <v>0</v>
      </c>
      <c r="AQ768" s="6">
        <v>1</v>
      </c>
      <c r="AR768" s="6">
        <v>0</v>
      </c>
      <c r="AS768" s="6">
        <v>1</v>
      </c>
      <c r="AT768" s="6">
        <v>0</v>
      </c>
      <c r="AU768" s="6">
        <v>2.67</v>
      </c>
      <c r="AV768" s="6">
        <v>1.73</v>
      </c>
      <c r="AW768" s="6">
        <v>280.74</v>
      </c>
      <c r="AX768" s="6">
        <v>48.47</v>
      </c>
      <c r="AY768" s="6">
        <v>208.79</v>
      </c>
      <c r="AZ768" s="6">
        <v>45.2</v>
      </c>
      <c r="BA768" s="6">
        <v>5</v>
      </c>
    </row>
    <row r="769" spans="1:53" x14ac:dyDescent="0.3">
      <c r="A769" s="6">
        <v>889401015</v>
      </c>
      <c r="B769" s="6">
        <v>705397</v>
      </c>
      <c r="C769" s="6">
        <v>5449368</v>
      </c>
      <c r="D769" s="6">
        <v>5859</v>
      </c>
      <c r="E769" s="6" t="s">
        <v>84</v>
      </c>
      <c r="F769" s="6">
        <v>57637</v>
      </c>
      <c r="G769" s="6" t="s">
        <v>164</v>
      </c>
      <c r="H769" s="10">
        <v>45884</v>
      </c>
      <c r="I769" s="10">
        <v>45884</v>
      </c>
      <c r="J769" s="4">
        <v>45884.746527777781</v>
      </c>
      <c r="K769" s="4">
        <v>45885.00408564815</v>
      </c>
      <c r="L769" s="11">
        <v>45884.981863425928</v>
      </c>
      <c r="M769" s="10">
        <v>45884</v>
      </c>
      <c r="N769" s="6" t="s">
        <v>129</v>
      </c>
      <c r="O769" t="s">
        <v>241</v>
      </c>
      <c r="P769" s="6" t="s">
        <v>129</v>
      </c>
      <c r="Q769" t="s">
        <v>156</v>
      </c>
      <c r="R769" t="s">
        <v>123</v>
      </c>
      <c r="S769" s="6">
        <v>739365</v>
      </c>
      <c r="T769" s="6" t="s">
        <v>1</v>
      </c>
      <c r="U769">
        <v>309</v>
      </c>
      <c r="V769" s="6">
        <v>12.8</v>
      </c>
      <c r="W769" s="6">
        <v>23.8</v>
      </c>
      <c r="X769" s="6">
        <v>311.2</v>
      </c>
      <c r="Y769" s="6">
        <v>347.8</v>
      </c>
      <c r="Z769" s="6" t="s">
        <v>2</v>
      </c>
      <c r="AA769" t="s">
        <v>471</v>
      </c>
      <c r="AB769" s="6" t="s">
        <v>90</v>
      </c>
      <c r="AC769" t="s">
        <v>154</v>
      </c>
      <c r="AD769" t="s">
        <v>67</v>
      </c>
      <c r="AE769">
        <v>-32</v>
      </c>
      <c r="AF769">
        <v>0</v>
      </c>
      <c r="AG769">
        <v>0</v>
      </c>
      <c r="AH769" s="6">
        <v>56.3</v>
      </c>
      <c r="AI769" s="6">
        <v>0</v>
      </c>
      <c r="AJ769" s="6">
        <v>0.47199999999999998</v>
      </c>
      <c r="AK769" s="6">
        <v>0.81299999999999994</v>
      </c>
      <c r="AL769" s="8">
        <v>22466.03</v>
      </c>
      <c r="AM769" s="6" t="s">
        <v>114</v>
      </c>
      <c r="AN769" s="6">
        <v>1</v>
      </c>
      <c r="AO769" s="6">
        <v>1</v>
      </c>
      <c r="AP769" s="6">
        <v>0</v>
      </c>
      <c r="AQ769" s="6">
        <v>1</v>
      </c>
      <c r="AR769" s="6">
        <v>0</v>
      </c>
      <c r="AS769" s="6">
        <v>1</v>
      </c>
      <c r="AT769" s="6">
        <v>0</v>
      </c>
      <c r="AU769" s="6">
        <v>2.19</v>
      </c>
      <c r="AV769" s="6">
        <v>1.39</v>
      </c>
      <c r="AW769" s="6">
        <v>236.71</v>
      </c>
      <c r="AX769" s="6">
        <v>38.270000000000003</v>
      </c>
      <c r="AY769" s="6">
        <v>215.3</v>
      </c>
      <c r="AZ769" s="6">
        <v>11.4</v>
      </c>
      <c r="BA769" s="6">
        <v>35.6</v>
      </c>
    </row>
    <row r="770" spans="1:53" x14ac:dyDescent="0.3">
      <c r="A770" s="6">
        <v>912477810</v>
      </c>
      <c r="B770" s="6">
        <v>145561</v>
      </c>
      <c r="C770" s="6">
        <v>2564689</v>
      </c>
      <c r="D770" s="6">
        <v>1161</v>
      </c>
      <c r="E770" s="6" t="s">
        <v>101</v>
      </c>
      <c r="F770" s="6">
        <v>50660</v>
      </c>
      <c r="G770" s="6" t="s">
        <v>203</v>
      </c>
      <c r="H770" s="10">
        <v>45667</v>
      </c>
      <c r="I770" s="10">
        <v>45667</v>
      </c>
      <c r="J770" s="4">
        <v>45667.013888888891</v>
      </c>
      <c r="K770" s="4">
        <v>45667.108807870369</v>
      </c>
      <c r="L770" s="11">
        <v>45667.101168981484</v>
      </c>
      <c r="M770" s="10">
        <v>45667</v>
      </c>
      <c r="N770" s="6" t="s">
        <v>134</v>
      </c>
      <c r="O770" t="s">
        <v>278</v>
      </c>
      <c r="P770" s="6" t="s">
        <v>59</v>
      </c>
      <c r="Q770" t="s">
        <v>99</v>
      </c>
      <c r="R770" t="s">
        <v>62</v>
      </c>
      <c r="S770" s="6">
        <v>786898</v>
      </c>
      <c r="T770" s="6" t="s">
        <v>3</v>
      </c>
      <c r="U770">
        <v>95</v>
      </c>
      <c r="V770" s="6">
        <v>22.8</v>
      </c>
      <c r="W770" s="6">
        <v>17.7</v>
      </c>
      <c r="X770" s="6">
        <v>94.2</v>
      </c>
      <c r="Y770" s="6">
        <v>134.69999999999999</v>
      </c>
      <c r="Z770" s="6" t="s">
        <v>63</v>
      </c>
      <c r="AA770" t="s">
        <v>782</v>
      </c>
      <c r="AB770" s="6" t="s">
        <v>82</v>
      </c>
      <c r="AC770" t="s">
        <v>154</v>
      </c>
      <c r="AD770" t="s">
        <v>67</v>
      </c>
      <c r="AE770">
        <v>-11</v>
      </c>
      <c r="AF770">
        <v>0</v>
      </c>
      <c r="AG770">
        <v>0</v>
      </c>
      <c r="AH770" s="6">
        <v>57.3</v>
      </c>
      <c r="AI770" s="6">
        <v>0</v>
      </c>
      <c r="AJ770" s="6">
        <v>0.86099999999999999</v>
      </c>
      <c r="AK770" s="6">
        <v>0.71299999999999997</v>
      </c>
      <c r="AL770" s="8">
        <v>19908.2</v>
      </c>
      <c r="AM770" s="6" t="s">
        <v>114</v>
      </c>
      <c r="AN770" s="6">
        <v>1</v>
      </c>
      <c r="AO770" s="6">
        <v>1</v>
      </c>
      <c r="AP770" s="6">
        <v>0</v>
      </c>
      <c r="AQ770" s="6">
        <v>1</v>
      </c>
      <c r="AR770" s="6">
        <v>0</v>
      </c>
      <c r="AS770" s="6">
        <v>1</v>
      </c>
      <c r="AT770" s="6">
        <v>0</v>
      </c>
      <c r="AU770" s="6">
        <v>2.09</v>
      </c>
      <c r="AV770" s="6">
        <v>1.6</v>
      </c>
      <c r="AW770" s="6">
        <v>117.71</v>
      </c>
      <c r="AX770" s="6">
        <v>19.82</v>
      </c>
      <c r="AY770" s="6">
        <v>80.81</v>
      </c>
      <c r="AZ770" s="6">
        <v>5.6</v>
      </c>
      <c r="BA770" s="6">
        <v>0</v>
      </c>
    </row>
    <row r="771" spans="1:53" x14ac:dyDescent="0.3">
      <c r="A771" s="6">
        <v>457039137</v>
      </c>
      <c r="B771" s="6">
        <v>974628</v>
      </c>
      <c r="C771" s="6">
        <v>3641282</v>
      </c>
      <c r="D771" s="6">
        <v>6892</v>
      </c>
      <c r="E771" s="6" t="s">
        <v>57</v>
      </c>
      <c r="F771" s="6">
        <v>58907</v>
      </c>
      <c r="G771" s="6" t="s">
        <v>102</v>
      </c>
      <c r="H771" s="10">
        <v>45803</v>
      </c>
      <c r="I771" s="10">
        <v>45803</v>
      </c>
      <c r="J771" s="4">
        <v>45803.729166666664</v>
      </c>
      <c r="K771" s="4">
        <v>45804.043668981481</v>
      </c>
      <c r="L771" s="11">
        <v>45804.164502314816</v>
      </c>
      <c r="M771" s="10">
        <v>45804</v>
      </c>
      <c r="N771" s="6" t="s">
        <v>132</v>
      </c>
      <c r="O771" t="s">
        <v>133</v>
      </c>
      <c r="P771" s="6" t="s">
        <v>134</v>
      </c>
      <c r="Q771" t="s">
        <v>172</v>
      </c>
      <c r="R771" t="s">
        <v>73</v>
      </c>
      <c r="S771" s="6">
        <v>702136</v>
      </c>
      <c r="T771" s="6" t="s">
        <v>1</v>
      </c>
      <c r="U771">
        <v>299</v>
      </c>
      <c r="V771" s="6">
        <v>12.3</v>
      </c>
      <c r="W771" s="6">
        <v>31.6</v>
      </c>
      <c r="X771" s="6">
        <v>305.5</v>
      </c>
      <c r="Y771" s="6">
        <v>349.4</v>
      </c>
      <c r="Z771" s="6" t="s">
        <v>63</v>
      </c>
      <c r="AA771" t="s">
        <v>783</v>
      </c>
      <c r="AB771" s="6" t="s">
        <v>90</v>
      </c>
      <c r="AC771" t="s">
        <v>83</v>
      </c>
      <c r="AD771" t="s">
        <v>206</v>
      </c>
      <c r="AE771">
        <v>174</v>
      </c>
      <c r="AF771">
        <v>233</v>
      </c>
      <c r="AG771">
        <v>0</v>
      </c>
      <c r="AH771" s="6">
        <v>52.9</v>
      </c>
      <c r="AI771" s="6">
        <v>0</v>
      </c>
      <c r="AJ771" s="6">
        <v>0.53800000000000003</v>
      </c>
      <c r="AK771" s="6">
        <v>0.2</v>
      </c>
      <c r="AL771" s="8">
        <v>1492.24</v>
      </c>
      <c r="AM771" s="6" t="s">
        <v>68</v>
      </c>
      <c r="AN771" s="6">
        <v>1</v>
      </c>
      <c r="AO771" s="6">
        <v>0</v>
      </c>
      <c r="AP771" s="6">
        <v>1</v>
      </c>
      <c r="AQ771" s="6">
        <v>0</v>
      </c>
      <c r="AR771" s="6">
        <v>1</v>
      </c>
      <c r="AS771" s="6">
        <v>0</v>
      </c>
      <c r="AT771" s="6">
        <v>1</v>
      </c>
      <c r="AU771" s="6">
        <v>2.1800000000000002</v>
      </c>
      <c r="AV771" s="6">
        <v>1.41</v>
      </c>
      <c r="AW771" s="6">
        <v>249.12</v>
      </c>
      <c r="AX771" s="6">
        <v>48.47</v>
      </c>
      <c r="AY771" s="6">
        <v>241.22</v>
      </c>
      <c r="AZ771" s="6">
        <v>1.4</v>
      </c>
      <c r="BA771" s="6">
        <v>6.3</v>
      </c>
    </row>
    <row r="772" spans="1:53" x14ac:dyDescent="0.3">
      <c r="A772" s="6">
        <v>243247463</v>
      </c>
      <c r="B772" s="6">
        <v>581741</v>
      </c>
      <c r="C772" s="6">
        <v>3790237</v>
      </c>
      <c r="D772" s="6">
        <v>1995</v>
      </c>
      <c r="E772" s="6" t="s">
        <v>126</v>
      </c>
      <c r="F772" s="6">
        <v>56922</v>
      </c>
      <c r="G772" s="6" t="s">
        <v>207</v>
      </c>
      <c r="H772" s="10">
        <v>46017</v>
      </c>
      <c r="I772" s="10">
        <v>46017</v>
      </c>
      <c r="J772" s="4">
        <v>46017.385416666664</v>
      </c>
      <c r="K772" s="4">
        <v>46017.744872685187</v>
      </c>
      <c r="L772" s="11">
        <v>46017.730983796297</v>
      </c>
      <c r="M772" s="10">
        <v>46017</v>
      </c>
      <c r="N772" s="6" t="s">
        <v>176</v>
      </c>
      <c r="O772" t="s">
        <v>292</v>
      </c>
      <c r="P772" s="6" t="s">
        <v>78</v>
      </c>
      <c r="Q772" t="s">
        <v>79</v>
      </c>
      <c r="R772" t="s">
        <v>88</v>
      </c>
      <c r="S772" s="6">
        <v>786520</v>
      </c>
      <c r="T772" s="6" t="s">
        <v>111</v>
      </c>
      <c r="U772">
        <v>477</v>
      </c>
      <c r="V772" s="6">
        <v>6.4</v>
      </c>
      <c r="W772" s="6">
        <v>43</v>
      </c>
      <c r="X772" s="6">
        <v>481</v>
      </c>
      <c r="Y772" s="6">
        <v>530.4</v>
      </c>
      <c r="Z772" s="6" t="s">
        <v>2</v>
      </c>
      <c r="AA772" t="s">
        <v>784</v>
      </c>
      <c r="AB772" s="6" t="s">
        <v>97</v>
      </c>
      <c r="AC772" t="s">
        <v>154</v>
      </c>
      <c r="AD772" t="s">
        <v>67</v>
      </c>
      <c r="AE772">
        <v>-20</v>
      </c>
      <c r="AF772">
        <v>0</v>
      </c>
      <c r="AG772">
        <v>0</v>
      </c>
      <c r="AH772" s="6">
        <v>51.6</v>
      </c>
      <c r="AI772" s="6">
        <v>0</v>
      </c>
      <c r="AJ772" s="6">
        <v>0.65200000000000002</v>
      </c>
      <c r="AK772" s="6">
        <v>0.748</v>
      </c>
      <c r="AL772" s="8">
        <v>13486.73</v>
      </c>
      <c r="AM772" s="6" t="s">
        <v>114</v>
      </c>
      <c r="AN772" s="6">
        <v>1</v>
      </c>
      <c r="AO772" s="6">
        <v>1</v>
      </c>
      <c r="AP772" s="6">
        <v>0</v>
      </c>
      <c r="AQ772" s="6">
        <v>1</v>
      </c>
      <c r="AR772" s="6">
        <v>0</v>
      </c>
      <c r="AS772" s="6">
        <v>1</v>
      </c>
      <c r="AT772" s="6">
        <v>0</v>
      </c>
      <c r="AU772" s="6">
        <v>2.27</v>
      </c>
      <c r="AV772" s="6">
        <v>1.55</v>
      </c>
      <c r="AW772" s="6">
        <v>445.71</v>
      </c>
      <c r="AX772" s="6">
        <v>77.959999999999994</v>
      </c>
      <c r="AY772" s="6">
        <v>269.63</v>
      </c>
      <c r="AZ772" s="6">
        <v>17.5</v>
      </c>
      <c r="BA772" s="6">
        <v>34.9</v>
      </c>
    </row>
    <row r="773" spans="1:53" x14ac:dyDescent="0.3">
      <c r="A773" s="6">
        <v>147605080</v>
      </c>
      <c r="B773" s="6">
        <v>905635</v>
      </c>
      <c r="C773" s="6">
        <v>2677407</v>
      </c>
      <c r="D773" s="6">
        <v>3790</v>
      </c>
      <c r="E773" s="6" t="s">
        <v>106</v>
      </c>
      <c r="F773" s="6">
        <v>58104</v>
      </c>
      <c r="G773" s="6" t="s">
        <v>127</v>
      </c>
      <c r="H773" s="10">
        <v>45694</v>
      </c>
      <c r="I773" s="10">
        <v>45694</v>
      </c>
      <c r="J773" s="4">
        <v>45694.263888888891</v>
      </c>
      <c r="K773" s="4">
        <v>45694.471967592595</v>
      </c>
      <c r="L773" s="11">
        <v>45694.455300925925</v>
      </c>
      <c r="M773" s="10">
        <v>45694</v>
      </c>
      <c r="N773" s="6" t="s">
        <v>70</v>
      </c>
      <c r="O773" t="s">
        <v>72</v>
      </c>
      <c r="P773" s="6" t="s">
        <v>86</v>
      </c>
      <c r="Q773" t="s">
        <v>108</v>
      </c>
      <c r="R773" t="s">
        <v>88</v>
      </c>
      <c r="S773" s="6">
        <v>760943</v>
      </c>
      <c r="T773" s="6" t="s">
        <v>1</v>
      </c>
      <c r="U773">
        <v>203</v>
      </c>
      <c r="V773" s="6">
        <v>16.5</v>
      </c>
      <c r="W773" s="6">
        <v>19</v>
      </c>
      <c r="X773" s="6">
        <v>202.7</v>
      </c>
      <c r="Y773" s="6">
        <v>238.2</v>
      </c>
      <c r="Z773" s="6" t="s">
        <v>63</v>
      </c>
      <c r="AA773" t="s">
        <v>549</v>
      </c>
      <c r="AB773" s="6" t="s">
        <v>97</v>
      </c>
      <c r="AC773" t="s">
        <v>137</v>
      </c>
      <c r="AD773" t="s">
        <v>67</v>
      </c>
      <c r="AE773">
        <v>-24</v>
      </c>
      <c r="AF773">
        <v>0</v>
      </c>
      <c r="AG773">
        <v>0</v>
      </c>
      <c r="AH773" s="6">
        <v>65.400000000000006</v>
      </c>
      <c r="AI773" s="6">
        <v>0</v>
      </c>
      <c r="AJ773" s="6">
        <v>0.60599999999999998</v>
      </c>
      <c r="AK773" s="6">
        <v>0.45300000000000001</v>
      </c>
      <c r="AL773" s="8">
        <v>27154.53</v>
      </c>
      <c r="AM773" s="6" t="s">
        <v>155</v>
      </c>
      <c r="AN773" s="6">
        <v>1</v>
      </c>
      <c r="AO773" s="6">
        <v>1</v>
      </c>
      <c r="AP773" s="6">
        <v>0</v>
      </c>
      <c r="AQ773" s="6">
        <v>1</v>
      </c>
      <c r="AR773" s="6">
        <v>0</v>
      </c>
      <c r="AS773" s="6">
        <v>1</v>
      </c>
      <c r="AT773" s="6">
        <v>0</v>
      </c>
      <c r="AU773" s="6">
        <v>2.2000000000000002</v>
      </c>
      <c r="AV773" s="6">
        <v>1.29</v>
      </c>
      <c r="AW773" s="6">
        <v>217.32</v>
      </c>
      <c r="AX773" s="6">
        <v>37.76</v>
      </c>
      <c r="AY773" s="6">
        <v>170.98</v>
      </c>
      <c r="AZ773" s="6">
        <v>27.7</v>
      </c>
      <c r="BA773" s="6">
        <v>23</v>
      </c>
    </row>
    <row r="774" spans="1:53" x14ac:dyDescent="0.3">
      <c r="A774" s="6">
        <v>478278218</v>
      </c>
      <c r="B774" s="6">
        <v>816751</v>
      </c>
      <c r="C774" s="6">
        <v>3011363</v>
      </c>
      <c r="D774" s="6">
        <v>9996</v>
      </c>
      <c r="E774" s="6" t="s">
        <v>185</v>
      </c>
      <c r="F774" s="6">
        <v>56337</v>
      </c>
      <c r="G774" s="6" t="s">
        <v>98</v>
      </c>
      <c r="H774" s="10">
        <v>45812</v>
      </c>
      <c r="I774" s="10">
        <v>45812</v>
      </c>
      <c r="J774" s="4">
        <v>45812.409722222219</v>
      </c>
      <c r="K774" s="4">
        <v>45812.611018518517</v>
      </c>
      <c r="L774" s="11">
        <v>45812.608240740738</v>
      </c>
      <c r="M774" s="10">
        <v>45812</v>
      </c>
      <c r="N774" s="6" t="s">
        <v>170</v>
      </c>
      <c r="O774" t="s">
        <v>221</v>
      </c>
      <c r="P774" s="6" t="s">
        <v>134</v>
      </c>
      <c r="Q774" t="s">
        <v>278</v>
      </c>
      <c r="R774" t="s">
        <v>73</v>
      </c>
      <c r="S774" s="6">
        <v>790402</v>
      </c>
      <c r="T774" s="6" t="s">
        <v>1</v>
      </c>
      <c r="U774">
        <v>159</v>
      </c>
      <c r="V774" s="6">
        <v>3.2</v>
      </c>
      <c r="W774" s="6">
        <v>30.9</v>
      </c>
      <c r="X774" s="6">
        <v>163.1</v>
      </c>
      <c r="Y774" s="6">
        <v>197.2</v>
      </c>
      <c r="Z774" s="6" t="s">
        <v>63</v>
      </c>
      <c r="AA774" t="s">
        <v>785</v>
      </c>
      <c r="AB774" s="6" t="s">
        <v>97</v>
      </c>
      <c r="AC774" t="s">
        <v>125</v>
      </c>
      <c r="AD774" t="s">
        <v>67</v>
      </c>
      <c r="AE774">
        <v>-4</v>
      </c>
      <c r="AF774">
        <v>0</v>
      </c>
      <c r="AG774">
        <v>0</v>
      </c>
      <c r="AH774" s="6">
        <v>40.299999999999997</v>
      </c>
      <c r="AI774" s="6">
        <v>0</v>
      </c>
      <c r="AJ774" s="6">
        <v>0.59099999999999997</v>
      </c>
      <c r="AK774" s="6">
        <v>0.69099999999999995</v>
      </c>
      <c r="AL774" s="8">
        <v>4089.35</v>
      </c>
      <c r="AM774" s="6" t="s">
        <v>68</v>
      </c>
      <c r="AN774" s="6">
        <v>1</v>
      </c>
      <c r="AO774" s="6">
        <v>1</v>
      </c>
      <c r="AP774" s="6">
        <v>0</v>
      </c>
      <c r="AQ774" s="6">
        <v>1</v>
      </c>
      <c r="AR774" s="6">
        <v>0</v>
      </c>
      <c r="AS774" s="6">
        <v>1</v>
      </c>
      <c r="AT774" s="6">
        <v>0</v>
      </c>
      <c r="AU774" s="6">
        <v>2.19</v>
      </c>
      <c r="AV774" s="6">
        <v>1.41</v>
      </c>
      <c r="AW774" s="6">
        <v>177.46</v>
      </c>
      <c r="AX774" s="6">
        <v>24.11</v>
      </c>
      <c r="AY774" s="6">
        <v>135.1</v>
      </c>
      <c r="AZ774" s="6">
        <v>13.3</v>
      </c>
      <c r="BA774" s="6">
        <v>28</v>
      </c>
    </row>
    <row r="775" spans="1:53" x14ac:dyDescent="0.3">
      <c r="A775" s="6">
        <v>686277792</v>
      </c>
      <c r="B775" s="6">
        <v>804314</v>
      </c>
      <c r="C775" s="6">
        <v>1006810</v>
      </c>
      <c r="D775" s="6">
        <v>7893</v>
      </c>
      <c r="E775" s="6" t="s">
        <v>106</v>
      </c>
      <c r="F775" s="6">
        <v>52529</v>
      </c>
      <c r="G775" s="6" t="s">
        <v>77</v>
      </c>
      <c r="H775" s="10">
        <v>45770</v>
      </c>
      <c r="I775" s="10">
        <v>45770</v>
      </c>
      <c r="J775" s="4">
        <v>45770.576388888891</v>
      </c>
      <c r="K775" s="4">
        <v>45770.825740740744</v>
      </c>
      <c r="L775" s="11">
        <v>45770.804907407408</v>
      </c>
      <c r="M775" s="10">
        <v>45770</v>
      </c>
      <c r="N775" s="6" t="s">
        <v>176</v>
      </c>
      <c r="O775" t="s">
        <v>177</v>
      </c>
      <c r="P775" s="6" t="s">
        <v>70</v>
      </c>
      <c r="Q775" t="s">
        <v>138</v>
      </c>
      <c r="R775" t="s">
        <v>73</v>
      </c>
      <c r="S775" s="6">
        <v>715799</v>
      </c>
      <c r="T775" s="6" t="s">
        <v>111</v>
      </c>
      <c r="U775">
        <v>375</v>
      </c>
      <c r="V775" s="6">
        <v>29.7</v>
      </c>
      <c r="W775" s="6">
        <v>3.1</v>
      </c>
      <c r="X775" s="6">
        <v>373.2</v>
      </c>
      <c r="Y775" s="6">
        <v>406</v>
      </c>
      <c r="Z775" s="6" t="s">
        <v>63</v>
      </c>
      <c r="AA775" t="s">
        <v>786</v>
      </c>
      <c r="AB775" s="6" t="s">
        <v>75</v>
      </c>
      <c r="AC775" t="s">
        <v>125</v>
      </c>
      <c r="AD775" t="s">
        <v>67</v>
      </c>
      <c r="AE775">
        <v>-30</v>
      </c>
      <c r="AF775">
        <v>0</v>
      </c>
      <c r="AG775">
        <v>0</v>
      </c>
      <c r="AH775" s="6">
        <v>57.7</v>
      </c>
      <c r="AI775" s="6">
        <v>0</v>
      </c>
      <c r="AJ775" s="6">
        <v>0.81100000000000005</v>
      </c>
      <c r="AK775" s="6">
        <v>0.59299999999999997</v>
      </c>
      <c r="AL775" s="8">
        <v>54457.08</v>
      </c>
      <c r="AM775" s="6" t="s">
        <v>155</v>
      </c>
      <c r="AN775" s="6">
        <v>1</v>
      </c>
      <c r="AO775" s="6">
        <v>1</v>
      </c>
      <c r="AP775" s="6">
        <v>0</v>
      </c>
      <c r="AQ775" s="6">
        <v>1</v>
      </c>
      <c r="AR775" s="6">
        <v>0</v>
      </c>
      <c r="AS775" s="6">
        <v>1</v>
      </c>
      <c r="AT775" s="6">
        <v>0</v>
      </c>
      <c r="AU775" s="6">
        <v>2.31</v>
      </c>
      <c r="AV775" s="6">
        <v>1.41</v>
      </c>
      <c r="AW775" s="6">
        <v>352.98</v>
      </c>
      <c r="AX775" s="6">
        <v>62.15</v>
      </c>
      <c r="AY775" s="6">
        <v>226.62</v>
      </c>
      <c r="AZ775" s="6">
        <v>11.6</v>
      </c>
      <c r="BA775" s="6">
        <v>17.899999999999999</v>
      </c>
    </row>
    <row r="776" spans="1:53" x14ac:dyDescent="0.3">
      <c r="A776" s="6">
        <v>463512350</v>
      </c>
      <c r="B776" s="6">
        <v>876646</v>
      </c>
      <c r="C776" s="6">
        <v>2191066</v>
      </c>
      <c r="D776" s="6">
        <v>1769</v>
      </c>
      <c r="E776" s="6" t="s">
        <v>84</v>
      </c>
      <c r="F776" s="6">
        <v>53970</v>
      </c>
      <c r="G776" s="6" t="s">
        <v>115</v>
      </c>
      <c r="H776" s="10">
        <v>45988</v>
      </c>
      <c r="I776" s="10">
        <v>45988</v>
      </c>
      <c r="J776" s="4">
        <v>45988.423611111109</v>
      </c>
      <c r="K776" s="4">
        <v>45988.763993055552</v>
      </c>
      <c r="L776" s="11">
        <v>45988.745243055557</v>
      </c>
      <c r="M776" s="10">
        <v>45988</v>
      </c>
      <c r="N776" s="6" t="s">
        <v>121</v>
      </c>
      <c r="O776" t="s">
        <v>143</v>
      </c>
      <c r="P776" s="6" t="s">
        <v>121</v>
      </c>
      <c r="Q776" t="s">
        <v>195</v>
      </c>
      <c r="R776" t="s">
        <v>123</v>
      </c>
      <c r="S776" s="6">
        <v>742838</v>
      </c>
      <c r="T776" s="6" t="s">
        <v>111</v>
      </c>
      <c r="U776">
        <v>294</v>
      </c>
      <c r="V776" s="6">
        <v>38.700000000000003</v>
      </c>
      <c r="W776" s="6">
        <v>17.600000000000001</v>
      </c>
      <c r="X776" s="6">
        <v>311.89999999999998</v>
      </c>
      <c r="Y776" s="6">
        <v>368.2</v>
      </c>
      <c r="Z776" s="6" t="s">
        <v>215</v>
      </c>
      <c r="AA776" t="s">
        <v>787</v>
      </c>
      <c r="AB776" s="6" t="s">
        <v>75</v>
      </c>
      <c r="AC776" t="s">
        <v>137</v>
      </c>
      <c r="AD776" t="s">
        <v>67</v>
      </c>
      <c r="AE776">
        <v>-27</v>
      </c>
      <c r="AF776">
        <v>0</v>
      </c>
      <c r="AG776">
        <v>0</v>
      </c>
      <c r="AH776" s="6">
        <v>65.099999999999994</v>
      </c>
      <c r="AI776" s="6">
        <v>0</v>
      </c>
      <c r="AJ776" s="6">
        <v>0.6</v>
      </c>
      <c r="AK776" s="6">
        <v>0.91900000000000004</v>
      </c>
      <c r="AL776" s="8">
        <v>2139.33</v>
      </c>
      <c r="AM776" s="6" t="s">
        <v>68</v>
      </c>
      <c r="AN776" s="6">
        <v>1</v>
      </c>
      <c r="AO776" s="6">
        <v>1</v>
      </c>
      <c r="AP776" s="6">
        <v>0</v>
      </c>
      <c r="AQ776" s="6">
        <v>1</v>
      </c>
      <c r="AR776" s="6">
        <v>0</v>
      </c>
      <c r="AS776" s="6">
        <v>1</v>
      </c>
      <c r="AT776" s="6">
        <v>0</v>
      </c>
      <c r="AU776" s="6">
        <v>2.62</v>
      </c>
      <c r="AV776" s="6">
        <v>1.58</v>
      </c>
      <c r="AW776" s="6">
        <v>233.83</v>
      </c>
      <c r="AX776" s="6">
        <v>52.79</v>
      </c>
      <c r="AY776" s="6">
        <v>216.64</v>
      </c>
      <c r="AZ776" s="6">
        <v>17.2</v>
      </c>
      <c r="BA776" s="6">
        <v>8.3000000000000007</v>
      </c>
    </row>
    <row r="777" spans="1:53" x14ac:dyDescent="0.3">
      <c r="A777" s="6">
        <v>973498494</v>
      </c>
      <c r="B777" s="6">
        <v>391704</v>
      </c>
      <c r="C777" s="6">
        <v>7897151</v>
      </c>
      <c r="D777" s="6">
        <v>4556</v>
      </c>
      <c r="E777" s="6" t="s">
        <v>84</v>
      </c>
      <c r="F777" s="6">
        <v>53407</v>
      </c>
      <c r="G777" s="6" t="s">
        <v>115</v>
      </c>
      <c r="H777" s="10">
        <v>45975</v>
      </c>
      <c r="I777" s="10">
        <v>45975</v>
      </c>
      <c r="J777" s="4">
        <v>45975.298611111109</v>
      </c>
      <c r="K777" s="4">
        <v>45975.467951388891</v>
      </c>
      <c r="L777" s="11">
        <v>45975.462395833332</v>
      </c>
      <c r="M777" s="10">
        <v>45975</v>
      </c>
      <c r="N777" s="6" t="s">
        <v>109</v>
      </c>
      <c r="O777" t="s">
        <v>118</v>
      </c>
      <c r="P777" s="6" t="s">
        <v>109</v>
      </c>
      <c r="Q777" t="s">
        <v>193</v>
      </c>
      <c r="R777" t="s">
        <v>88</v>
      </c>
      <c r="S777" s="6">
        <v>705397</v>
      </c>
      <c r="T777" s="6" t="s">
        <v>1</v>
      </c>
      <c r="U777">
        <v>217</v>
      </c>
      <c r="V777" s="6">
        <v>9.1999999999999993</v>
      </c>
      <c r="W777" s="6">
        <v>24.5</v>
      </c>
      <c r="X777" s="6">
        <v>224.3</v>
      </c>
      <c r="Y777" s="6">
        <v>258</v>
      </c>
      <c r="Z777" s="6" t="s">
        <v>215</v>
      </c>
      <c r="AA777" t="s">
        <v>788</v>
      </c>
      <c r="AB777" s="6" t="s">
        <v>97</v>
      </c>
      <c r="AC777" t="s">
        <v>154</v>
      </c>
      <c r="AD777" t="s">
        <v>67</v>
      </c>
      <c r="AE777">
        <v>-8</v>
      </c>
      <c r="AF777">
        <v>0</v>
      </c>
      <c r="AG777">
        <v>0</v>
      </c>
      <c r="AH777" s="6">
        <v>50.1</v>
      </c>
      <c r="AI777" s="6">
        <v>0</v>
      </c>
      <c r="AJ777" s="6">
        <v>0.68400000000000005</v>
      </c>
      <c r="AK777" s="6">
        <v>0.57299999999999995</v>
      </c>
      <c r="AL777" s="8">
        <v>73265.490000000005</v>
      </c>
      <c r="AM777" s="6" t="s">
        <v>155</v>
      </c>
      <c r="AN777" s="6">
        <v>1</v>
      </c>
      <c r="AO777" s="6">
        <v>1</v>
      </c>
      <c r="AP777" s="6">
        <v>0</v>
      </c>
      <c r="AQ777" s="6">
        <v>1</v>
      </c>
      <c r="AR777" s="6">
        <v>0</v>
      </c>
      <c r="AS777" s="6">
        <v>1</v>
      </c>
      <c r="AT777" s="6">
        <v>0</v>
      </c>
      <c r="AU777" s="6">
        <v>2.1800000000000002</v>
      </c>
      <c r="AV777" s="6">
        <v>1.47</v>
      </c>
      <c r="AW777" s="6">
        <v>207</v>
      </c>
      <c r="AX777" s="6">
        <v>50.43</v>
      </c>
      <c r="AY777" s="6">
        <v>125.39</v>
      </c>
      <c r="AZ777" s="6">
        <v>11.3</v>
      </c>
      <c r="BA777" s="6">
        <v>51.7</v>
      </c>
    </row>
    <row r="778" spans="1:53" x14ac:dyDescent="0.3">
      <c r="A778" s="6">
        <v>790196540</v>
      </c>
      <c r="B778" s="6">
        <v>207473</v>
      </c>
      <c r="C778" s="6">
        <v>4694634</v>
      </c>
      <c r="D778" s="6">
        <v>9322</v>
      </c>
      <c r="E778" s="6" t="s">
        <v>84</v>
      </c>
      <c r="F778" s="6">
        <v>59650</v>
      </c>
      <c r="G778" s="6" t="s">
        <v>77</v>
      </c>
      <c r="H778" s="10">
        <v>45744</v>
      </c>
      <c r="I778" s="10">
        <v>45744</v>
      </c>
      <c r="J778" s="4">
        <v>45744.288194444445</v>
      </c>
      <c r="K778" s="4">
        <v>45744.664074074077</v>
      </c>
      <c r="L778" s="11">
        <v>45744.666851851849</v>
      </c>
      <c r="M778" s="10">
        <v>45744</v>
      </c>
      <c r="N778" s="6" t="s">
        <v>103</v>
      </c>
      <c r="O778" t="s">
        <v>99</v>
      </c>
      <c r="P778" s="6" t="s">
        <v>59</v>
      </c>
      <c r="Q778" t="s">
        <v>60</v>
      </c>
      <c r="R778" t="s">
        <v>62</v>
      </c>
      <c r="S778" s="6">
        <v>768714</v>
      </c>
      <c r="T778" s="6" t="s">
        <v>111</v>
      </c>
      <c r="U778">
        <v>406</v>
      </c>
      <c r="V778" s="6">
        <v>25.5</v>
      </c>
      <c r="W778" s="6">
        <v>23.5</v>
      </c>
      <c r="X778" s="6">
        <v>403.6</v>
      </c>
      <c r="Y778" s="6">
        <v>452.6</v>
      </c>
      <c r="Z778" s="6" t="s">
        <v>63</v>
      </c>
      <c r="AA778" t="s">
        <v>789</v>
      </c>
      <c r="AB778" s="6" t="s">
        <v>97</v>
      </c>
      <c r="AC778" t="s">
        <v>154</v>
      </c>
      <c r="AD778" t="s">
        <v>67</v>
      </c>
      <c r="AE778">
        <v>4</v>
      </c>
      <c r="AF778">
        <v>0</v>
      </c>
      <c r="AG778">
        <v>0</v>
      </c>
      <c r="AH778" s="6">
        <v>46.8</v>
      </c>
      <c r="AI778" s="6">
        <v>0</v>
      </c>
      <c r="AJ778" s="6">
        <v>0.57499999999999996</v>
      </c>
      <c r="AK778" s="6">
        <v>0.32200000000000001</v>
      </c>
      <c r="AL778" s="8">
        <v>18728.830000000002</v>
      </c>
      <c r="AM778" s="6" t="s">
        <v>114</v>
      </c>
      <c r="AN778" s="6">
        <v>1</v>
      </c>
      <c r="AO778" s="6">
        <v>1</v>
      </c>
      <c r="AP778" s="6">
        <v>0</v>
      </c>
      <c r="AQ778" s="6">
        <v>1</v>
      </c>
      <c r="AR778" s="6">
        <v>0</v>
      </c>
      <c r="AS778" s="6">
        <v>1</v>
      </c>
      <c r="AT778" s="6">
        <v>0</v>
      </c>
      <c r="AU778" s="6">
        <v>1.87</v>
      </c>
      <c r="AV778" s="6">
        <v>1.2</v>
      </c>
      <c r="AW778" s="6">
        <v>394.05</v>
      </c>
      <c r="AX778" s="6">
        <v>82.99</v>
      </c>
      <c r="AY778" s="6">
        <v>274.56</v>
      </c>
      <c r="AZ778" s="6">
        <v>26.9</v>
      </c>
      <c r="BA778" s="6">
        <v>29.3</v>
      </c>
    </row>
    <row r="779" spans="1:53" x14ac:dyDescent="0.3">
      <c r="A779" s="6">
        <v>288000513</v>
      </c>
      <c r="B779" s="6">
        <v>329974</v>
      </c>
      <c r="C779" s="6">
        <v>5641923</v>
      </c>
      <c r="D779" s="6">
        <v>4304</v>
      </c>
      <c r="E779" s="6" t="s">
        <v>84</v>
      </c>
      <c r="F779" s="6">
        <v>59046</v>
      </c>
      <c r="G779" s="6" t="s">
        <v>107</v>
      </c>
      <c r="H779" s="10">
        <v>45687</v>
      </c>
      <c r="I779" s="10">
        <v>45687</v>
      </c>
      <c r="J779" s="4">
        <v>45687.604166666664</v>
      </c>
      <c r="K779" s="4">
        <v>45687.666666666664</v>
      </c>
      <c r="L779" s="11">
        <v>45687.668055555558</v>
      </c>
      <c r="M779" s="10">
        <v>45687</v>
      </c>
      <c r="N779" s="6" t="s">
        <v>132</v>
      </c>
      <c r="O779" t="s">
        <v>186</v>
      </c>
      <c r="P779" s="6" t="s">
        <v>176</v>
      </c>
      <c r="Q779" t="s">
        <v>355</v>
      </c>
      <c r="R779" t="s">
        <v>88</v>
      </c>
      <c r="S779" s="6">
        <v>722324</v>
      </c>
      <c r="T779" s="6" t="s">
        <v>3</v>
      </c>
      <c r="U779">
        <v>67</v>
      </c>
      <c r="V779" s="6">
        <v>21.7</v>
      </c>
      <c r="W779" s="6">
        <v>17.5</v>
      </c>
      <c r="X779" s="6">
        <v>71.599999999999994</v>
      </c>
      <c r="Y779" s="6">
        <v>110.8</v>
      </c>
      <c r="Z779" s="6" t="s">
        <v>63</v>
      </c>
      <c r="AA779" t="s">
        <v>255</v>
      </c>
      <c r="AB779" s="6" t="s">
        <v>90</v>
      </c>
      <c r="AC779" t="s">
        <v>137</v>
      </c>
      <c r="AD779" t="s">
        <v>67</v>
      </c>
      <c r="AE779">
        <v>2</v>
      </c>
      <c r="AF779">
        <v>0</v>
      </c>
      <c r="AG779">
        <v>0</v>
      </c>
      <c r="AH779" s="6">
        <v>25.1</v>
      </c>
      <c r="AI779" s="6">
        <v>0</v>
      </c>
      <c r="AJ779" s="6">
        <v>0.9</v>
      </c>
      <c r="AK779" s="6">
        <v>0.77600000000000002</v>
      </c>
      <c r="AL779" s="8">
        <v>2900.37</v>
      </c>
      <c r="AM779" s="6" t="s">
        <v>68</v>
      </c>
      <c r="AN779" s="6">
        <v>1</v>
      </c>
      <c r="AO779" s="6">
        <v>1</v>
      </c>
      <c r="AP779" s="6">
        <v>0</v>
      </c>
      <c r="AQ779" s="6">
        <v>1</v>
      </c>
      <c r="AR779" s="6">
        <v>0</v>
      </c>
      <c r="AS779" s="6">
        <v>1</v>
      </c>
      <c r="AT779" s="6">
        <v>0</v>
      </c>
      <c r="AU779" s="6">
        <v>2.23</v>
      </c>
      <c r="AV779" s="6">
        <v>1.38</v>
      </c>
      <c r="AW779" s="6">
        <v>81.97</v>
      </c>
      <c r="AX779" s="6">
        <v>22.68</v>
      </c>
      <c r="AY779" s="6">
        <v>67.75</v>
      </c>
      <c r="AZ779" s="6">
        <v>28.3</v>
      </c>
      <c r="BA779" s="6">
        <v>42</v>
      </c>
    </row>
    <row r="780" spans="1:53" x14ac:dyDescent="0.3">
      <c r="A780" s="6">
        <v>991617660</v>
      </c>
      <c r="B780" s="6">
        <v>809570</v>
      </c>
      <c r="C780" s="6">
        <v>1120642</v>
      </c>
      <c r="D780" s="6">
        <v>2685</v>
      </c>
      <c r="E780" s="6" t="s">
        <v>106</v>
      </c>
      <c r="F780" s="6">
        <v>57416</v>
      </c>
      <c r="G780" s="6" t="s">
        <v>164</v>
      </c>
      <c r="H780" s="10">
        <v>45886</v>
      </c>
      <c r="I780" s="10">
        <v>45886</v>
      </c>
      <c r="J780" s="4">
        <v>45886.90625</v>
      </c>
      <c r="K780" s="4">
        <v>45887.397870370369</v>
      </c>
      <c r="L780" s="11">
        <v>45887.522175925929</v>
      </c>
      <c r="M780" s="10">
        <v>45887</v>
      </c>
      <c r="N780" s="6" t="s">
        <v>150</v>
      </c>
      <c r="O780" t="s">
        <v>151</v>
      </c>
      <c r="P780" s="6" t="s">
        <v>200</v>
      </c>
      <c r="Q780" t="s">
        <v>275</v>
      </c>
      <c r="R780" t="s">
        <v>62</v>
      </c>
      <c r="S780" s="6">
        <v>720079</v>
      </c>
      <c r="T780" s="6" t="s">
        <v>111</v>
      </c>
      <c r="U780">
        <v>514</v>
      </c>
      <c r="V780" s="6">
        <v>19.3</v>
      </c>
      <c r="W780" s="6">
        <v>14.9</v>
      </c>
      <c r="X780" s="6">
        <v>517.29999999999995</v>
      </c>
      <c r="Y780" s="6">
        <v>551.5</v>
      </c>
      <c r="Z780" s="6" t="s">
        <v>215</v>
      </c>
      <c r="AA780" t="s">
        <v>790</v>
      </c>
      <c r="AB780" s="6" t="s">
        <v>65</v>
      </c>
      <c r="AC780" t="s">
        <v>91</v>
      </c>
      <c r="AD780" t="s">
        <v>188</v>
      </c>
      <c r="AE780">
        <v>179</v>
      </c>
      <c r="AF780">
        <v>0</v>
      </c>
      <c r="AG780">
        <v>4</v>
      </c>
      <c r="AH780" s="6">
        <v>43.4</v>
      </c>
      <c r="AI780" s="6">
        <v>0</v>
      </c>
      <c r="AJ780" s="6">
        <v>0.56999999999999995</v>
      </c>
      <c r="AK780" s="6">
        <v>0.79100000000000004</v>
      </c>
      <c r="AL780" s="8">
        <v>4738.7299999999996</v>
      </c>
      <c r="AM780" s="6" t="s">
        <v>68</v>
      </c>
      <c r="AN780" s="6">
        <v>1</v>
      </c>
      <c r="AO780" s="6">
        <v>0</v>
      </c>
      <c r="AP780" s="6">
        <v>1</v>
      </c>
      <c r="AQ780" s="6">
        <v>0</v>
      </c>
      <c r="AR780" s="6">
        <v>1</v>
      </c>
      <c r="AS780" s="6">
        <v>0</v>
      </c>
      <c r="AT780" s="6">
        <v>1</v>
      </c>
      <c r="AU780" s="6">
        <v>2.66</v>
      </c>
      <c r="AV780" s="6">
        <v>1.84</v>
      </c>
      <c r="AW780" s="6">
        <v>462.91</v>
      </c>
      <c r="AX780" s="6">
        <v>99.43</v>
      </c>
      <c r="AY780" s="6">
        <v>387.36</v>
      </c>
      <c r="AZ780" s="6">
        <v>13.6</v>
      </c>
      <c r="BA780" s="6">
        <v>10.4</v>
      </c>
    </row>
    <row r="781" spans="1:53" x14ac:dyDescent="0.3">
      <c r="A781" s="6">
        <v>936597989</v>
      </c>
      <c r="B781" s="6">
        <v>439902</v>
      </c>
      <c r="C781" s="6">
        <v>2935113</v>
      </c>
      <c r="D781" s="6">
        <v>9815</v>
      </c>
      <c r="E781" s="6" t="s">
        <v>142</v>
      </c>
      <c r="F781" s="6">
        <v>54760</v>
      </c>
      <c r="G781" s="6" t="s">
        <v>207</v>
      </c>
      <c r="H781" s="10">
        <v>45780</v>
      </c>
      <c r="I781" s="10">
        <v>45780</v>
      </c>
      <c r="J781" s="4">
        <v>45780.628472222219</v>
      </c>
      <c r="K781" s="4">
        <v>45780.85564814815</v>
      </c>
      <c r="L781" s="11">
        <v>45780.823703703703</v>
      </c>
      <c r="M781" s="10">
        <v>45780</v>
      </c>
      <c r="N781" s="6" t="s">
        <v>109</v>
      </c>
      <c r="O781" t="s">
        <v>110</v>
      </c>
      <c r="P781" s="6" t="s">
        <v>70</v>
      </c>
      <c r="Q781" t="s">
        <v>322</v>
      </c>
      <c r="R781" t="s">
        <v>73</v>
      </c>
      <c r="S781" s="6">
        <v>719400</v>
      </c>
      <c r="T781" s="6" t="s">
        <v>1</v>
      </c>
      <c r="U781">
        <v>300</v>
      </c>
      <c r="V781" s="6">
        <v>19</v>
      </c>
      <c r="W781" s="6">
        <v>19.8</v>
      </c>
      <c r="X781" s="6">
        <v>301.7</v>
      </c>
      <c r="Y781" s="6">
        <v>340.5</v>
      </c>
      <c r="Z781" s="6" t="s">
        <v>63</v>
      </c>
      <c r="AA781" t="s">
        <v>544</v>
      </c>
      <c r="AB781" s="6" t="s">
        <v>90</v>
      </c>
      <c r="AC781" t="s">
        <v>76</v>
      </c>
      <c r="AD781" t="s">
        <v>67</v>
      </c>
      <c r="AE781">
        <v>-46</v>
      </c>
      <c r="AF781">
        <v>112</v>
      </c>
      <c r="AG781">
        <v>0</v>
      </c>
      <c r="AH781" s="6">
        <v>44.6</v>
      </c>
      <c r="AI781" s="6">
        <v>0</v>
      </c>
      <c r="AJ781" s="6">
        <v>0.84099999999999997</v>
      </c>
      <c r="AK781" s="6">
        <v>0.76500000000000001</v>
      </c>
      <c r="AL781" s="8">
        <v>3119.89</v>
      </c>
      <c r="AM781" s="6" t="s">
        <v>68</v>
      </c>
      <c r="AN781" s="6">
        <v>1</v>
      </c>
      <c r="AO781" s="6">
        <v>1</v>
      </c>
      <c r="AP781" s="6">
        <v>0</v>
      </c>
      <c r="AQ781" s="6">
        <v>1</v>
      </c>
      <c r="AR781" s="6">
        <v>0</v>
      </c>
      <c r="AS781" s="6">
        <v>1</v>
      </c>
      <c r="AT781" s="6">
        <v>0</v>
      </c>
      <c r="AU781" s="6">
        <v>2.11</v>
      </c>
      <c r="AV781" s="6">
        <v>1.59</v>
      </c>
      <c r="AW781" s="6">
        <v>225.22</v>
      </c>
      <c r="AX781" s="6">
        <v>39</v>
      </c>
      <c r="AY781" s="6">
        <v>195.14</v>
      </c>
      <c r="AZ781" s="6">
        <v>45.7</v>
      </c>
      <c r="BA781" s="6">
        <v>45.2</v>
      </c>
    </row>
    <row r="782" spans="1:53" x14ac:dyDescent="0.3">
      <c r="A782" s="6">
        <v>835172306</v>
      </c>
      <c r="B782" s="6">
        <v>520651</v>
      </c>
      <c r="C782" s="6">
        <v>5098412</v>
      </c>
      <c r="D782" s="6">
        <v>7892</v>
      </c>
      <c r="E782" s="6" t="s">
        <v>84</v>
      </c>
      <c r="F782" s="6">
        <v>51897</v>
      </c>
      <c r="G782" s="6" t="s">
        <v>127</v>
      </c>
      <c r="H782" s="10">
        <v>45903</v>
      </c>
      <c r="I782" s="10">
        <v>45903</v>
      </c>
      <c r="J782" s="4">
        <v>45903.347222222219</v>
      </c>
      <c r="K782" s="4">
        <v>45903.67564814815</v>
      </c>
      <c r="L782" s="11">
        <v>45903.65898148148</v>
      </c>
      <c r="M782" s="10">
        <v>45903</v>
      </c>
      <c r="N782" s="6" t="s">
        <v>200</v>
      </c>
      <c r="O782" t="s">
        <v>338</v>
      </c>
      <c r="P782" s="6" t="s">
        <v>200</v>
      </c>
      <c r="Q782" t="s">
        <v>338</v>
      </c>
      <c r="R782" t="s">
        <v>62</v>
      </c>
      <c r="S782" s="6">
        <v>725966</v>
      </c>
      <c r="T782" s="6" t="s">
        <v>111</v>
      </c>
      <c r="U782">
        <v>327</v>
      </c>
      <c r="V782" s="6">
        <v>3.6</v>
      </c>
      <c r="W782" s="6">
        <v>10.199999999999999</v>
      </c>
      <c r="X782" s="6">
        <v>330.1</v>
      </c>
      <c r="Y782" s="6">
        <v>343.9</v>
      </c>
      <c r="Z782" s="6" t="s">
        <v>63</v>
      </c>
      <c r="AA782" t="s">
        <v>463</v>
      </c>
      <c r="AB782" s="6" t="s">
        <v>97</v>
      </c>
      <c r="AC782" t="s">
        <v>125</v>
      </c>
      <c r="AD782" t="s">
        <v>67</v>
      </c>
      <c r="AE782">
        <v>-24</v>
      </c>
      <c r="AF782">
        <v>0</v>
      </c>
      <c r="AG782">
        <v>1.1000000000000001</v>
      </c>
      <c r="AH782" s="6">
        <v>35</v>
      </c>
      <c r="AI782" s="6">
        <v>0</v>
      </c>
      <c r="AJ782" s="6">
        <v>0.63600000000000001</v>
      </c>
      <c r="AK782" s="6">
        <v>0.80300000000000005</v>
      </c>
      <c r="AL782" s="8">
        <v>1915.51</v>
      </c>
      <c r="AM782" s="6" t="s">
        <v>68</v>
      </c>
      <c r="AN782" s="6">
        <v>1</v>
      </c>
      <c r="AO782" s="6">
        <v>1</v>
      </c>
      <c r="AP782" s="6">
        <v>0</v>
      </c>
      <c r="AQ782" s="6">
        <v>1</v>
      </c>
      <c r="AR782" s="6">
        <v>0</v>
      </c>
      <c r="AS782" s="6">
        <v>1</v>
      </c>
      <c r="AT782" s="6">
        <v>0</v>
      </c>
      <c r="AU782" s="6">
        <v>2.12</v>
      </c>
      <c r="AV782" s="6">
        <v>1.57</v>
      </c>
      <c r="AW782" s="6">
        <v>231.45</v>
      </c>
      <c r="AX782" s="6">
        <v>55.32</v>
      </c>
      <c r="AY782" s="6">
        <v>212.17</v>
      </c>
      <c r="AZ782" s="6">
        <v>45.8</v>
      </c>
      <c r="BA782" s="6">
        <v>57.5</v>
      </c>
    </row>
    <row r="783" spans="1:53" x14ac:dyDescent="0.3">
      <c r="A783" s="6">
        <v>598885034</v>
      </c>
      <c r="B783" s="6">
        <v>321231</v>
      </c>
      <c r="C783" s="6">
        <v>3646552</v>
      </c>
      <c r="D783" s="6">
        <v>5636</v>
      </c>
      <c r="E783" s="6" t="s">
        <v>84</v>
      </c>
      <c r="F783" s="6">
        <v>56364</v>
      </c>
      <c r="G783" s="6" t="s">
        <v>77</v>
      </c>
      <c r="H783" s="10">
        <v>45669</v>
      </c>
      <c r="I783" s="10">
        <v>45669</v>
      </c>
      <c r="J783" s="4">
        <v>45669.25</v>
      </c>
      <c r="K783" s="4">
        <v>45669.788564814815</v>
      </c>
      <c r="L783" s="11">
        <v>45669.777453703704</v>
      </c>
      <c r="M783" s="10">
        <v>45669</v>
      </c>
      <c r="N783" s="6" t="s">
        <v>150</v>
      </c>
      <c r="O783" t="s">
        <v>311</v>
      </c>
      <c r="P783" s="6" t="s">
        <v>132</v>
      </c>
      <c r="Q783" t="s">
        <v>181</v>
      </c>
      <c r="R783" t="s">
        <v>62</v>
      </c>
      <c r="S783" s="6">
        <v>752402</v>
      </c>
      <c r="T783" s="6" t="s">
        <v>140</v>
      </c>
      <c r="U783">
        <v>690</v>
      </c>
      <c r="V783" s="6">
        <v>8.4</v>
      </c>
      <c r="W783" s="6">
        <v>11.6</v>
      </c>
      <c r="X783" s="6">
        <v>685.1</v>
      </c>
      <c r="Y783" s="6">
        <v>705.1</v>
      </c>
      <c r="Z783" s="6" t="s">
        <v>63</v>
      </c>
      <c r="AA783" t="s">
        <v>389</v>
      </c>
      <c r="AB783" s="6" t="s">
        <v>97</v>
      </c>
      <c r="AC783" t="s">
        <v>91</v>
      </c>
      <c r="AD783" t="s">
        <v>67</v>
      </c>
      <c r="AE783">
        <v>-16</v>
      </c>
      <c r="AF783">
        <v>0</v>
      </c>
      <c r="AG783">
        <v>0</v>
      </c>
      <c r="AH783" s="6">
        <v>23.6</v>
      </c>
      <c r="AI783" s="6">
        <v>0</v>
      </c>
      <c r="AJ783" s="6">
        <v>0.56299999999999994</v>
      </c>
      <c r="AK783" s="6">
        <v>0.68600000000000005</v>
      </c>
      <c r="AL783" s="8">
        <v>13139.29</v>
      </c>
      <c r="AM783" s="6" t="s">
        <v>114</v>
      </c>
      <c r="AN783" s="6">
        <v>1</v>
      </c>
      <c r="AO783" s="6">
        <v>1</v>
      </c>
      <c r="AP783" s="6">
        <v>0</v>
      </c>
      <c r="AQ783" s="6">
        <v>1</v>
      </c>
      <c r="AR783" s="6">
        <v>0</v>
      </c>
      <c r="AS783" s="6">
        <v>1</v>
      </c>
      <c r="AT783" s="6">
        <v>0</v>
      </c>
      <c r="AU783" s="6">
        <v>2.11</v>
      </c>
      <c r="AV783" s="6">
        <v>1.34</v>
      </c>
      <c r="AW783" s="6">
        <v>573.33000000000004</v>
      </c>
      <c r="AX783" s="6">
        <v>133.33000000000001</v>
      </c>
      <c r="AY783" s="6">
        <v>463.78</v>
      </c>
      <c r="AZ783" s="6">
        <v>37.799999999999997</v>
      </c>
      <c r="BA783" s="6">
        <v>9.3000000000000007</v>
      </c>
    </row>
    <row r="784" spans="1:53" x14ac:dyDescent="0.3">
      <c r="A784" s="6">
        <v>846668526</v>
      </c>
      <c r="B784" s="6">
        <v>623481</v>
      </c>
      <c r="C784" s="6">
        <v>2737893</v>
      </c>
      <c r="D784" s="6">
        <v>4627</v>
      </c>
      <c r="E784" s="6" t="s">
        <v>101</v>
      </c>
      <c r="F784" s="6">
        <v>58464</v>
      </c>
      <c r="G784" s="6" t="s">
        <v>58</v>
      </c>
      <c r="H784" s="10">
        <v>45706</v>
      </c>
      <c r="I784" s="10">
        <v>45706</v>
      </c>
      <c r="J784" s="4">
        <v>45706.361111111109</v>
      </c>
      <c r="K784" s="4">
        <v>45706.836064814815</v>
      </c>
      <c r="L784" s="11">
        <v>45706.806203703702</v>
      </c>
      <c r="M784" s="10">
        <v>45706</v>
      </c>
      <c r="N784" s="6" t="s">
        <v>129</v>
      </c>
      <c r="O784" t="s">
        <v>130</v>
      </c>
      <c r="P784" s="6" t="s">
        <v>103</v>
      </c>
      <c r="Q784" t="s">
        <v>204</v>
      </c>
      <c r="R784" t="s">
        <v>73</v>
      </c>
      <c r="S784" s="6">
        <v>747214</v>
      </c>
      <c r="T784" s="6" t="s">
        <v>140</v>
      </c>
      <c r="U784">
        <v>721</v>
      </c>
      <c r="V784" s="6">
        <v>40.9</v>
      </c>
      <c r="W784" s="6">
        <v>15</v>
      </c>
      <c r="X784" s="6">
        <v>718.4</v>
      </c>
      <c r="Y784" s="6">
        <v>774.3</v>
      </c>
      <c r="Z784" s="6" t="s">
        <v>63</v>
      </c>
      <c r="AA784" t="s">
        <v>791</v>
      </c>
      <c r="AB784" s="6" t="s">
        <v>97</v>
      </c>
      <c r="AC784" t="s">
        <v>66</v>
      </c>
      <c r="AD784" t="s">
        <v>67</v>
      </c>
      <c r="AE784">
        <v>-43</v>
      </c>
      <c r="AF784">
        <v>0</v>
      </c>
      <c r="AG784">
        <v>0</v>
      </c>
      <c r="AH784" s="6">
        <v>38</v>
      </c>
      <c r="AI784" s="6">
        <v>0</v>
      </c>
      <c r="AJ784" s="6">
        <v>0.85499999999999998</v>
      </c>
      <c r="AK784" s="6">
        <v>0.376</v>
      </c>
      <c r="AL784" s="8">
        <v>3597.88</v>
      </c>
      <c r="AM784" s="6" t="s">
        <v>68</v>
      </c>
      <c r="AN784" s="6">
        <v>1</v>
      </c>
      <c r="AO784" s="6">
        <v>1</v>
      </c>
      <c r="AP784" s="6">
        <v>0</v>
      </c>
      <c r="AQ784" s="6">
        <v>1</v>
      </c>
      <c r="AR784" s="6">
        <v>0</v>
      </c>
      <c r="AS784" s="6">
        <v>1</v>
      </c>
      <c r="AT784" s="6">
        <v>0</v>
      </c>
      <c r="AU784" s="6">
        <v>2.11</v>
      </c>
      <c r="AV784" s="6">
        <v>1.35</v>
      </c>
      <c r="AW784" s="6">
        <v>581.6</v>
      </c>
      <c r="AX784" s="6">
        <v>155.63999999999999</v>
      </c>
      <c r="AY784" s="6">
        <v>484.75</v>
      </c>
      <c r="AZ784" s="6">
        <v>22.3</v>
      </c>
      <c r="BA784" s="6">
        <v>72.900000000000006</v>
      </c>
    </row>
    <row r="785" spans="1:53" x14ac:dyDescent="0.3">
      <c r="A785" s="6">
        <v>613818935</v>
      </c>
      <c r="B785" s="6">
        <v>207175</v>
      </c>
      <c r="C785" s="6">
        <v>8077999</v>
      </c>
      <c r="D785" s="6">
        <v>4152</v>
      </c>
      <c r="E785" s="6" t="s">
        <v>142</v>
      </c>
      <c r="F785" s="6">
        <v>54087</v>
      </c>
      <c r="G785" s="6" t="s">
        <v>175</v>
      </c>
      <c r="H785" s="10">
        <v>45908</v>
      </c>
      <c r="I785" s="10">
        <v>45908</v>
      </c>
      <c r="J785" s="4">
        <v>45908.3125</v>
      </c>
      <c r="K785" s="4">
        <v>45908.956064814818</v>
      </c>
      <c r="L785" s="11">
        <v>45908.938703703701</v>
      </c>
      <c r="M785" s="10">
        <v>45908</v>
      </c>
      <c r="N785" s="6" t="s">
        <v>121</v>
      </c>
      <c r="O785" t="s">
        <v>122</v>
      </c>
      <c r="P785" s="6" t="s">
        <v>121</v>
      </c>
      <c r="Q785" t="s">
        <v>143</v>
      </c>
      <c r="R785" t="s">
        <v>123</v>
      </c>
      <c r="S785" s="6">
        <v>742838</v>
      </c>
      <c r="T785" s="6" t="s">
        <v>140</v>
      </c>
      <c r="U785">
        <v>685</v>
      </c>
      <c r="V785" s="6">
        <v>32.9</v>
      </c>
      <c r="W785" s="6">
        <v>4.5</v>
      </c>
      <c r="X785" s="6">
        <v>695</v>
      </c>
      <c r="Y785" s="6">
        <v>732.4</v>
      </c>
      <c r="Z785" s="6" t="s">
        <v>112</v>
      </c>
      <c r="AA785" t="s">
        <v>792</v>
      </c>
      <c r="AB785" s="6" t="s">
        <v>97</v>
      </c>
      <c r="AC785" t="s">
        <v>83</v>
      </c>
      <c r="AD785" t="s">
        <v>67</v>
      </c>
      <c r="AE785">
        <v>-25</v>
      </c>
      <c r="AF785">
        <v>0</v>
      </c>
      <c r="AG785">
        <v>0</v>
      </c>
      <c r="AH785" s="6">
        <v>51.5</v>
      </c>
      <c r="AI785" s="6">
        <v>0</v>
      </c>
      <c r="AJ785" s="6">
        <v>0.76</v>
      </c>
      <c r="AK785" s="6">
        <v>0.83499999999999996</v>
      </c>
      <c r="AL785" s="8">
        <v>67234.78</v>
      </c>
      <c r="AM785" s="6" t="s">
        <v>155</v>
      </c>
      <c r="AN785" s="6">
        <v>1</v>
      </c>
      <c r="AO785" s="6">
        <v>1</v>
      </c>
      <c r="AP785" s="6">
        <v>0</v>
      </c>
      <c r="AQ785" s="6">
        <v>1</v>
      </c>
      <c r="AR785" s="6">
        <v>0</v>
      </c>
      <c r="AS785" s="6">
        <v>1</v>
      </c>
      <c r="AT785" s="6">
        <v>0</v>
      </c>
      <c r="AU785" s="6">
        <v>2.38</v>
      </c>
      <c r="AV785" s="6">
        <v>1.76</v>
      </c>
      <c r="AW785" s="6">
        <v>502.04</v>
      </c>
      <c r="AX785" s="6">
        <v>89.17</v>
      </c>
      <c r="AY785" s="6">
        <v>379</v>
      </c>
      <c r="AZ785" s="6">
        <v>16.8</v>
      </c>
      <c r="BA785" s="6">
        <v>6</v>
      </c>
    </row>
    <row r="786" spans="1:53" x14ac:dyDescent="0.3">
      <c r="A786" s="6">
        <v>778321204</v>
      </c>
      <c r="B786" s="6">
        <v>498382</v>
      </c>
      <c r="C786" s="6">
        <v>5673212</v>
      </c>
      <c r="D786" s="6">
        <v>4943</v>
      </c>
      <c r="E786" s="6" t="s">
        <v>185</v>
      </c>
      <c r="F786" s="6">
        <v>59464</v>
      </c>
      <c r="G786" s="6" t="s">
        <v>115</v>
      </c>
      <c r="H786" s="10">
        <v>45735</v>
      </c>
      <c r="I786" s="10">
        <v>45735</v>
      </c>
      <c r="J786" s="4">
        <v>45735.572916666664</v>
      </c>
      <c r="K786" s="4">
        <v>45735.896331018521</v>
      </c>
      <c r="L786" s="11">
        <v>45735.902581018519</v>
      </c>
      <c r="M786" s="10">
        <v>45735</v>
      </c>
      <c r="N786" s="6" t="s">
        <v>134</v>
      </c>
      <c r="O786" t="s">
        <v>135</v>
      </c>
      <c r="P786" s="6" t="s">
        <v>200</v>
      </c>
      <c r="Q786" t="s">
        <v>171</v>
      </c>
      <c r="R786" t="s">
        <v>62</v>
      </c>
      <c r="S786" s="6">
        <v>727770</v>
      </c>
      <c r="T786" s="6" t="s">
        <v>1</v>
      </c>
      <c r="U786">
        <v>276</v>
      </c>
      <c r="V786" s="6">
        <v>44.3</v>
      </c>
      <c r="W786" s="6">
        <v>3.3</v>
      </c>
      <c r="X786" s="6">
        <v>277.2</v>
      </c>
      <c r="Y786" s="6">
        <v>324.8</v>
      </c>
      <c r="Z786" s="6" t="s">
        <v>63</v>
      </c>
      <c r="AA786" t="s">
        <v>323</v>
      </c>
      <c r="AB786" s="6" t="s">
        <v>75</v>
      </c>
      <c r="AC786" t="s">
        <v>125</v>
      </c>
      <c r="AD786" t="s">
        <v>67</v>
      </c>
      <c r="AE786">
        <v>9</v>
      </c>
      <c r="AF786">
        <v>0</v>
      </c>
      <c r="AG786">
        <v>0</v>
      </c>
      <c r="AH786" s="6">
        <v>23.9</v>
      </c>
      <c r="AI786" s="6">
        <v>0</v>
      </c>
      <c r="AJ786" s="6">
        <v>0.77900000000000003</v>
      </c>
      <c r="AK786" s="6">
        <v>0.78200000000000003</v>
      </c>
      <c r="AL786" s="8">
        <v>10389.19</v>
      </c>
      <c r="AM786" s="6" t="s">
        <v>114</v>
      </c>
      <c r="AN786" s="6">
        <v>1</v>
      </c>
      <c r="AO786" s="6">
        <v>1</v>
      </c>
      <c r="AP786" s="6">
        <v>0</v>
      </c>
      <c r="AQ786" s="6">
        <v>1</v>
      </c>
      <c r="AR786" s="6">
        <v>0</v>
      </c>
      <c r="AS786" s="6">
        <v>1</v>
      </c>
      <c r="AT786" s="6">
        <v>0</v>
      </c>
      <c r="AU786" s="6">
        <v>2.1</v>
      </c>
      <c r="AV786" s="6">
        <v>1.48</v>
      </c>
      <c r="AW786" s="6">
        <v>228.94</v>
      </c>
      <c r="AX786" s="6">
        <v>41.19</v>
      </c>
      <c r="AY786" s="6">
        <v>169.3</v>
      </c>
      <c r="AZ786" s="6">
        <v>12.5</v>
      </c>
      <c r="BA786" s="6">
        <v>9.5</v>
      </c>
    </row>
    <row r="787" spans="1:53" x14ac:dyDescent="0.3">
      <c r="A787" s="6">
        <v>295719504</v>
      </c>
      <c r="B787" s="6">
        <v>301629</v>
      </c>
      <c r="C787" s="6">
        <v>8633773</v>
      </c>
      <c r="D787" s="6">
        <v>7331</v>
      </c>
      <c r="E787" s="6" t="s">
        <v>84</v>
      </c>
      <c r="F787" s="6">
        <v>54374</v>
      </c>
      <c r="G787" s="6" t="s">
        <v>77</v>
      </c>
      <c r="H787" s="10">
        <v>45971</v>
      </c>
      <c r="I787" s="10">
        <v>45971</v>
      </c>
      <c r="J787" s="4">
        <v>45971.545138888891</v>
      </c>
      <c r="K787" s="4">
        <v>45971.687916666669</v>
      </c>
      <c r="L787" s="11">
        <v>45971.677499999998</v>
      </c>
      <c r="M787" s="10">
        <v>45971</v>
      </c>
      <c r="N787" s="6" t="s">
        <v>129</v>
      </c>
      <c r="O787" t="s">
        <v>157</v>
      </c>
      <c r="P787" s="6" t="s">
        <v>116</v>
      </c>
      <c r="Q787" t="s">
        <v>251</v>
      </c>
      <c r="R787" t="s">
        <v>123</v>
      </c>
      <c r="S787" s="6">
        <v>778005</v>
      </c>
      <c r="T787" s="6" t="s">
        <v>1</v>
      </c>
      <c r="U787">
        <v>217</v>
      </c>
      <c r="V787" s="6">
        <v>3.4</v>
      </c>
      <c r="W787" s="6">
        <v>2</v>
      </c>
      <c r="X787" s="6">
        <v>212.8</v>
      </c>
      <c r="Y787" s="6">
        <v>218.2</v>
      </c>
      <c r="Z787" s="6" t="s">
        <v>112</v>
      </c>
      <c r="AA787" t="s">
        <v>357</v>
      </c>
      <c r="AB787" s="6" t="s">
        <v>75</v>
      </c>
      <c r="AC787" t="s">
        <v>83</v>
      </c>
      <c r="AD787" t="s">
        <v>67</v>
      </c>
      <c r="AE787">
        <v>-15</v>
      </c>
      <c r="AF787">
        <v>0</v>
      </c>
      <c r="AG787">
        <v>0</v>
      </c>
      <c r="AH787" s="6">
        <v>35.9</v>
      </c>
      <c r="AI787" s="6">
        <v>0</v>
      </c>
      <c r="AJ787" s="6">
        <v>0.84099999999999997</v>
      </c>
      <c r="AK787" s="6">
        <v>0.53400000000000003</v>
      </c>
      <c r="AL787" s="8">
        <v>40140.01</v>
      </c>
      <c r="AM787" s="6" t="s">
        <v>155</v>
      </c>
      <c r="AN787" s="6">
        <v>1</v>
      </c>
      <c r="AO787" s="6">
        <v>1</v>
      </c>
      <c r="AP787" s="6">
        <v>0</v>
      </c>
      <c r="AQ787" s="6">
        <v>1</v>
      </c>
      <c r="AR787" s="6">
        <v>0</v>
      </c>
      <c r="AS787" s="6">
        <v>1</v>
      </c>
      <c r="AT787" s="6">
        <v>0</v>
      </c>
      <c r="AU787" s="6">
        <v>2.42</v>
      </c>
      <c r="AV787" s="6">
        <v>1.8</v>
      </c>
      <c r="AW787" s="6">
        <v>175.8</v>
      </c>
      <c r="AX787" s="6">
        <v>44.4</v>
      </c>
      <c r="AY787" s="6">
        <v>111.98</v>
      </c>
      <c r="AZ787" s="6">
        <v>63.5</v>
      </c>
      <c r="BA787" s="6">
        <v>11.6</v>
      </c>
    </row>
    <row r="788" spans="1:53" x14ac:dyDescent="0.3">
      <c r="A788" s="6">
        <v>971339002</v>
      </c>
      <c r="B788" s="6">
        <v>358607</v>
      </c>
      <c r="C788" s="6">
        <v>5727085</v>
      </c>
      <c r="D788" s="6">
        <v>6864</v>
      </c>
      <c r="E788" s="6" t="s">
        <v>84</v>
      </c>
      <c r="F788" s="6">
        <v>57607</v>
      </c>
      <c r="G788" s="6" t="s">
        <v>115</v>
      </c>
      <c r="H788" s="10">
        <v>45679</v>
      </c>
      <c r="I788" s="10">
        <v>45679</v>
      </c>
      <c r="J788" s="4">
        <v>45679.628472222219</v>
      </c>
      <c r="K788" s="4">
        <v>45679.818159722221</v>
      </c>
      <c r="L788" s="11">
        <v>45679.797326388885</v>
      </c>
      <c r="M788" s="10">
        <v>45679</v>
      </c>
      <c r="N788" s="6" t="s">
        <v>150</v>
      </c>
      <c r="O788" t="s">
        <v>311</v>
      </c>
      <c r="P788" s="6" t="s">
        <v>93</v>
      </c>
      <c r="Q788" t="s">
        <v>217</v>
      </c>
      <c r="R788" t="s">
        <v>73</v>
      </c>
      <c r="S788" s="6">
        <v>714141</v>
      </c>
      <c r="T788" s="6" t="s">
        <v>1</v>
      </c>
      <c r="U788">
        <v>228</v>
      </c>
      <c r="V788" s="6">
        <v>7.2</v>
      </c>
      <c r="W788" s="6">
        <v>12.6</v>
      </c>
      <c r="X788" s="6">
        <v>227.2</v>
      </c>
      <c r="Y788" s="6">
        <v>247</v>
      </c>
      <c r="Z788" s="6" t="s">
        <v>63</v>
      </c>
      <c r="AA788" t="s">
        <v>279</v>
      </c>
      <c r="AB788" s="6" t="s">
        <v>90</v>
      </c>
      <c r="AC788" t="s">
        <v>125</v>
      </c>
      <c r="AD788" t="s">
        <v>67</v>
      </c>
      <c r="AE788">
        <v>-30</v>
      </c>
      <c r="AF788">
        <v>0</v>
      </c>
      <c r="AG788">
        <v>0</v>
      </c>
      <c r="AH788" s="6">
        <v>10.3</v>
      </c>
      <c r="AI788" s="6">
        <v>0</v>
      </c>
      <c r="AJ788" s="6">
        <v>0.51400000000000001</v>
      </c>
      <c r="AK788" s="6">
        <v>0.83</v>
      </c>
      <c r="AL788" s="8">
        <v>21151.24</v>
      </c>
      <c r="AM788" s="6" t="s">
        <v>114</v>
      </c>
      <c r="AN788" s="6">
        <v>1</v>
      </c>
      <c r="AO788" s="6">
        <v>1</v>
      </c>
      <c r="AP788" s="6">
        <v>0</v>
      </c>
      <c r="AQ788" s="6">
        <v>1</v>
      </c>
      <c r="AR788" s="6">
        <v>0</v>
      </c>
      <c r="AS788" s="6">
        <v>1</v>
      </c>
      <c r="AT788" s="6">
        <v>0</v>
      </c>
      <c r="AU788" s="6">
        <v>2.14</v>
      </c>
      <c r="AV788" s="6">
        <v>1.24</v>
      </c>
      <c r="AW788" s="6">
        <v>206.89</v>
      </c>
      <c r="AX788" s="6">
        <v>39.090000000000003</v>
      </c>
      <c r="AY788" s="6">
        <v>131.47</v>
      </c>
      <c r="AZ788" s="6">
        <v>7.3</v>
      </c>
      <c r="BA788" s="6">
        <v>42</v>
      </c>
    </row>
    <row r="789" spans="1:53" x14ac:dyDescent="0.3">
      <c r="A789" s="6">
        <v>244796859</v>
      </c>
      <c r="B789" s="6">
        <v>733052</v>
      </c>
      <c r="C789" s="6">
        <v>2642635</v>
      </c>
      <c r="D789" s="6">
        <v>8989</v>
      </c>
      <c r="E789" s="6" t="s">
        <v>84</v>
      </c>
      <c r="F789" s="6">
        <v>54019</v>
      </c>
      <c r="G789" s="6" t="s">
        <v>164</v>
      </c>
      <c r="H789" s="10">
        <v>45736</v>
      </c>
      <c r="I789" s="10">
        <v>45736</v>
      </c>
      <c r="J789" s="4">
        <v>45736.6875</v>
      </c>
      <c r="K789" s="4">
        <v>45737.123182870368</v>
      </c>
      <c r="L789" s="11">
        <v>45737.111377314817</v>
      </c>
      <c r="M789" s="10">
        <v>45737</v>
      </c>
      <c r="N789" s="6" t="s">
        <v>70</v>
      </c>
      <c r="O789" t="s">
        <v>71</v>
      </c>
      <c r="P789" s="6" t="s">
        <v>70</v>
      </c>
      <c r="Q789" t="s">
        <v>152</v>
      </c>
      <c r="R789" t="s">
        <v>73</v>
      </c>
      <c r="S789" s="6">
        <v>733303</v>
      </c>
      <c r="T789" s="6" t="s">
        <v>111</v>
      </c>
      <c r="U789">
        <v>486</v>
      </c>
      <c r="V789" s="6">
        <v>10.4</v>
      </c>
      <c r="W789" s="6">
        <v>9.4</v>
      </c>
      <c r="X789" s="6">
        <v>482.8</v>
      </c>
      <c r="Y789" s="6">
        <v>502.6</v>
      </c>
      <c r="Z789" s="6" t="s">
        <v>2</v>
      </c>
      <c r="AA789" t="s">
        <v>793</v>
      </c>
      <c r="AB789" s="6" t="s">
        <v>90</v>
      </c>
      <c r="AC789" t="s">
        <v>137</v>
      </c>
      <c r="AD789" t="s">
        <v>67</v>
      </c>
      <c r="AE789">
        <v>-17</v>
      </c>
      <c r="AF789">
        <v>96</v>
      </c>
      <c r="AG789">
        <v>0</v>
      </c>
      <c r="AH789" s="6">
        <v>53.3</v>
      </c>
      <c r="AI789" s="6">
        <v>0</v>
      </c>
      <c r="AJ789" s="6">
        <v>0.64200000000000002</v>
      </c>
      <c r="AK789" s="6">
        <v>0.436</v>
      </c>
      <c r="AL789" s="8">
        <v>3851.61</v>
      </c>
      <c r="AM789" s="6" t="s">
        <v>68</v>
      </c>
      <c r="AN789" s="6">
        <v>1</v>
      </c>
      <c r="AO789" s="6">
        <v>1</v>
      </c>
      <c r="AP789" s="6">
        <v>0</v>
      </c>
      <c r="AQ789" s="6">
        <v>1</v>
      </c>
      <c r="AR789" s="6">
        <v>0</v>
      </c>
      <c r="AS789" s="6">
        <v>1</v>
      </c>
      <c r="AT789" s="6">
        <v>0</v>
      </c>
      <c r="AU789" s="6">
        <v>2.29</v>
      </c>
      <c r="AV789" s="6">
        <v>1.37</v>
      </c>
      <c r="AW789" s="6">
        <v>342.92</v>
      </c>
      <c r="AX789" s="6">
        <v>77.55</v>
      </c>
      <c r="AY789" s="6">
        <v>280.85000000000002</v>
      </c>
      <c r="AZ789" s="6">
        <v>11.9</v>
      </c>
      <c r="BA789" s="6">
        <v>16.7</v>
      </c>
    </row>
    <row r="790" spans="1:53" x14ac:dyDescent="0.3">
      <c r="A790" s="6">
        <v>167753684</v>
      </c>
      <c r="B790" s="6">
        <v>688508</v>
      </c>
      <c r="C790" s="6">
        <v>8930103</v>
      </c>
      <c r="D790" s="6">
        <v>3047</v>
      </c>
      <c r="E790" s="6" t="s">
        <v>225</v>
      </c>
      <c r="F790" s="6">
        <v>50815</v>
      </c>
      <c r="G790" s="6" t="s">
        <v>175</v>
      </c>
      <c r="H790" s="10">
        <v>46022</v>
      </c>
      <c r="I790" s="10">
        <v>46022</v>
      </c>
      <c r="J790" s="4">
        <v>46022.253472222219</v>
      </c>
      <c r="K790" s="4">
        <v>46023.005358796298</v>
      </c>
      <c r="L790" s="11">
        <v>46022.994247685187</v>
      </c>
      <c r="M790" s="10">
        <v>46022</v>
      </c>
      <c r="N790" s="6" t="s">
        <v>129</v>
      </c>
      <c r="O790" t="s">
        <v>156</v>
      </c>
      <c r="P790" s="6" t="s">
        <v>129</v>
      </c>
      <c r="Q790" t="s">
        <v>157</v>
      </c>
      <c r="R790" t="s">
        <v>123</v>
      </c>
      <c r="S790" s="6">
        <v>739365</v>
      </c>
      <c r="T790" s="6" t="s">
        <v>140</v>
      </c>
      <c r="U790">
        <v>939</v>
      </c>
      <c r="V790" s="6">
        <v>24.9</v>
      </c>
      <c r="W790" s="6">
        <v>15</v>
      </c>
      <c r="X790" s="6">
        <v>944.4</v>
      </c>
      <c r="Y790" s="6">
        <v>984.3</v>
      </c>
      <c r="Z790" s="6" t="s">
        <v>80</v>
      </c>
      <c r="AA790" t="s">
        <v>794</v>
      </c>
      <c r="AB790" s="6" t="s">
        <v>97</v>
      </c>
      <c r="AC790" t="s">
        <v>125</v>
      </c>
      <c r="AD790" t="s">
        <v>67</v>
      </c>
      <c r="AE790">
        <v>-16</v>
      </c>
      <c r="AF790">
        <v>0</v>
      </c>
      <c r="AG790">
        <v>0</v>
      </c>
      <c r="AH790" s="6">
        <v>77.599999999999994</v>
      </c>
      <c r="AI790" s="6">
        <v>0</v>
      </c>
      <c r="AJ790" s="6">
        <v>0.61199999999999999</v>
      </c>
      <c r="AK790" s="6">
        <v>0.63600000000000001</v>
      </c>
      <c r="AL790" s="8">
        <v>4467.92</v>
      </c>
      <c r="AM790" s="6" t="s">
        <v>68</v>
      </c>
      <c r="AN790" s="6">
        <v>1</v>
      </c>
      <c r="AO790" s="6">
        <v>1</v>
      </c>
      <c r="AP790" s="6">
        <v>0</v>
      </c>
      <c r="AQ790" s="6">
        <v>1</v>
      </c>
      <c r="AR790" s="6">
        <v>0</v>
      </c>
      <c r="AS790" s="6">
        <v>1</v>
      </c>
      <c r="AT790" s="6">
        <v>0</v>
      </c>
      <c r="AU790" s="6">
        <v>2.38</v>
      </c>
      <c r="AV790" s="6">
        <v>1.8</v>
      </c>
      <c r="AW790" s="6">
        <v>892.33</v>
      </c>
      <c r="AX790" s="6">
        <v>156.79</v>
      </c>
      <c r="AY790" s="6">
        <v>647.20000000000005</v>
      </c>
      <c r="AZ790" s="6">
        <v>4</v>
      </c>
      <c r="BA790" s="6">
        <v>58.6</v>
      </c>
    </row>
    <row r="791" spans="1:53" x14ac:dyDescent="0.3">
      <c r="A791" s="6">
        <v>868847524</v>
      </c>
      <c r="B791" s="6">
        <v>823378</v>
      </c>
      <c r="C791" s="6">
        <v>8053918</v>
      </c>
      <c r="D791" s="6">
        <v>5735</v>
      </c>
      <c r="E791" s="6" t="s">
        <v>101</v>
      </c>
      <c r="F791" s="6">
        <v>57255</v>
      </c>
      <c r="G791" s="6" t="s">
        <v>175</v>
      </c>
      <c r="H791" s="10">
        <v>45816</v>
      </c>
      <c r="I791" s="10">
        <v>45816</v>
      </c>
      <c r="J791" s="4">
        <v>45816.295138888891</v>
      </c>
      <c r="K791" s="4">
        <v>45816.414849537039</v>
      </c>
      <c r="L791" s="11">
        <v>45816.396793981483</v>
      </c>
      <c r="M791" s="10">
        <v>45816</v>
      </c>
      <c r="N791" s="6" t="s">
        <v>176</v>
      </c>
      <c r="O791" t="s">
        <v>227</v>
      </c>
      <c r="P791" s="6" t="s">
        <v>59</v>
      </c>
      <c r="Q791" t="s">
        <v>60</v>
      </c>
      <c r="R791" t="s">
        <v>62</v>
      </c>
      <c r="S791" s="6">
        <v>785905</v>
      </c>
      <c r="T791" s="6" t="s">
        <v>1</v>
      </c>
      <c r="U791">
        <v>133</v>
      </c>
      <c r="V791" s="6">
        <v>26</v>
      </c>
      <c r="W791" s="6">
        <v>25.8</v>
      </c>
      <c r="X791" s="6">
        <v>129.6</v>
      </c>
      <c r="Y791" s="6">
        <v>181.4</v>
      </c>
      <c r="Z791" s="6" t="s">
        <v>63</v>
      </c>
      <c r="AA791" t="s">
        <v>795</v>
      </c>
      <c r="AB791" s="6" t="s">
        <v>97</v>
      </c>
      <c r="AC791" t="s">
        <v>91</v>
      </c>
      <c r="AD791" t="s">
        <v>67</v>
      </c>
      <c r="AE791">
        <v>-26</v>
      </c>
      <c r="AF791">
        <v>79</v>
      </c>
      <c r="AG791">
        <v>0</v>
      </c>
      <c r="AH791" s="6">
        <v>48.3</v>
      </c>
      <c r="AI791" s="6">
        <v>0</v>
      </c>
      <c r="AJ791" s="6">
        <v>0.57499999999999996</v>
      </c>
      <c r="AK791" s="6">
        <v>0.52900000000000003</v>
      </c>
      <c r="AL791" s="8">
        <v>2571.61</v>
      </c>
      <c r="AM791" s="6" t="s">
        <v>68</v>
      </c>
      <c r="AN791" s="6">
        <v>1</v>
      </c>
      <c r="AO791" s="6">
        <v>1</v>
      </c>
      <c r="AP791" s="6">
        <v>0</v>
      </c>
      <c r="AQ791" s="6">
        <v>1</v>
      </c>
      <c r="AR791" s="6">
        <v>0</v>
      </c>
      <c r="AS791" s="6">
        <v>1</v>
      </c>
      <c r="AT791" s="6">
        <v>0</v>
      </c>
      <c r="AU791" s="6">
        <v>2.31</v>
      </c>
      <c r="AV791" s="6">
        <v>1.77</v>
      </c>
      <c r="AW791" s="6">
        <v>112.91</v>
      </c>
      <c r="AX791" s="6">
        <v>21.91</v>
      </c>
      <c r="AY791" s="6">
        <v>89.72</v>
      </c>
      <c r="AZ791" s="6">
        <v>9.6999999999999993</v>
      </c>
      <c r="BA791" s="6">
        <v>32.700000000000003</v>
      </c>
    </row>
    <row r="792" spans="1:53" x14ac:dyDescent="0.3">
      <c r="A792" s="6">
        <v>933428091</v>
      </c>
      <c r="B792" s="6">
        <v>388389</v>
      </c>
      <c r="C792" s="6">
        <v>4769795</v>
      </c>
      <c r="D792" s="6">
        <v>6734</v>
      </c>
      <c r="E792" s="6" t="s">
        <v>106</v>
      </c>
      <c r="F792" s="6">
        <v>50922</v>
      </c>
      <c r="G792" s="6" t="s">
        <v>115</v>
      </c>
      <c r="H792" s="10">
        <v>45914</v>
      </c>
      <c r="I792" s="10">
        <v>45914</v>
      </c>
      <c r="J792" s="4">
        <v>45914.625</v>
      </c>
      <c r="K792" s="4">
        <v>45915.320879629631</v>
      </c>
      <c r="L792" s="11">
        <v>45915.5312962963</v>
      </c>
      <c r="M792" s="10">
        <v>45915</v>
      </c>
      <c r="N792" s="6" t="s">
        <v>103</v>
      </c>
      <c r="O792" t="s">
        <v>204</v>
      </c>
      <c r="P792" s="6" t="s">
        <v>109</v>
      </c>
      <c r="Q792" t="s">
        <v>198</v>
      </c>
      <c r="R792" t="s">
        <v>88</v>
      </c>
      <c r="S792" s="6">
        <v>702500</v>
      </c>
      <c r="T792" s="6" t="s">
        <v>140</v>
      </c>
      <c r="U792">
        <v>886</v>
      </c>
      <c r="V792" s="6">
        <v>40</v>
      </c>
      <c r="W792" s="6">
        <v>8.6</v>
      </c>
      <c r="X792" s="6">
        <v>886.3</v>
      </c>
      <c r="Y792" s="6">
        <v>934.9</v>
      </c>
      <c r="Z792" s="6" t="s">
        <v>63</v>
      </c>
      <c r="AA792" t="s">
        <v>796</v>
      </c>
      <c r="AB792" s="6" t="s">
        <v>90</v>
      </c>
      <c r="AC792" t="s">
        <v>91</v>
      </c>
      <c r="AD792" t="s">
        <v>188</v>
      </c>
      <c r="AE792">
        <v>303</v>
      </c>
      <c r="AF792">
        <v>0</v>
      </c>
      <c r="AG792">
        <v>3.6</v>
      </c>
      <c r="AH792" s="6">
        <v>40.700000000000003</v>
      </c>
      <c r="AI792" s="6">
        <v>0</v>
      </c>
      <c r="AJ792" s="6">
        <v>0.376</v>
      </c>
      <c r="AK792" s="6">
        <v>0.65500000000000003</v>
      </c>
      <c r="AL792" s="8">
        <v>21514.29</v>
      </c>
      <c r="AM792" s="6" t="s">
        <v>114</v>
      </c>
      <c r="AN792" s="6">
        <v>1</v>
      </c>
      <c r="AO792" s="6">
        <v>0</v>
      </c>
      <c r="AP792" s="6">
        <v>1</v>
      </c>
      <c r="AQ792" s="6">
        <v>0</v>
      </c>
      <c r="AR792" s="6">
        <v>1</v>
      </c>
      <c r="AS792" s="6">
        <v>0</v>
      </c>
      <c r="AT792" s="6">
        <v>1</v>
      </c>
      <c r="AU792" s="6">
        <v>2.4700000000000002</v>
      </c>
      <c r="AV792" s="6">
        <v>1.62</v>
      </c>
      <c r="AW792" s="6">
        <v>775.98</v>
      </c>
      <c r="AX792" s="6">
        <v>163.9</v>
      </c>
      <c r="AY792" s="6">
        <v>632.84</v>
      </c>
      <c r="AZ792" s="6">
        <v>34.1</v>
      </c>
      <c r="BA792" s="6">
        <v>19.100000000000001</v>
      </c>
    </row>
    <row r="793" spans="1:53" x14ac:dyDescent="0.3">
      <c r="A793" s="6">
        <v>591429705</v>
      </c>
      <c r="B793" s="6">
        <v>260263</v>
      </c>
      <c r="C793" s="6">
        <v>5674183</v>
      </c>
      <c r="D793" s="6">
        <v>5736</v>
      </c>
      <c r="E793" s="6" t="s">
        <v>185</v>
      </c>
      <c r="F793" s="6">
        <v>54867</v>
      </c>
      <c r="G793" s="6" t="s">
        <v>149</v>
      </c>
      <c r="H793" s="10">
        <v>45724</v>
      </c>
      <c r="I793" s="10">
        <v>45724</v>
      </c>
      <c r="J793" s="4">
        <v>45724.538194444445</v>
      </c>
      <c r="K793" s="4">
        <v>45724.835787037038</v>
      </c>
      <c r="L793" s="11">
        <v>45724.79550925926</v>
      </c>
      <c r="M793" s="10">
        <v>45724</v>
      </c>
      <c r="N793" s="6" t="s">
        <v>70</v>
      </c>
      <c r="O793" t="s">
        <v>138</v>
      </c>
      <c r="P793" s="6" t="s">
        <v>109</v>
      </c>
      <c r="Q793" t="s">
        <v>193</v>
      </c>
      <c r="R793" t="s">
        <v>88</v>
      </c>
      <c r="S793" s="6">
        <v>795672</v>
      </c>
      <c r="T793" s="6" t="s">
        <v>111</v>
      </c>
      <c r="U793">
        <v>390</v>
      </c>
      <c r="V793" s="6">
        <v>11.9</v>
      </c>
      <c r="W793" s="6">
        <v>44.5</v>
      </c>
      <c r="X793" s="6">
        <v>386</v>
      </c>
      <c r="Y793" s="6">
        <v>442.4</v>
      </c>
      <c r="Z793" s="6" t="s">
        <v>2</v>
      </c>
      <c r="AA793" t="s">
        <v>666</v>
      </c>
      <c r="AB793" s="6" t="s">
        <v>75</v>
      </c>
      <c r="AC793" t="s">
        <v>76</v>
      </c>
      <c r="AD793" t="s">
        <v>67</v>
      </c>
      <c r="AE793">
        <v>-58</v>
      </c>
      <c r="AF793">
        <v>0</v>
      </c>
      <c r="AG793">
        <v>0</v>
      </c>
      <c r="AH793" s="6">
        <v>23</v>
      </c>
      <c r="AI793" s="6">
        <v>0</v>
      </c>
      <c r="AJ793" s="6">
        <v>0.78800000000000003</v>
      </c>
      <c r="AK793" s="6">
        <v>0.69</v>
      </c>
      <c r="AL793" s="8">
        <v>22655.88</v>
      </c>
      <c r="AM793" s="6" t="s">
        <v>114</v>
      </c>
      <c r="AN793" s="6">
        <v>1</v>
      </c>
      <c r="AO793" s="6">
        <v>1</v>
      </c>
      <c r="AP793" s="6">
        <v>0</v>
      </c>
      <c r="AQ793" s="6">
        <v>1</v>
      </c>
      <c r="AR793" s="6">
        <v>0</v>
      </c>
      <c r="AS793" s="6">
        <v>1</v>
      </c>
      <c r="AT793" s="6">
        <v>0</v>
      </c>
      <c r="AU793" s="6">
        <v>2.3199999999999998</v>
      </c>
      <c r="AV793" s="6">
        <v>1.83</v>
      </c>
      <c r="AW793" s="6">
        <v>312.91000000000003</v>
      </c>
      <c r="AX793" s="6">
        <v>87.13</v>
      </c>
      <c r="AY793" s="6">
        <v>240.22</v>
      </c>
      <c r="AZ793" s="6">
        <v>30.8</v>
      </c>
      <c r="BA793" s="6">
        <v>31.2</v>
      </c>
    </row>
    <row r="794" spans="1:53" x14ac:dyDescent="0.3">
      <c r="A794" s="6">
        <v>139711044</v>
      </c>
      <c r="B794" s="6">
        <v>982554</v>
      </c>
      <c r="C794" s="6">
        <v>4740036</v>
      </c>
      <c r="D794" s="6">
        <v>3976</v>
      </c>
      <c r="E794" s="6" t="s">
        <v>84</v>
      </c>
      <c r="F794" s="6">
        <v>51264</v>
      </c>
      <c r="G794" s="6" t="s">
        <v>203</v>
      </c>
      <c r="H794" s="10">
        <v>45880</v>
      </c>
      <c r="I794" s="10">
        <v>45880</v>
      </c>
      <c r="J794" s="4">
        <v>45880.333333333336</v>
      </c>
      <c r="K794" s="4">
        <v>45880.836446759262</v>
      </c>
      <c r="L794" s="11">
        <v>45880.830891203703</v>
      </c>
      <c r="M794" s="10">
        <v>45880</v>
      </c>
      <c r="N794" s="6" t="s">
        <v>116</v>
      </c>
      <c r="O794" t="s">
        <v>128</v>
      </c>
      <c r="P794" s="6" t="s">
        <v>170</v>
      </c>
      <c r="Q794" t="s">
        <v>189</v>
      </c>
      <c r="R794" t="s">
        <v>62</v>
      </c>
      <c r="S794" s="6">
        <v>712499</v>
      </c>
      <c r="T794" s="6" t="s">
        <v>140</v>
      </c>
      <c r="U794">
        <v>647</v>
      </c>
      <c r="V794" s="6">
        <v>54</v>
      </c>
      <c r="W794" s="6">
        <v>23.2</v>
      </c>
      <c r="X794" s="6">
        <v>660.2</v>
      </c>
      <c r="Y794" s="6">
        <v>737.4</v>
      </c>
      <c r="Z794" s="6" t="s">
        <v>63</v>
      </c>
      <c r="AA794" t="s">
        <v>797</v>
      </c>
      <c r="AB794" s="6" t="s">
        <v>97</v>
      </c>
      <c r="AC794" t="s">
        <v>83</v>
      </c>
      <c r="AD794" t="s">
        <v>67</v>
      </c>
      <c r="AE794">
        <v>-8</v>
      </c>
      <c r="AF794">
        <v>0</v>
      </c>
      <c r="AG794">
        <v>0</v>
      </c>
      <c r="AH794" s="6">
        <v>8.3000000000000007</v>
      </c>
      <c r="AI794" s="6">
        <v>0</v>
      </c>
      <c r="AJ794" s="6">
        <v>0.55700000000000005</v>
      </c>
      <c r="AK794" s="6">
        <v>0.71499999999999997</v>
      </c>
      <c r="AL794" s="8">
        <v>5090.5</v>
      </c>
      <c r="AM794" s="6" t="s">
        <v>68</v>
      </c>
      <c r="AN794" s="6">
        <v>1</v>
      </c>
      <c r="AO794" s="6">
        <v>1</v>
      </c>
      <c r="AP794" s="6">
        <v>0</v>
      </c>
      <c r="AQ794" s="6">
        <v>1</v>
      </c>
      <c r="AR794" s="6">
        <v>0</v>
      </c>
      <c r="AS794" s="6">
        <v>1</v>
      </c>
      <c r="AT794" s="6">
        <v>0</v>
      </c>
      <c r="AU794" s="6">
        <v>2.14</v>
      </c>
      <c r="AV794" s="6">
        <v>1.38</v>
      </c>
      <c r="AW794" s="6">
        <v>563.04</v>
      </c>
      <c r="AX794" s="6">
        <v>147.81</v>
      </c>
      <c r="AY794" s="6">
        <v>462.51</v>
      </c>
      <c r="AZ794" s="6">
        <v>44.5</v>
      </c>
      <c r="BA794" s="6">
        <v>13.1</v>
      </c>
    </row>
    <row r="795" spans="1:53" x14ac:dyDescent="0.3">
      <c r="A795" s="6">
        <v>415081566</v>
      </c>
      <c r="B795" s="6">
        <v>705397</v>
      </c>
      <c r="C795" s="6">
        <v>5449368</v>
      </c>
      <c r="D795" s="6">
        <v>5859</v>
      </c>
      <c r="E795" s="6" t="s">
        <v>84</v>
      </c>
      <c r="F795" s="6">
        <v>53724</v>
      </c>
      <c r="G795" s="6" t="s">
        <v>164</v>
      </c>
      <c r="H795" s="10">
        <v>45923</v>
      </c>
      <c r="I795" s="10">
        <v>45923</v>
      </c>
      <c r="J795" s="4">
        <v>45923.513888888891</v>
      </c>
      <c r="K795" s="4">
        <v>45923.913321759261</v>
      </c>
      <c r="L795" s="11">
        <v>45923.996655092589</v>
      </c>
      <c r="M795" s="10">
        <v>45923</v>
      </c>
      <c r="N795" s="6" t="s">
        <v>150</v>
      </c>
      <c r="O795" t="s">
        <v>151</v>
      </c>
      <c r="P795" s="6" t="s">
        <v>150</v>
      </c>
      <c r="Q795" t="s">
        <v>311</v>
      </c>
      <c r="R795" t="s">
        <v>73</v>
      </c>
      <c r="S795" s="6">
        <v>710286</v>
      </c>
      <c r="T795" s="6" t="s">
        <v>140</v>
      </c>
      <c r="U795">
        <v>508</v>
      </c>
      <c r="V795" s="6">
        <v>35</v>
      </c>
      <c r="W795" s="6">
        <v>0.7</v>
      </c>
      <c r="X795" s="6">
        <v>511.8</v>
      </c>
      <c r="Y795" s="6">
        <v>547.5</v>
      </c>
      <c r="Z795" s="6" t="s">
        <v>2</v>
      </c>
      <c r="AA795" t="s">
        <v>798</v>
      </c>
      <c r="AB795" s="6" t="s">
        <v>75</v>
      </c>
      <c r="AC795" t="s">
        <v>66</v>
      </c>
      <c r="AD795" t="s">
        <v>206</v>
      </c>
      <c r="AE795">
        <v>120</v>
      </c>
      <c r="AF795">
        <v>238</v>
      </c>
      <c r="AG795">
        <v>0</v>
      </c>
      <c r="AH795" s="6">
        <v>47.4</v>
      </c>
      <c r="AI795" s="6">
        <v>0</v>
      </c>
      <c r="AJ795" s="6">
        <v>0.81499999999999995</v>
      </c>
      <c r="AK795" s="6">
        <v>0.90800000000000003</v>
      </c>
      <c r="AL795" s="8">
        <v>5343.33</v>
      </c>
      <c r="AM795" s="6" t="s">
        <v>68</v>
      </c>
      <c r="AN795" s="6">
        <v>1</v>
      </c>
      <c r="AO795" s="6">
        <v>0</v>
      </c>
      <c r="AP795" s="6">
        <v>1</v>
      </c>
      <c r="AQ795" s="6">
        <v>0</v>
      </c>
      <c r="AR795" s="6">
        <v>1</v>
      </c>
      <c r="AS795" s="6">
        <v>0</v>
      </c>
      <c r="AT795" s="6">
        <v>1</v>
      </c>
      <c r="AU795" s="6">
        <v>2.42</v>
      </c>
      <c r="AV795" s="6">
        <v>1.88</v>
      </c>
      <c r="AW795" s="6">
        <v>433.05</v>
      </c>
      <c r="AX795" s="6">
        <v>56.75</v>
      </c>
      <c r="AY795" s="6">
        <v>335.43</v>
      </c>
      <c r="AZ795" s="6">
        <v>11.4</v>
      </c>
      <c r="BA795" s="6">
        <v>34.1</v>
      </c>
    </row>
    <row r="796" spans="1:53" x14ac:dyDescent="0.3">
      <c r="A796" s="6">
        <v>316456682</v>
      </c>
      <c r="B796" s="6">
        <v>331148</v>
      </c>
      <c r="C796" s="6">
        <v>8231838</v>
      </c>
      <c r="D796" s="6">
        <v>8734</v>
      </c>
      <c r="E796" s="6" t="s">
        <v>84</v>
      </c>
      <c r="F796" s="6">
        <v>52722</v>
      </c>
      <c r="G796" s="6" t="s">
        <v>77</v>
      </c>
      <c r="H796" s="10">
        <v>45772</v>
      </c>
      <c r="I796" s="10">
        <v>45772</v>
      </c>
      <c r="J796" s="4">
        <v>45772.253472222219</v>
      </c>
      <c r="K796" s="4">
        <v>45772.469814814816</v>
      </c>
      <c r="L796" s="11">
        <v>45772.473287037035</v>
      </c>
      <c r="M796" s="10">
        <v>45772</v>
      </c>
      <c r="N796" s="6" t="s">
        <v>200</v>
      </c>
      <c r="O796" t="s">
        <v>201</v>
      </c>
      <c r="P796" s="6" t="s">
        <v>150</v>
      </c>
      <c r="Q796" t="s">
        <v>311</v>
      </c>
      <c r="R796" t="s">
        <v>73</v>
      </c>
      <c r="S796" s="6">
        <v>718526</v>
      </c>
      <c r="T796" s="6" t="s">
        <v>1</v>
      </c>
      <c r="U796">
        <v>209</v>
      </c>
      <c r="V796" s="6">
        <v>37.9</v>
      </c>
      <c r="W796" s="6">
        <v>8.1999999999999993</v>
      </c>
      <c r="X796" s="6">
        <v>212.5</v>
      </c>
      <c r="Y796" s="6">
        <v>258.60000000000002</v>
      </c>
      <c r="Z796" s="6" t="s">
        <v>63</v>
      </c>
      <c r="AA796" t="s">
        <v>387</v>
      </c>
      <c r="AB796" s="6" t="s">
        <v>97</v>
      </c>
      <c r="AC796" t="s">
        <v>154</v>
      </c>
      <c r="AD796" t="s">
        <v>67</v>
      </c>
      <c r="AE796">
        <v>5</v>
      </c>
      <c r="AF796">
        <v>0</v>
      </c>
      <c r="AG796">
        <v>0</v>
      </c>
      <c r="AH796" s="6">
        <v>59.1</v>
      </c>
      <c r="AI796" s="6">
        <v>0</v>
      </c>
      <c r="AJ796" s="6">
        <v>0.54100000000000004</v>
      </c>
      <c r="AK796" s="6">
        <v>0.46400000000000002</v>
      </c>
      <c r="AL796" s="8">
        <v>14673.08</v>
      </c>
      <c r="AM796" s="6" t="s">
        <v>114</v>
      </c>
      <c r="AN796" s="6">
        <v>1</v>
      </c>
      <c r="AO796" s="6">
        <v>1</v>
      </c>
      <c r="AP796" s="6">
        <v>0</v>
      </c>
      <c r="AQ796" s="6">
        <v>1</v>
      </c>
      <c r="AR796" s="6">
        <v>0</v>
      </c>
      <c r="AS796" s="6">
        <v>1</v>
      </c>
      <c r="AT796" s="6">
        <v>0</v>
      </c>
      <c r="AU796" s="6">
        <v>2.0499999999999998</v>
      </c>
      <c r="AV796" s="6">
        <v>1.38</v>
      </c>
      <c r="AW796" s="6">
        <v>203.89</v>
      </c>
      <c r="AX796" s="6">
        <v>48.05</v>
      </c>
      <c r="AY796" s="6">
        <v>133.69</v>
      </c>
      <c r="AZ796" s="6">
        <v>5.8</v>
      </c>
      <c r="BA796" s="6">
        <v>18.2</v>
      </c>
    </row>
    <row r="797" spans="1:53" x14ac:dyDescent="0.3">
      <c r="A797" s="6">
        <v>147036629</v>
      </c>
      <c r="B797" s="6">
        <v>106814</v>
      </c>
      <c r="C797" s="6">
        <v>1908841</v>
      </c>
      <c r="D797" s="6">
        <v>9838</v>
      </c>
      <c r="E797" s="6" t="s">
        <v>225</v>
      </c>
      <c r="F797" s="6">
        <v>55355</v>
      </c>
      <c r="G797" s="6" t="s">
        <v>203</v>
      </c>
      <c r="H797" s="10">
        <v>45960</v>
      </c>
      <c r="I797" s="10">
        <v>45960</v>
      </c>
      <c r="J797" s="4">
        <v>45960.284722222219</v>
      </c>
      <c r="K797" s="4">
        <v>45960.369745370372</v>
      </c>
      <c r="L797" s="11">
        <v>45960.419050925928</v>
      </c>
      <c r="M797" s="10">
        <v>45960</v>
      </c>
      <c r="N797" s="6" t="s">
        <v>200</v>
      </c>
      <c r="O797" t="s">
        <v>275</v>
      </c>
      <c r="P797" s="6" t="s">
        <v>129</v>
      </c>
      <c r="Q797" t="s">
        <v>156</v>
      </c>
      <c r="R797" t="s">
        <v>123</v>
      </c>
      <c r="S797" s="6">
        <v>738337</v>
      </c>
      <c r="T797" s="6" t="s">
        <v>3</v>
      </c>
      <c r="U797">
        <v>51</v>
      </c>
      <c r="V797" s="6">
        <v>21</v>
      </c>
      <c r="W797" s="6">
        <v>43.3</v>
      </c>
      <c r="X797" s="6">
        <v>55.2</v>
      </c>
      <c r="Y797" s="6">
        <v>119.5</v>
      </c>
      <c r="Z797" s="6" t="s">
        <v>112</v>
      </c>
      <c r="AA797" t="s">
        <v>799</v>
      </c>
      <c r="AB797" s="6" t="s">
        <v>97</v>
      </c>
      <c r="AC797" t="s">
        <v>137</v>
      </c>
      <c r="AD797" t="s">
        <v>206</v>
      </c>
      <c r="AE797">
        <v>71</v>
      </c>
      <c r="AF797">
        <v>288</v>
      </c>
      <c r="AG797">
        <v>0</v>
      </c>
      <c r="AH797" s="6">
        <v>45</v>
      </c>
      <c r="AI797" s="6">
        <v>0</v>
      </c>
      <c r="AJ797" s="6">
        <v>0.90100000000000002</v>
      </c>
      <c r="AK797" s="6">
        <v>0.434</v>
      </c>
      <c r="AL797" s="8">
        <v>11263.38</v>
      </c>
      <c r="AM797" s="6" t="s">
        <v>114</v>
      </c>
      <c r="AN797" s="6">
        <v>1</v>
      </c>
      <c r="AO797" s="6">
        <v>0</v>
      </c>
      <c r="AP797" s="6">
        <v>1</v>
      </c>
      <c r="AQ797" s="6">
        <v>0</v>
      </c>
      <c r="AR797" s="6">
        <v>1</v>
      </c>
      <c r="AS797" s="6">
        <v>0</v>
      </c>
      <c r="AT797" s="6">
        <v>1</v>
      </c>
      <c r="AU797" s="6">
        <v>2.4</v>
      </c>
      <c r="AV797" s="6">
        <v>1.69</v>
      </c>
      <c r="AW797" s="6">
        <v>101.92</v>
      </c>
      <c r="AX797" s="6">
        <v>13.26</v>
      </c>
      <c r="AY797" s="6">
        <v>65.599999999999994</v>
      </c>
      <c r="AZ797" s="6">
        <v>9.1999999999999993</v>
      </c>
      <c r="BA797" s="6">
        <v>60.9</v>
      </c>
    </row>
    <row r="798" spans="1:53" x14ac:dyDescent="0.3">
      <c r="A798" s="6">
        <v>949447049</v>
      </c>
      <c r="B798" s="6">
        <v>654816</v>
      </c>
      <c r="C798" s="6">
        <v>7117837</v>
      </c>
      <c r="D798" s="6">
        <v>2707</v>
      </c>
      <c r="E798" s="6" t="s">
        <v>84</v>
      </c>
      <c r="F798" s="6">
        <v>52550</v>
      </c>
      <c r="G798" s="6" t="s">
        <v>146</v>
      </c>
      <c r="H798" s="10">
        <v>45878</v>
      </c>
      <c r="I798" s="10">
        <v>45878</v>
      </c>
      <c r="J798" s="4">
        <v>45878.746527777781</v>
      </c>
      <c r="K798" s="4">
        <v>45878.824317129627</v>
      </c>
      <c r="L798" s="11">
        <v>45878.82640046296</v>
      </c>
      <c r="M798" s="10">
        <v>45878</v>
      </c>
      <c r="N798" s="6" t="s">
        <v>176</v>
      </c>
      <c r="O798" t="s">
        <v>355</v>
      </c>
      <c r="P798" s="6" t="s">
        <v>176</v>
      </c>
      <c r="Q798" t="s">
        <v>292</v>
      </c>
      <c r="R798" t="s">
        <v>88</v>
      </c>
      <c r="S798" s="6">
        <v>745653</v>
      </c>
      <c r="T798" s="6" t="s">
        <v>3</v>
      </c>
      <c r="U798">
        <v>42</v>
      </c>
      <c r="V798" s="6">
        <v>37</v>
      </c>
      <c r="W798" s="6">
        <v>30.1</v>
      </c>
      <c r="X798" s="6">
        <v>39.6</v>
      </c>
      <c r="Y798" s="6">
        <v>106.7</v>
      </c>
      <c r="Z798" s="6" t="s">
        <v>63</v>
      </c>
      <c r="AA798" t="s">
        <v>800</v>
      </c>
      <c r="AB798" s="6" t="s">
        <v>90</v>
      </c>
      <c r="AC798" t="s">
        <v>76</v>
      </c>
      <c r="AD798" t="s">
        <v>67</v>
      </c>
      <c r="AE798">
        <v>3</v>
      </c>
      <c r="AF798">
        <v>0</v>
      </c>
      <c r="AG798">
        <v>0</v>
      </c>
      <c r="AH798" s="6">
        <v>67</v>
      </c>
      <c r="AI798" s="6">
        <v>0</v>
      </c>
      <c r="AJ798" s="6">
        <v>0.86399999999999999</v>
      </c>
      <c r="AK798" s="6">
        <v>0.71099999999999997</v>
      </c>
      <c r="AL798" s="8">
        <v>1434.55</v>
      </c>
      <c r="AM798" s="6" t="s">
        <v>68</v>
      </c>
      <c r="AN798" s="6">
        <v>1</v>
      </c>
      <c r="AO798" s="6">
        <v>1</v>
      </c>
      <c r="AP798" s="6">
        <v>0</v>
      </c>
      <c r="AQ798" s="6">
        <v>1</v>
      </c>
      <c r="AR798" s="6">
        <v>0</v>
      </c>
      <c r="AS798" s="6">
        <v>1</v>
      </c>
      <c r="AT798" s="6">
        <v>0</v>
      </c>
      <c r="AU798" s="6">
        <v>2.2200000000000002</v>
      </c>
      <c r="AV798" s="6">
        <v>1.6</v>
      </c>
      <c r="AW798" s="6">
        <v>92.52</v>
      </c>
      <c r="AX798" s="6">
        <v>23.05</v>
      </c>
      <c r="AY798" s="6">
        <v>58.79</v>
      </c>
      <c r="AZ798" s="6">
        <v>8.9</v>
      </c>
      <c r="BA798" s="6">
        <v>0</v>
      </c>
    </row>
    <row r="799" spans="1:53" x14ac:dyDescent="0.3">
      <c r="A799" s="6">
        <v>314179101</v>
      </c>
      <c r="B799" s="6">
        <v>634277</v>
      </c>
      <c r="C799" s="6">
        <v>1059486</v>
      </c>
      <c r="D799" s="6">
        <v>6232</v>
      </c>
      <c r="E799" s="6" t="s">
        <v>106</v>
      </c>
      <c r="F799" s="6">
        <v>55319</v>
      </c>
      <c r="G799" s="6" t="s">
        <v>77</v>
      </c>
      <c r="H799" s="10">
        <v>45800</v>
      </c>
      <c r="I799" s="10">
        <v>45800</v>
      </c>
      <c r="J799" s="4">
        <v>45800.638888888891</v>
      </c>
      <c r="K799" s="4">
        <v>45800.897916666669</v>
      </c>
      <c r="L799" s="11">
        <v>45800.873611111114</v>
      </c>
      <c r="M799" s="10">
        <v>45800</v>
      </c>
      <c r="N799" s="6" t="s">
        <v>103</v>
      </c>
      <c r="O799" t="s">
        <v>104</v>
      </c>
      <c r="P799" s="6" t="s">
        <v>103</v>
      </c>
      <c r="Q799" t="s">
        <v>99</v>
      </c>
      <c r="R799" t="s">
        <v>73</v>
      </c>
      <c r="S799" s="6">
        <v>783084</v>
      </c>
      <c r="T799" s="6" t="s">
        <v>1</v>
      </c>
      <c r="U799">
        <v>254</v>
      </c>
      <c r="V799" s="6">
        <v>4.0999999999999996</v>
      </c>
      <c r="W799" s="6">
        <v>7.6</v>
      </c>
      <c r="X799" s="6">
        <v>263.10000000000002</v>
      </c>
      <c r="Y799" s="6">
        <v>274.8</v>
      </c>
      <c r="Z799" s="6" t="s">
        <v>63</v>
      </c>
      <c r="AA799" t="s">
        <v>801</v>
      </c>
      <c r="AB799" s="6" t="s">
        <v>90</v>
      </c>
      <c r="AC799" t="s">
        <v>154</v>
      </c>
      <c r="AD799" t="s">
        <v>67</v>
      </c>
      <c r="AE799">
        <v>-35</v>
      </c>
      <c r="AF799">
        <v>0</v>
      </c>
      <c r="AG799">
        <v>0</v>
      </c>
      <c r="AH799" s="6">
        <v>35.6</v>
      </c>
      <c r="AI799" s="6">
        <v>0</v>
      </c>
      <c r="AJ799" s="6">
        <v>0.68400000000000005</v>
      </c>
      <c r="AK799" s="6">
        <v>0.56899999999999995</v>
      </c>
      <c r="AL799" s="8">
        <v>1211.1199999999999</v>
      </c>
      <c r="AM799" s="6" t="s">
        <v>68</v>
      </c>
      <c r="AN799" s="6">
        <v>1</v>
      </c>
      <c r="AO799" s="6">
        <v>1</v>
      </c>
      <c r="AP799" s="6">
        <v>0</v>
      </c>
      <c r="AQ799" s="6">
        <v>1</v>
      </c>
      <c r="AR799" s="6">
        <v>0</v>
      </c>
      <c r="AS799" s="6">
        <v>1</v>
      </c>
      <c r="AT799" s="6">
        <v>0</v>
      </c>
      <c r="AU799" s="6">
        <v>2.17</v>
      </c>
      <c r="AV799" s="6">
        <v>1.32</v>
      </c>
      <c r="AW799" s="6">
        <v>176.42</v>
      </c>
      <c r="AX799" s="6">
        <v>43.38</v>
      </c>
      <c r="AY799" s="6">
        <v>173.05</v>
      </c>
      <c r="AZ799" s="6">
        <v>4.7</v>
      </c>
      <c r="BA799" s="6">
        <v>47.3</v>
      </c>
    </row>
    <row r="800" spans="1:53" x14ac:dyDescent="0.3">
      <c r="A800" s="6">
        <v>144996163</v>
      </c>
      <c r="B800" s="6">
        <v>211579</v>
      </c>
      <c r="C800" s="6">
        <v>6866294</v>
      </c>
      <c r="D800" s="6">
        <v>2734</v>
      </c>
      <c r="E800" s="6" t="s">
        <v>225</v>
      </c>
      <c r="F800" s="6">
        <v>56686</v>
      </c>
      <c r="G800" s="6" t="s">
        <v>77</v>
      </c>
      <c r="H800" s="10">
        <v>45861</v>
      </c>
      <c r="I800" s="10">
        <v>45861</v>
      </c>
      <c r="J800" s="4">
        <v>45861.40625</v>
      </c>
      <c r="K800" s="4">
        <v>45861.704699074071</v>
      </c>
      <c r="L800" s="11">
        <v>45861.697060185186</v>
      </c>
      <c r="M800" s="10">
        <v>45861</v>
      </c>
      <c r="N800" s="6" t="s">
        <v>170</v>
      </c>
      <c r="O800" t="s">
        <v>269</v>
      </c>
      <c r="P800" s="6" t="s">
        <v>70</v>
      </c>
      <c r="Q800" t="s">
        <v>152</v>
      </c>
      <c r="R800" t="s">
        <v>73</v>
      </c>
      <c r="S800" s="6">
        <v>705699</v>
      </c>
      <c r="T800" s="6" t="s">
        <v>1</v>
      </c>
      <c r="U800">
        <v>270</v>
      </c>
      <c r="V800" s="6">
        <v>13.9</v>
      </c>
      <c r="W800" s="6">
        <v>27.5</v>
      </c>
      <c r="X800" s="6">
        <v>269.60000000000002</v>
      </c>
      <c r="Y800" s="6">
        <v>311</v>
      </c>
      <c r="Z800" s="6" t="s">
        <v>63</v>
      </c>
      <c r="AA800" t="s">
        <v>274</v>
      </c>
      <c r="AB800" s="6" t="s">
        <v>97</v>
      </c>
      <c r="AC800" t="s">
        <v>125</v>
      </c>
      <c r="AD800" t="s">
        <v>67</v>
      </c>
      <c r="AE800">
        <v>-11</v>
      </c>
      <c r="AF800">
        <v>0</v>
      </c>
      <c r="AG800">
        <v>0</v>
      </c>
      <c r="AH800" s="6">
        <v>67.5</v>
      </c>
      <c r="AI800" s="6">
        <v>0</v>
      </c>
      <c r="AJ800" s="6">
        <v>0.83199999999999996</v>
      </c>
      <c r="AK800" s="6">
        <v>0.72399999999999998</v>
      </c>
      <c r="AL800" s="8">
        <v>13447.16</v>
      </c>
      <c r="AM800" s="6" t="s">
        <v>114</v>
      </c>
      <c r="AN800" s="6">
        <v>1</v>
      </c>
      <c r="AO800" s="6">
        <v>1</v>
      </c>
      <c r="AP800" s="6">
        <v>0</v>
      </c>
      <c r="AQ800" s="6">
        <v>1</v>
      </c>
      <c r="AR800" s="6">
        <v>0</v>
      </c>
      <c r="AS800" s="6">
        <v>1</v>
      </c>
      <c r="AT800" s="6">
        <v>0</v>
      </c>
      <c r="AU800" s="6">
        <v>2.12</v>
      </c>
      <c r="AV800" s="6">
        <v>1.25</v>
      </c>
      <c r="AW800" s="6">
        <v>258.41000000000003</v>
      </c>
      <c r="AX800" s="6">
        <v>60.04</v>
      </c>
      <c r="AY800" s="6">
        <v>208.13</v>
      </c>
      <c r="AZ800" s="6">
        <v>9.3000000000000007</v>
      </c>
      <c r="BA800" s="6">
        <v>3</v>
      </c>
    </row>
    <row r="801" spans="1:53" x14ac:dyDescent="0.3">
      <c r="A801" s="6">
        <v>438868427</v>
      </c>
      <c r="B801" s="6">
        <v>676510</v>
      </c>
      <c r="C801" s="6">
        <v>3090865</v>
      </c>
      <c r="D801" s="6">
        <v>1956</v>
      </c>
      <c r="E801" s="6" t="s">
        <v>92</v>
      </c>
      <c r="F801" s="6">
        <v>51673</v>
      </c>
      <c r="G801" s="6" t="s">
        <v>115</v>
      </c>
      <c r="H801" s="10">
        <v>45868</v>
      </c>
      <c r="I801" s="10">
        <v>45868</v>
      </c>
      <c r="J801" s="4">
        <v>45868.222222222219</v>
      </c>
      <c r="K801" s="4">
        <v>45868.584502314814</v>
      </c>
      <c r="L801" s="11">
        <v>45868.565057870372</v>
      </c>
      <c r="M801" s="10">
        <v>45868</v>
      </c>
      <c r="N801" s="6" t="s">
        <v>132</v>
      </c>
      <c r="O801" t="s">
        <v>186</v>
      </c>
      <c r="P801" s="6" t="s">
        <v>150</v>
      </c>
      <c r="Q801" t="s">
        <v>311</v>
      </c>
      <c r="R801" t="s">
        <v>73</v>
      </c>
      <c r="S801" s="6">
        <v>712046</v>
      </c>
      <c r="T801" s="6" t="s">
        <v>111</v>
      </c>
      <c r="U801">
        <v>346</v>
      </c>
      <c r="V801" s="6">
        <v>47.8</v>
      </c>
      <c r="W801" s="6">
        <v>2.7</v>
      </c>
      <c r="X801" s="6">
        <v>356.6</v>
      </c>
      <c r="Y801" s="6">
        <v>407.1</v>
      </c>
      <c r="Z801" s="6" t="s">
        <v>63</v>
      </c>
      <c r="AA801" t="s">
        <v>802</v>
      </c>
      <c r="AB801" s="6" t="s">
        <v>82</v>
      </c>
      <c r="AC801" t="s">
        <v>125</v>
      </c>
      <c r="AD801" t="s">
        <v>67</v>
      </c>
      <c r="AE801">
        <v>-28</v>
      </c>
      <c r="AF801">
        <v>62</v>
      </c>
      <c r="AG801">
        <v>0</v>
      </c>
      <c r="AH801" s="6">
        <v>33.9</v>
      </c>
      <c r="AI801" s="6">
        <v>0</v>
      </c>
      <c r="AJ801" s="6">
        <v>0.42699999999999999</v>
      </c>
      <c r="AK801" s="6">
        <v>0.39700000000000002</v>
      </c>
      <c r="AL801" s="8">
        <v>21660.62</v>
      </c>
      <c r="AM801" s="6" t="s">
        <v>114</v>
      </c>
      <c r="AN801" s="6">
        <v>1</v>
      </c>
      <c r="AO801" s="6">
        <v>1</v>
      </c>
      <c r="AP801" s="6">
        <v>0</v>
      </c>
      <c r="AQ801" s="6">
        <v>1</v>
      </c>
      <c r="AR801" s="6">
        <v>0</v>
      </c>
      <c r="AS801" s="6">
        <v>1</v>
      </c>
      <c r="AT801" s="6">
        <v>0</v>
      </c>
      <c r="AU801" s="6">
        <v>2.2599999999999998</v>
      </c>
      <c r="AV801" s="6">
        <v>1.52</v>
      </c>
      <c r="AW801" s="6">
        <v>301.14</v>
      </c>
      <c r="AX801" s="6">
        <v>71.09</v>
      </c>
      <c r="AY801" s="6">
        <v>292.75</v>
      </c>
      <c r="AZ801" s="6">
        <v>11.3</v>
      </c>
      <c r="BA801" s="6">
        <v>0</v>
      </c>
    </row>
    <row r="802" spans="1:53" x14ac:dyDescent="0.3">
      <c r="A802" s="6">
        <v>432941445</v>
      </c>
      <c r="B802" s="6">
        <v>724834</v>
      </c>
      <c r="C802" s="6">
        <v>1701771</v>
      </c>
      <c r="D802" s="6">
        <v>6249</v>
      </c>
      <c r="E802" s="6" t="s">
        <v>142</v>
      </c>
      <c r="F802" s="6">
        <v>54587</v>
      </c>
      <c r="G802" s="6" t="s">
        <v>175</v>
      </c>
      <c r="H802" s="10">
        <v>45718</v>
      </c>
      <c r="I802" s="10">
        <v>45718</v>
      </c>
      <c r="J802" s="4">
        <v>45718.736111111109</v>
      </c>
      <c r="K802" s="4">
        <v>45719.280590277776</v>
      </c>
      <c r="L802" s="11">
        <v>45719.285451388889</v>
      </c>
      <c r="M802" s="10">
        <v>45719</v>
      </c>
      <c r="N802" s="6" t="s">
        <v>78</v>
      </c>
      <c r="O802" t="s">
        <v>147</v>
      </c>
      <c r="P802" s="6" t="s">
        <v>132</v>
      </c>
      <c r="Q802" t="s">
        <v>181</v>
      </c>
      <c r="R802" t="s">
        <v>62</v>
      </c>
      <c r="S802" s="6">
        <v>739361</v>
      </c>
      <c r="T802" s="6" t="s">
        <v>140</v>
      </c>
      <c r="U802">
        <v>508</v>
      </c>
      <c r="V802" s="6">
        <v>-29.5</v>
      </c>
      <c r="W802" s="6">
        <v>7.3</v>
      </c>
      <c r="X802" s="6">
        <v>506.1</v>
      </c>
      <c r="Y802" s="6">
        <v>513.4</v>
      </c>
      <c r="Z802" s="6" t="s">
        <v>2</v>
      </c>
      <c r="AA802" t="s">
        <v>803</v>
      </c>
      <c r="AB802" s="6" t="s">
        <v>90</v>
      </c>
      <c r="AC802" t="s">
        <v>91</v>
      </c>
      <c r="AD802" t="s">
        <v>67</v>
      </c>
      <c r="AE802">
        <v>7</v>
      </c>
      <c r="AF802">
        <v>0</v>
      </c>
      <c r="AG802">
        <v>0</v>
      </c>
      <c r="AH802" s="6">
        <v>5</v>
      </c>
      <c r="AI802" s="6">
        <v>0</v>
      </c>
      <c r="AJ802" s="6">
        <v>0.28399999999999997</v>
      </c>
      <c r="AK802" s="6">
        <v>0.80100000000000005</v>
      </c>
      <c r="AL802" s="8">
        <v>3106.69</v>
      </c>
      <c r="AM802" s="6" t="s">
        <v>68</v>
      </c>
      <c r="AN802" s="6">
        <v>1</v>
      </c>
      <c r="AO802" s="6">
        <v>1</v>
      </c>
      <c r="AP802" s="6">
        <v>0</v>
      </c>
      <c r="AQ802" s="6">
        <v>1</v>
      </c>
      <c r="AR802" s="6">
        <v>0</v>
      </c>
      <c r="AS802" s="6">
        <v>1</v>
      </c>
      <c r="AT802" s="6">
        <v>0</v>
      </c>
      <c r="AU802" s="6">
        <v>2.73</v>
      </c>
      <c r="AV802" s="6">
        <v>1.68</v>
      </c>
      <c r="AW802" s="6">
        <v>444.39</v>
      </c>
      <c r="AX802" s="6">
        <v>109.99</v>
      </c>
      <c r="AY802" s="6">
        <v>258.25</v>
      </c>
      <c r="AZ802" s="6">
        <v>4.4000000000000004</v>
      </c>
      <c r="BA802" s="6">
        <v>4.5</v>
      </c>
    </row>
    <row r="803" spans="1:53" x14ac:dyDescent="0.3">
      <c r="A803" s="6">
        <v>653388913</v>
      </c>
      <c r="B803" s="6">
        <v>263032</v>
      </c>
      <c r="C803" s="6">
        <v>4191175</v>
      </c>
      <c r="D803" s="6">
        <v>6486</v>
      </c>
      <c r="E803" s="6" t="s">
        <v>225</v>
      </c>
      <c r="F803" s="6">
        <v>55353</v>
      </c>
      <c r="G803" s="6" t="s">
        <v>146</v>
      </c>
      <c r="H803" s="10">
        <v>45804</v>
      </c>
      <c r="I803" s="10">
        <v>45804</v>
      </c>
      <c r="J803" s="4">
        <v>45804.25</v>
      </c>
      <c r="K803" s="4">
        <v>45804.51767361111</v>
      </c>
      <c r="L803" s="11">
        <v>45804.502395833333</v>
      </c>
      <c r="M803" s="10">
        <v>45804</v>
      </c>
      <c r="N803" s="6" t="s">
        <v>78</v>
      </c>
      <c r="O803" t="s">
        <v>222</v>
      </c>
      <c r="P803" s="6" t="s">
        <v>170</v>
      </c>
      <c r="Q803" t="s">
        <v>269</v>
      </c>
      <c r="R803" t="s">
        <v>62</v>
      </c>
      <c r="S803" s="6">
        <v>705882</v>
      </c>
      <c r="T803" s="6" t="s">
        <v>1</v>
      </c>
      <c r="U803">
        <v>287</v>
      </c>
      <c r="V803" s="6">
        <v>9.8000000000000007</v>
      </c>
      <c r="W803" s="6">
        <v>17.600000000000001</v>
      </c>
      <c r="X803" s="6">
        <v>291.3</v>
      </c>
      <c r="Y803" s="6">
        <v>318.7</v>
      </c>
      <c r="Z803" s="6" t="s">
        <v>215</v>
      </c>
      <c r="AA803" t="s">
        <v>160</v>
      </c>
      <c r="AB803" s="6" t="s">
        <v>97</v>
      </c>
      <c r="AC803" t="s">
        <v>66</v>
      </c>
      <c r="AD803" t="s">
        <v>67</v>
      </c>
      <c r="AE803">
        <v>-22</v>
      </c>
      <c r="AF803">
        <v>0</v>
      </c>
      <c r="AG803">
        <v>0</v>
      </c>
      <c r="AH803" s="6">
        <v>59.3</v>
      </c>
      <c r="AI803" s="6">
        <v>0</v>
      </c>
      <c r="AJ803" s="6">
        <v>0.83099999999999996</v>
      </c>
      <c r="AK803" s="6">
        <v>0.60699999999999998</v>
      </c>
      <c r="AL803" s="8">
        <v>62273.34</v>
      </c>
      <c r="AM803" s="6" t="s">
        <v>155</v>
      </c>
      <c r="AN803" s="6">
        <v>1</v>
      </c>
      <c r="AO803" s="6">
        <v>1</v>
      </c>
      <c r="AP803" s="6">
        <v>0</v>
      </c>
      <c r="AQ803" s="6">
        <v>1</v>
      </c>
      <c r="AR803" s="6">
        <v>0</v>
      </c>
      <c r="AS803" s="6">
        <v>1</v>
      </c>
      <c r="AT803" s="6">
        <v>0</v>
      </c>
      <c r="AU803" s="6">
        <v>2.42</v>
      </c>
      <c r="AV803" s="6">
        <v>1.7</v>
      </c>
      <c r="AW803" s="6">
        <v>255.81</v>
      </c>
      <c r="AX803" s="6">
        <v>69.11</v>
      </c>
      <c r="AY803" s="6">
        <v>224.77</v>
      </c>
      <c r="AZ803" s="6">
        <v>13.2</v>
      </c>
      <c r="BA803" s="6">
        <v>16.8</v>
      </c>
    </row>
    <row r="804" spans="1:53" x14ac:dyDescent="0.3">
      <c r="A804" s="6">
        <v>527589822</v>
      </c>
      <c r="B804" s="6">
        <v>145561</v>
      </c>
      <c r="C804" s="6">
        <v>2564689</v>
      </c>
      <c r="D804" s="6">
        <v>1161</v>
      </c>
      <c r="E804" s="6" t="s">
        <v>101</v>
      </c>
      <c r="F804" s="6">
        <v>56857</v>
      </c>
      <c r="G804" s="6" t="s">
        <v>127</v>
      </c>
      <c r="H804" s="10">
        <v>45783</v>
      </c>
      <c r="I804" s="10">
        <v>45783</v>
      </c>
      <c r="J804" s="4">
        <v>45783.545138888891</v>
      </c>
      <c r="K804" s="4">
        <v>45783.607638888891</v>
      </c>
      <c r="L804" s="11">
        <v>45783.584027777775</v>
      </c>
      <c r="M804" s="10">
        <v>45783</v>
      </c>
      <c r="N804" s="6" t="s">
        <v>132</v>
      </c>
      <c r="O804" t="s">
        <v>181</v>
      </c>
      <c r="P804" s="6" t="s">
        <v>121</v>
      </c>
      <c r="Q804" t="s">
        <v>122</v>
      </c>
      <c r="R804" t="s">
        <v>123</v>
      </c>
      <c r="S804" s="6">
        <v>788047</v>
      </c>
      <c r="T804" s="6" t="s">
        <v>3</v>
      </c>
      <c r="U804">
        <v>20</v>
      </c>
      <c r="V804" s="6">
        <v>36.299999999999997</v>
      </c>
      <c r="W804" s="6">
        <v>23.5</v>
      </c>
      <c r="X804" s="6">
        <v>21</v>
      </c>
      <c r="Y804" s="6">
        <v>80.8</v>
      </c>
      <c r="Z804" s="6" t="s">
        <v>63</v>
      </c>
      <c r="AA804" t="s">
        <v>804</v>
      </c>
      <c r="AB804" s="6" t="s">
        <v>75</v>
      </c>
      <c r="AC804" t="s">
        <v>66</v>
      </c>
      <c r="AD804" t="s">
        <v>67</v>
      </c>
      <c r="AE804">
        <v>-34</v>
      </c>
      <c r="AF804">
        <v>0</v>
      </c>
      <c r="AG804">
        <v>0</v>
      </c>
      <c r="AH804" s="6">
        <v>43.4</v>
      </c>
      <c r="AI804" s="6">
        <v>0</v>
      </c>
      <c r="AJ804" s="6">
        <v>0.747</v>
      </c>
      <c r="AK804" s="6">
        <v>0.69899999999999995</v>
      </c>
      <c r="AL804" s="8">
        <v>16262.71</v>
      </c>
      <c r="AM804" s="6" t="s">
        <v>114</v>
      </c>
      <c r="AN804" s="6">
        <v>1</v>
      </c>
      <c r="AO804" s="6">
        <v>1</v>
      </c>
      <c r="AP804" s="6">
        <v>0</v>
      </c>
      <c r="AQ804" s="6">
        <v>1</v>
      </c>
      <c r="AR804" s="6">
        <v>0</v>
      </c>
      <c r="AS804" s="6">
        <v>1</v>
      </c>
      <c r="AT804" s="6">
        <v>0</v>
      </c>
      <c r="AU804" s="6">
        <v>2.33</v>
      </c>
      <c r="AV804" s="6">
        <v>1.58</v>
      </c>
      <c r="AW804" s="6">
        <v>50.34</v>
      </c>
      <c r="AX804" s="6">
        <v>10.78</v>
      </c>
      <c r="AY804" s="6">
        <v>49.67</v>
      </c>
      <c r="AZ804" s="6">
        <v>5.6</v>
      </c>
      <c r="BA804" s="6">
        <v>0</v>
      </c>
    </row>
    <row r="805" spans="1:53" x14ac:dyDescent="0.3">
      <c r="A805" s="6">
        <v>975535611</v>
      </c>
      <c r="B805" s="6">
        <v>217301</v>
      </c>
      <c r="C805" s="6">
        <v>5453786</v>
      </c>
      <c r="D805" s="6">
        <v>5548</v>
      </c>
      <c r="E805" s="6" t="s">
        <v>142</v>
      </c>
      <c r="F805" s="6">
        <v>51666</v>
      </c>
      <c r="G805" s="6" t="s">
        <v>175</v>
      </c>
      <c r="H805" s="10">
        <v>45804</v>
      </c>
      <c r="I805" s="10">
        <v>45804</v>
      </c>
      <c r="J805" s="4">
        <v>45804.048611111109</v>
      </c>
      <c r="K805" s="4">
        <v>45804.322002314817</v>
      </c>
      <c r="L805" s="11">
        <v>45804.331030092595</v>
      </c>
      <c r="M805" s="10">
        <v>45804</v>
      </c>
      <c r="N805" s="6" t="s">
        <v>93</v>
      </c>
      <c r="O805" t="s">
        <v>144</v>
      </c>
      <c r="P805" s="6" t="s">
        <v>93</v>
      </c>
      <c r="Q805" t="s">
        <v>144</v>
      </c>
      <c r="R805" t="s">
        <v>73</v>
      </c>
      <c r="S805" s="6">
        <v>758654</v>
      </c>
      <c r="T805" s="6" t="s">
        <v>1</v>
      </c>
      <c r="U805">
        <v>306</v>
      </c>
      <c r="V805" s="6">
        <v>28.5</v>
      </c>
      <c r="W805" s="6">
        <v>1.3</v>
      </c>
      <c r="X805" s="6">
        <v>307.60000000000002</v>
      </c>
      <c r="Y805" s="6">
        <v>337.4</v>
      </c>
      <c r="Z805" s="6" t="s">
        <v>112</v>
      </c>
      <c r="AA805" t="s">
        <v>805</v>
      </c>
      <c r="AB805" s="6" t="s">
        <v>82</v>
      </c>
      <c r="AC805" t="s">
        <v>66</v>
      </c>
      <c r="AD805" t="s">
        <v>67</v>
      </c>
      <c r="AE805">
        <v>13</v>
      </c>
      <c r="AF805">
        <v>0</v>
      </c>
      <c r="AG805">
        <v>0</v>
      </c>
      <c r="AH805" s="6">
        <v>20.2</v>
      </c>
      <c r="AI805" s="6">
        <v>0</v>
      </c>
      <c r="AJ805" s="6">
        <v>0.86299999999999999</v>
      </c>
      <c r="AK805" s="6">
        <v>0.97099999999999997</v>
      </c>
      <c r="AL805" s="8">
        <v>11617.02</v>
      </c>
      <c r="AM805" s="6" t="s">
        <v>114</v>
      </c>
      <c r="AN805" s="6">
        <v>1</v>
      </c>
      <c r="AO805" s="6">
        <v>1</v>
      </c>
      <c r="AP805" s="6">
        <v>0</v>
      </c>
      <c r="AQ805" s="6">
        <v>1</v>
      </c>
      <c r="AR805" s="6">
        <v>0</v>
      </c>
      <c r="AS805" s="6">
        <v>1</v>
      </c>
      <c r="AT805" s="6">
        <v>0</v>
      </c>
      <c r="AU805" s="6">
        <v>2.25</v>
      </c>
      <c r="AV805" s="6">
        <v>1.37</v>
      </c>
      <c r="AW805" s="6">
        <v>276.64999999999998</v>
      </c>
      <c r="AX805" s="6">
        <v>53.29</v>
      </c>
      <c r="AY805" s="6">
        <v>190.84</v>
      </c>
      <c r="AZ805" s="6">
        <v>13</v>
      </c>
      <c r="BA805" s="6">
        <v>49</v>
      </c>
    </row>
    <row r="806" spans="1:53" x14ac:dyDescent="0.3">
      <c r="A806" s="6">
        <v>683074770</v>
      </c>
      <c r="B806" s="6">
        <v>733052</v>
      </c>
      <c r="C806" s="6">
        <v>2642635</v>
      </c>
      <c r="D806" s="6">
        <v>8989</v>
      </c>
      <c r="E806" s="6" t="s">
        <v>84</v>
      </c>
      <c r="F806" s="6">
        <v>54511</v>
      </c>
      <c r="G806" s="6" t="s">
        <v>149</v>
      </c>
      <c r="H806" s="10">
        <v>45935</v>
      </c>
      <c r="I806" s="10">
        <v>45935</v>
      </c>
      <c r="J806" s="4">
        <v>45935.375</v>
      </c>
      <c r="K806" s="4">
        <v>45935.459745370368</v>
      </c>
      <c r="L806" s="11">
        <v>45935.443078703705</v>
      </c>
      <c r="M806" s="10">
        <v>45935</v>
      </c>
      <c r="N806" s="6" t="s">
        <v>93</v>
      </c>
      <c r="O806" t="s">
        <v>217</v>
      </c>
      <c r="P806" s="6" t="s">
        <v>86</v>
      </c>
      <c r="Q806" t="s">
        <v>108</v>
      </c>
      <c r="R806" t="s">
        <v>88</v>
      </c>
      <c r="S806" s="6">
        <v>756949</v>
      </c>
      <c r="T806" s="6" t="s">
        <v>3</v>
      </c>
      <c r="U806">
        <v>76</v>
      </c>
      <c r="V806" s="6">
        <v>14.7</v>
      </c>
      <c r="W806" s="6">
        <v>23.1</v>
      </c>
      <c r="X806" s="6">
        <v>66</v>
      </c>
      <c r="Y806" s="6">
        <v>103.8</v>
      </c>
      <c r="Z806" s="6" t="s">
        <v>2</v>
      </c>
      <c r="AA806" t="s">
        <v>806</v>
      </c>
      <c r="AB806" s="6" t="s">
        <v>97</v>
      </c>
      <c r="AC806" t="s">
        <v>91</v>
      </c>
      <c r="AD806" t="s">
        <v>67</v>
      </c>
      <c r="AE806">
        <v>-24</v>
      </c>
      <c r="AF806">
        <v>0</v>
      </c>
      <c r="AG806">
        <v>0</v>
      </c>
      <c r="AH806" s="6">
        <v>56.7</v>
      </c>
      <c r="AI806" s="6">
        <v>0</v>
      </c>
      <c r="AJ806" s="6">
        <v>0.504</v>
      </c>
      <c r="AK806" s="6">
        <v>0.48899999999999999</v>
      </c>
      <c r="AL806" s="8">
        <v>1833.18</v>
      </c>
      <c r="AM806" s="6" t="s">
        <v>68</v>
      </c>
      <c r="AN806" s="6">
        <v>1</v>
      </c>
      <c r="AO806" s="6">
        <v>1</v>
      </c>
      <c r="AP806" s="6">
        <v>0</v>
      </c>
      <c r="AQ806" s="6">
        <v>1</v>
      </c>
      <c r="AR806" s="6">
        <v>0</v>
      </c>
      <c r="AS806" s="6">
        <v>1</v>
      </c>
      <c r="AT806" s="6">
        <v>0</v>
      </c>
      <c r="AU806" s="6">
        <v>2.2000000000000002</v>
      </c>
      <c r="AV806" s="6">
        <v>1.6</v>
      </c>
      <c r="AW806" s="6">
        <v>93.18</v>
      </c>
      <c r="AX806" s="6">
        <v>16.66</v>
      </c>
      <c r="AY806" s="6">
        <v>56.91</v>
      </c>
      <c r="AZ806" s="6">
        <v>11.9</v>
      </c>
      <c r="BA806" s="6">
        <v>23.9</v>
      </c>
    </row>
    <row r="807" spans="1:53" x14ac:dyDescent="0.3">
      <c r="A807" s="6">
        <v>608309128</v>
      </c>
      <c r="B807" s="6">
        <v>542417</v>
      </c>
      <c r="C807" s="6">
        <v>1527021</v>
      </c>
      <c r="D807" s="6">
        <v>6051</v>
      </c>
      <c r="E807" s="6" t="s">
        <v>57</v>
      </c>
      <c r="F807" s="6">
        <v>56172</v>
      </c>
      <c r="G807" s="6" t="s">
        <v>149</v>
      </c>
      <c r="H807" s="10">
        <v>45834</v>
      </c>
      <c r="I807" s="10">
        <v>45834</v>
      </c>
      <c r="J807" s="4">
        <v>45834.670138888891</v>
      </c>
      <c r="K807" s="4">
        <v>45834.814293981479</v>
      </c>
      <c r="L807" s="11">
        <v>45834.809432870374</v>
      </c>
      <c r="M807" s="10">
        <v>45834</v>
      </c>
      <c r="N807" s="6" t="s">
        <v>150</v>
      </c>
      <c r="O807" t="s">
        <v>265</v>
      </c>
      <c r="P807" s="6" t="s">
        <v>129</v>
      </c>
      <c r="Q807" t="s">
        <v>156</v>
      </c>
      <c r="R807" t="s">
        <v>123</v>
      </c>
      <c r="S807" s="6">
        <v>785119</v>
      </c>
      <c r="T807" s="6" t="s">
        <v>1</v>
      </c>
      <c r="U807">
        <v>174</v>
      </c>
      <c r="V807" s="6">
        <v>30.6</v>
      </c>
      <c r="W807" s="6">
        <v>6.7</v>
      </c>
      <c r="X807" s="6">
        <v>168.1</v>
      </c>
      <c r="Y807" s="6">
        <v>205.4</v>
      </c>
      <c r="Z807" s="6" t="s">
        <v>112</v>
      </c>
      <c r="AA807" t="s">
        <v>807</v>
      </c>
      <c r="AB807" s="6" t="s">
        <v>90</v>
      </c>
      <c r="AC807" t="s">
        <v>137</v>
      </c>
      <c r="AD807" t="s">
        <v>67</v>
      </c>
      <c r="AE807">
        <v>-7</v>
      </c>
      <c r="AF807">
        <v>0</v>
      </c>
      <c r="AG807">
        <v>0</v>
      </c>
      <c r="AH807" s="6">
        <v>44</v>
      </c>
      <c r="AI807" s="6">
        <v>0</v>
      </c>
      <c r="AJ807" s="6">
        <v>0.65100000000000002</v>
      </c>
      <c r="AK807" s="6">
        <v>0.79200000000000004</v>
      </c>
      <c r="AL807" s="8">
        <v>12339.47</v>
      </c>
      <c r="AM807" s="6" t="s">
        <v>114</v>
      </c>
      <c r="AN807" s="6">
        <v>1</v>
      </c>
      <c r="AO807" s="6">
        <v>1</v>
      </c>
      <c r="AP807" s="6">
        <v>0</v>
      </c>
      <c r="AQ807" s="6">
        <v>1</v>
      </c>
      <c r="AR807" s="6">
        <v>0</v>
      </c>
      <c r="AS807" s="6">
        <v>1</v>
      </c>
      <c r="AT807" s="6">
        <v>0</v>
      </c>
      <c r="AU807" s="6">
        <v>2.27</v>
      </c>
      <c r="AV807" s="6">
        <v>1.33</v>
      </c>
      <c r="AW807" s="6">
        <v>132.47</v>
      </c>
      <c r="AX807" s="6">
        <v>24.92</v>
      </c>
      <c r="AY807" s="6">
        <v>108.9</v>
      </c>
      <c r="AZ807" s="6">
        <v>27.6</v>
      </c>
      <c r="BA807" s="6">
        <v>38</v>
      </c>
    </row>
    <row r="808" spans="1:53" x14ac:dyDescent="0.3">
      <c r="A808" s="6">
        <v>371993587</v>
      </c>
      <c r="B808" s="6">
        <v>680099</v>
      </c>
      <c r="C808" s="6">
        <v>7003042</v>
      </c>
      <c r="D808" s="6">
        <v>6535</v>
      </c>
      <c r="E808" s="6" t="s">
        <v>101</v>
      </c>
      <c r="F808" s="6">
        <v>51384</v>
      </c>
      <c r="G808" s="6" t="s">
        <v>164</v>
      </c>
      <c r="H808" s="10">
        <v>46001</v>
      </c>
      <c r="I808" s="10">
        <v>46001</v>
      </c>
      <c r="J808" s="4">
        <v>46001.583333333336</v>
      </c>
      <c r="K808" s="4">
        <v>46001.747245370374</v>
      </c>
      <c r="L808" s="11">
        <v>46001.749328703707</v>
      </c>
      <c r="M808" s="10">
        <v>46001</v>
      </c>
      <c r="N808" s="6" t="s">
        <v>176</v>
      </c>
      <c r="O808" t="s">
        <v>355</v>
      </c>
      <c r="P808" s="6" t="s">
        <v>132</v>
      </c>
      <c r="Q808" t="s">
        <v>181</v>
      </c>
      <c r="R808" t="s">
        <v>62</v>
      </c>
      <c r="S808" s="6">
        <v>727395</v>
      </c>
      <c r="T808" s="6" t="s">
        <v>1</v>
      </c>
      <c r="U808">
        <v>157</v>
      </c>
      <c r="V808" s="6">
        <v>15.2</v>
      </c>
      <c r="W808" s="6">
        <v>17.8</v>
      </c>
      <c r="X808" s="6">
        <v>166.1</v>
      </c>
      <c r="Y808" s="6">
        <v>199.1</v>
      </c>
      <c r="Z808" s="6" t="s">
        <v>2</v>
      </c>
      <c r="AA808" t="s">
        <v>781</v>
      </c>
      <c r="AB808" s="6" t="s">
        <v>90</v>
      </c>
      <c r="AC808" t="s">
        <v>125</v>
      </c>
      <c r="AD808" t="s">
        <v>67</v>
      </c>
      <c r="AE808">
        <v>3</v>
      </c>
      <c r="AF808">
        <v>0</v>
      </c>
      <c r="AG808">
        <v>0</v>
      </c>
      <c r="AH808" s="6">
        <v>22.6</v>
      </c>
      <c r="AI808" s="6">
        <v>0</v>
      </c>
      <c r="AJ808" s="6">
        <v>0.435</v>
      </c>
      <c r="AK808" s="6">
        <v>0.42399999999999999</v>
      </c>
      <c r="AL808" s="8">
        <v>5934.23</v>
      </c>
      <c r="AM808" s="6" t="s">
        <v>68</v>
      </c>
      <c r="AN808" s="6">
        <v>1</v>
      </c>
      <c r="AO808" s="6">
        <v>1</v>
      </c>
      <c r="AP808" s="6">
        <v>0</v>
      </c>
      <c r="AQ808" s="6">
        <v>1</v>
      </c>
      <c r="AR808" s="6">
        <v>0</v>
      </c>
      <c r="AS808" s="6">
        <v>1</v>
      </c>
      <c r="AT808" s="6">
        <v>0</v>
      </c>
      <c r="AU808" s="6">
        <v>2.2799999999999998</v>
      </c>
      <c r="AV808" s="6">
        <v>1.39</v>
      </c>
      <c r="AW808" s="6">
        <v>152.96</v>
      </c>
      <c r="AX808" s="6">
        <v>41.51</v>
      </c>
      <c r="AY808" s="6">
        <v>122.19</v>
      </c>
      <c r="AZ808" s="6">
        <v>28.3</v>
      </c>
      <c r="BA808" s="6">
        <v>40.700000000000003</v>
      </c>
    </row>
    <row r="809" spans="1:53" x14ac:dyDescent="0.3">
      <c r="A809" s="6">
        <v>139321248</v>
      </c>
      <c r="B809" s="6">
        <v>816751</v>
      </c>
      <c r="C809" s="6">
        <v>3011363</v>
      </c>
      <c r="D809" s="6">
        <v>9996</v>
      </c>
      <c r="E809" s="6" t="s">
        <v>185</v>
      </c>
      <c r="F809" s="6">
        <v>54403</v>
      </c>
      <c r="G809" s="6" t="s">
        <v>127</v>
      </c>
      <c r="H809" s="10">
        <v>45765</v>
      </c>
      <c r="I809" s="10">
        <v>45765</v>
      </c>
      <c r="J809" s="4">
        <v>45765.385416666664</v>
      </c>
      <c r="K809" s="4">
        <v>45765.447916666664</v>
      </c>
      <c r="L809" s="11">
        <v>45765.422222222223</v>
      </c>
      <c r="M809" s="10">
        <v>45765</v>
      </c>
      <c r="N809" s="6" t="s">
        <v>176</v>
      </c>
      <c r="O809" t="s">
        <v>177</v>
      </c>
      <c r="P809" s="6" t="s">
        <v>103</v>
      </c>
      <c r="Q809" t="s">
        <v>232</v>
      </c>
      <c r="R809" t="s">
        <v>73</v>
      </c>
      <c r="S809" s="6">
        <v>775499</v>
      </c>
      <c r="T809" s="6" t="s">
        <v>3</v>
      </c>
      <c r="U809">
        <v>20</v>
      </c>
      <c r="V809" s="6">
        <v>29</v>
      </c>
      <c r="W809" s="6">
        <v>14</v>
      </c>
      <c r="X809" s="6">
        <v>12.3</v>
      </c>
      <c r="Y809" s="6">
        <v>55.3</v>
      </c>
      <c r="Z809" s="6" t="s">
        <v>63</v>
      </c>
      <c r="AA809" t="s">
        <v>609</v>
      </c>
      <c r="AB809" s="6" t="s">
        <v>97</v>
      </c>
      <c r="AC809" t="s">
        <v>154</v>
      </c>
      <c r="AD809" t="s">
        <v>67</v>
      </c>
      <c r="AE809">
        <v>-37</v>
      </c>
      <c r="AF809">
        <v>0</v>
      </c>
      <c r="AG809">
        <v>0</v>
      </c>
      <c r="AH809" s="6">
        <v>71.599999999999994</v>
      </c>
      <c r="AI809" s="6">
        <v>0</v>
      </c>
      <c r="AJ809" s="6">
        <v>0.38600000000000001</v>
      </c>
      <c r="AK809" s="6">
        <v>0.76900000000000002</v>
      </c>
      <c r="AL809" s="8">
        <v>5708.59</v>
      </c>
      <c r="AM809" s="6" t="s">
        <v>68</v>
      </c>
      <c r="AN809" s="6">
        <v>1</v>
      </c>
      <c r="AO809" s="6">
        <v>1</v>
      </c>
      <c r="AP809" s="6">
        <v>0</v>
      </c>
      <c r="AQ809" s="6">
        <v>1</v>
      </c>
      <c r="AR809" s="6">
        <v>0</v>
      </c>
      <c r="AS809" s="6">
        <v>1</v>
      </c>
      <c r="AT809" s="6">
        <v>0</v>
      </c>
      <c r="AU809" s="6">
        <v>2.4300000000000002</v>
      </c>
      <c r="AV809" s="6">
        <v>1.78</v>
      </c>
      <c r="AW809" s="6">
        <v>44.67</v>
      </c>
      <c r="AX809" s="6">
        <v>7.85</v>
      </c>
      <c r="AY809" s="6">
        <v>39.1</v>
      </c>
      <c r="AZ809" s="6">
        <v>13.3</v>
      </c>
      <c r="BA809" s="6">
        <v>40.5</v>
      </c>
    </row>
    <row r="810" spans="1:53" x14ac:dyDescent="0.3">
      <c r="A810" s="6">
        <v>908839964</v>
      </c>
      <c r="B810" s="6">
        <v>903035</v>
      </c>
      <c r="C810" s="6">
        <v>7110622</v>
      </c>
      <c r="D810" s="6">
        <v>3200</v>
      </c>
      <c r="E810" s="6" t="s">
        <v>92</v>
      </c>
      <c r="F810" s="6">
        <v>53954</v>
      </c>
      <c r="G810" s="6" t="s">
        <v>146</v>
      </c>
      <c r="H810" s="10">
        <v>45809</v>
      </c>
      <c r="I810" s="10">
        <v>45809</v>
      </c>
      <c r="J810" s="4">
        <v>45809.333333333336</v>
      </c>
      <c r="K810" s="4">
        <v>45809.492615740739</v>
      </c>
      <c r="L810" s="11">
        <v>45809.48636574074</v>
      </c>
      <c r="M810" s="10">
        <v>45809</v>
      </c>
      <c r="N810" s="6" t="s">
        <v>129</v>
      </c>
      <c r="O810" t="s">
        <v>130</v>
      </c>
      <c r="P810" s="6" t="s">
        <v>129</v>
      </c>
      <c r="Q810" t="s">
        <v>241</v>
      </c>
      <c r="R810" t="s">
        <v>123</v>
      </c>
      <c r="S810" s="6">
        <v>739365</v>
      </c>
      <c r="T810" s="6" t="s">
        <v>1</v>
      </c>
      <c r="U810">
        <v>155</v>
      </c>
      <c r="V810" s="6">
        <v>28.7</v>
      </c>
      <c r="W810" s="6">
        <v>5.6</v>
      </c>
      <c r="X810" s="6">
        <v>160.4</v>
      </c>
      <c r="Y810" s="6">
        <v>194.7</v>
      </c>
      <c r="Z810" s="6" t="s">
        <v>2</v>
      </c>
      <c r="AA810" t="s">
        <v>395</v>
      </c>
      <c r="AB810" s="6" t="s">
        <v>97</v>
      </c>
      <c r="AC810" t="s">
        <v>91</v>
      </c>
      <c r="AD810" t="s">
        <v>67</v>
      </c>
      <c r="AE810">
        <v>-9</v>
      </c>
      <c r="AF810">
        <v>0</v>
      </c>
      <c r="AG810">
        <v>0</v>
      </c>
      <c r="AH810" s="6">
        <v>56.3</v>
      </c>
      <c r="AI810" s="6">
        <v>0</v>
      </c>
      <c r="AJ810" s="6">
        <v>0.68799999999999994</v>
      </c>
      <c r="AK810" s="6">
        <v>0.39700000000000002</v>
      </c>
      <c r="AL810" s="8">
        <v>2695.55</v>
      </c>
      <c r="AM810" s="6" t="s">
        <v>68</v>
      </c>
      <c r="AN810" s="6">
        <v>1</v>
      </c>
      <c r="AO810" s="6">
        <v>1</v>
      </c>
      <c r="AP810" s="6">
        <v>0</v>
      </c>
      <c r="AQ810" s="6">
        <v>1</v>
      </c>
      <c r="AR810" s="6">
        <v>0</v>
      </c>
      <c r="AS810" s="6">
        <v>1</v>
      </c>
      <c r="AT810" s="6">
        <v>0</v>
      </c>
      <c r="AU810" s="6">
        <v>2.64</v>
      </c>
      <c r="AV810" s="6">
        <v>1.84</v>
      </c>
      <c r="AW810" s="6">
        <v>132.15</v>
      </c>
      <c r="AX810" s="6">
        <v>21.51</v>
      </c>
      <c r="AY810" s="6">
        <v>101.97</v>
      </c>
      <c r="AZ810" s="6">
        <v>26.8</v>
      </c>
      <c r="BA810" s="6">
        <v>7.2</v>
      </c>
    </row>
    <row r="811" spans="1:53" x14ac:dyDescent="0.3">
      <c r="A811" s="6">
        <v>794604127</v>
      </c>
      <c r="B811" s="6">
        <v>930555</v>
      </c>
      <c r="C811" s="6">
        <v>2262382</v>
      </c>
      <c r="D811" s="6">
        <v>1698</v>
      </c>
      <c r="E811" s="6" t="s">
        <v>57</v>
      </c>
      <c r="F811" s="6">
        <v>56305</v>
      </c>
      <c r="G811" s="6" t="s">
        <v>127</v>
      </c>
      <c r="H811" s="10">
        <v>45945</v>
      </c>
      <c r="I811" s="10">
        <v>45945</v>
      </c>
      <c r="J811" s="4">
        <v>45945.298611111109</v>
      </c>
      <c r="K811" s="4">
        <v>45945.361111111109</v>
      </c>
      <c r="L811" s="11">
        <v>45945.356944444444</v>
      </c>
      <c r="M811" s="10">
        <v>45945</v>
      </c>
      <c r="N811" s="6" t="s">
        <v>132</v>
      </c>
      <c r="O811" t="s">
        <v>181</v>
      </c>
      <c r="P811" s="6" t="s">
        <v>150</v>
      </c>
      <c r="Q811" t="s">
        <v>265</v>
      </c>
      <c r="R811" t="s">
        <v>73</v>
      </c>
      <c r="S811" s="6">
        <v>712046</v>
      </c>
      <c r="T811" s="6" t="s">
        <v>3</v>
      </c>
      <c r="U811">
        <v>32</v>
      </c>
      <c r="V811" s="6">
        <v>31.1</v>
      </c>
      <c r="W811" s="6">
        <v>8.3000000000000007</v>
      </c>
      <c r="X811" s="6">
        <v>47.6</v>
      </c>
      <c r="Y811" s="6">
        <v>87</v>
      </c>
      <c r="Z811" s="6" t="s">
        <v>2</v>
      </c>
      <c r="AA811" t="s">
        <v>633</v>
      </c>
      <c r="AB811" s="6" t="s">
        <v>97</v>
      </c>
      <c r="AC811" t="s">
        <v>125</v>
      </c>
      <c r="AD811" t="s">
        <v>67</v>
      </c>
      <c r="AE811">
        <v>-6</v>
      </c>
      <c r="AF811">
        <v>0</v>
      </c>
      <c r="AG811">
        <v>0</v>
      </c>
      <c r="AH811" s="6">
        <v>22.2</v>
      </c>
      <c r="AI811" s="6">
        <v>0</v>
      </c>
      <c r="AJ811" s="6">
        <v>0.498</v>
      </c>
      <c r="AK811" s="6">
        <v>0.66</v>
      </c>
      <c r="AL811" s="8">
        <v>5935.62</v>
      </c>
      <c r="AM811" s="6" t="s">
        <v>68</v>
      </c>
      <c r="AN811" s="6">
        <v>1</v>
      </c>
      <c r="AO811" s="6">
        <v>1</v>
      </c>
      <c r="AP811" s="6">
        <v>0</v>
      </c>
      <c r="AQ811" s="6">
        <v>1</v>
      </c>
      <c r="AR811" s="6">
        <v>0</v>
      </c>
      <c r="AS811" s="6">
        <v>1</v>
      </c>
      <c r="AT811" s="6">
        <v>0</v>
      </c>
      <c r="AU811" s="6">
        <v>2.19</v>
      </c>
      <c r="AV811" s="6">
        <v>1.41</v>
      </c>
      <c r="AW811" s="6">
        <v>70.92</v>
      </c>
      <c r="AX811" s="6">
        <v>10.31</v>
      </c>
      <c r="AY811" s="6">
        <v>50.87</v>
      </c>
      <c r="AZ811" s="6">
        <v>25.4</v>
      </c>
      <c r="BA811" s="6">
        <v>29</v>
      </c>
    </row>
    <row r="812" spans="1:53" x14ac:dyDescent="0.3">
      <c r="A812" s="6">
        <v>305195749</v>
      </c>
      <c r="B812" s="6">
        <v>198246</v>
      </c>
      <c r="C812" s="6">
        <v>9626108</v>
      </c>
      <c r="D812" s="6">
        <v>5555</v>
      </c>
      <c r="E812" s="6" t="s">
        <v>57</v>
      </c>
      <c r="F812" s="6">
        <v>58252</v>
      </c>
      <c r="G812" s="6" t="s">
        <v>149</v>
      </c>
      <c r="H812" s="10">
        <v>45857</v>
      </c>
      <c r="I812" s="10">
        <v>45857</v>
      </c>
      <c r="J812" s="4">
        <v>45857.104166666664</v>
      </c>
      <c r="K812" s="4">
        <v>45857.445694444446</v>
      </c>
      <c r="L812" s="11">
        <v>45857.409583333334</v>
      </c>
      <c r="M812" s="10">
        <v>45857</v>
      </c>
      <c r="N812" s="6" t="s">
        <v>132</v>
      </c>
      <c r="O812" t="s">
        <v>181</v>
      </c>
      <c r="P812" s="6" t="s">
        <v>132</v>
      </c>
      <c r="Q812" t="s">
        <v>186</v>
      </c>
      <c r="R812" t="s">
        <v>62</v>
      </c>
      <c r="S812" s="6">
        <v>711807</v>
      </c>
      <c r="T812" s="6" t="s">
        <v>111</v>
      </c>
      <c r="U812">
        <v>430</v>
      </c>
      <c r="V812" s="6">
        <v>56.6</v>
      </c>
      <c r="W812" s="6">
        <v>16.899999999999999</v>
      </c>
      <c r="X812" s="6">
        <v>433.3</v>
      </c>
      <c r="Y812" s="6">
        <v>506.8</v>
      </c>
      <c r="Z812" s="6" t="s">
        <v>80</v>
      </c>
      <c r="AA812" t="s">
        <v>808</v>
      </c>
      <c r="AB812" s="6" t="s">
        <v>82</v>
      </c>
      <c r="AC812" t="s">
        <v>76</v>
      </c>
      <c r="AD812" t="s">
        <v>67</v>
      </c>
      <c r="AE812">
        <v>-52</v>
      </c>
      <c r="AF812">
        <v>0</v>
      </c>
      <c r="AG812">
        <v>0</v>
      </c>
      <c r="AH812" s="6">
        <v>39.700000000000003</v>
      </c>
      <c r="AI812" s="6">
        <v>0</v>
      </c>
      <c r="AJ812" s="6">
        <v>0.628</v>
      </c>
      <c r="AK812" s="6">
        <v>0.45600000000000002</v>
      </c>
      <c r="AL812" s="8">
        <v>106980.56</v>
      </c>
      <c r="AM812" s="6" t="s">
        <v>155</v>
      </c>
      <c r="AN812" s="6">
        <v>1</v>
      </c>
      <c r="AO812" s="6">
        <v>1</v>
      </c>
      <c r="AP812" s="6">
        <v>0</v>
      </c>
      <c r="AQ812" s="6">
        <v>1</v>
      </c>
      <c r="AR812" s="6">
        <v>0</v>
      </c>
      <c r="AS812" s="6">
        <v>1</v>
      </c>
      <c r="AT812" s="6">
        <v>0</v>
      </c>
      <c r="AU812" s="6">
        <v>2.15</v>
      </c>
      <c r="AV812" s="6">
        <v>1.33</v>
      </c>
      <c r="AW812" s="6">
        <v>321.79000000000002</v>
      </c>
      <c r="AX812" s="6">
        <v>81.900000000000006</v>
      </c>
      <c r="AY812" s="6">
        <v>268.06</v>
      </c>
      <c r="AZ812" s="6">
        <v>11.5</v>
      </c>
      <c r="BA812" s="6">
        <v>0</v>
      </c>
    </row>
    <row r="813" spans="1:53" x14ac:dyDescent="0.3">
      <c r="A813" s="6">
        <v>407209235</v>
      </c>
      <c r="B813" s="6">
        <v>377932</v>
      </c>
      <c r="C813" s="6">
        <v>9508103</v>
      </c>
      <c r="D813" s="6">
        <v>6699</v>
      </c>
      <c r="E813" s="6" t="s">
        <v>92</v>
      </c>
      <c r="F813" s="6">
        <v>57238</v>
      </c>
      <c r="G813" s="6" t="s">
        <v>115</v>
      </c>
      <c r="H813" s="10">
        <v>45857</v>
      </c>
      <c r="I813" s="10">
        <v>45857</v>
      </c>
      <c r="J813" s="4">
        <v>45857.822916666664</v>
      </c>
      <c r="K813" s="4">
        <v>45857.963865740741</v>
      </c>
      <c r="L813" s="11">
        <v>45858.040254629632</v>
      </c>
      <c r="M813" s="10">
        <v>45858</v>
      </c>
      <c r="N813" s="6" t="s">
        <v>200</v>
      </c>
      <c r="O813" t="s">
        <v>275</v>
      </c>
      <c r="P813" s="6" t="s">
        <v>109</v>
      </c>
      <c r="Q813" t="s">
        <v>118</v>
      </c>
      <c r="R813" t="s">
        <v>88</v>
      </c>
      <c r="S813" s="6">
        <v>701092</v>
      </c>
      <c r="T813" s="6" t="s">
        <v>1</v>
      </c>
      <c r="U813">
        <v>140</v>
      </c>
      <c r="V813" s="6">
        <v>39</v>
      </c>
      <c r="W813" s="6">
        <v>20.3</v>
      </c>
      <c r="X813" s="6">
        <v>152.80000000000001</v>
      </c>
      <c r="Y813" s="6">
        <v>212.1</v>
      </c>
      <c r="Z813" s="6" t="s">
        <v>112</v>
      </c>
      <c r="AA813" t="s">
        <v>809</v>
      </c>
      <c r="AB813" s="6" t="s">
        <v>65</v>
      </c>
      <c r="AC813" t="s">
        <v>76</v>
      </c>
      <c r="AD813" t="s">
        <v>192</v>
      </c>
      <c r="AE813">
        <v>110</v>
      </c>
      <c r="AF813">
        <v>0</v>
      </c>
      <c r="AG813">
        <v>0</v>
      </c>
      <c r="AH813" s="6">
        <v>96.9</v>
      </c>
      <c r="AI813" s="6">
        <v>0</v>
      </c>
      <c r="AJ813" s="6">
        <v>0.621</v>
      </c>
      <c r="AK813" s="6">
        <v>0.80700000000000005</v>
      </c>
      <c r="AL813" s="8">
        <v>2914.96</v>
      </c>
      <c r="AM813" s="6" t="s">
        <v>68</v>
      </c>
      <c r="AN813" s="6">
        <v>1</v>
      </c>
      <c r="AO813" s="6">
        <v>0</v>
      </c>
      <c r="AP813" s="6">
        <v>1</v>
      </c>
      <c r="AQ813" s="6">
        <v>0</v>
      </c>
      <c r="AR813" s="6">
        <v>1</v>
      </c>
      <c r="AS813" s="6">
        <v>0</v>
      </c>
      <c r="AT813" s="6">
        <v>1</v>
      </c>
      <c r="AU813" s="6">
        <v>2.11</v>
      </c>
      <c r="AV813" s="6">
        <v>1.52</v>
      </c>
      <c r="AW813" s="6">
        <v>189.13</v>
      </c>
      <c r="AX813" s="6">
        <v>43.65</v>
      </c>
      <c r="AY813" s="6">
        <v>110.75</v>
      </c>
      <c r="AZ813" s="6">
        <v>13.9</v>
      </c>
      <c r="BA813" s="6">
        <v>31.7</v>
      </c>
    </row>
    <row r="814" spans="1:53" x14ac:dyDescent="0.3">
      <c r="A814" s="6">
        <v>483298103</v>
      </c>
      <c r="B814" s="6">
        <v>581741</v>
      </c>
      <c r="C814" s="6">
        <v>3790237</v>
      </c>
      <c r="D814" s="6">
        <v>1995</v>
      </c>
      <c r="E814" s="6" t="s">
        <v>126</v>
      </c>
      <c r="F814" s="6">
        <v>56981</v>
      </c>
      <c r="G814" s="6" t="s">
        <v>115</v>
      </c>
      <c r="H814" s="10">
        <v>45677</v>
      </c>
      <c r="I814" s="10">
        <v>45677</v>
      </c>
      <c r="J814" s="4">
        <v>45677.628472222219</v>
      </c>
      <c r="K814" s="4">
        <v>45677.860636574071</v>
      </c>
      <c r="L814" s="11">
        <v>45677.842581018522</v>
      </c>
      <c r="M814" s="10">
        <v>45677</v>
      </c>
      <c r="N814" s="6" t="s">
        <v>200</v>
      </c>
      <c r="O814" t="s">
        <v>201</v>
      </c>
      <c r="P814" s="6" t="s">
        <v>200</v>
      </c>
      <c r="Q814" t="s">
        <v>171</v>
      </c>
      <c r="R814" t="s">
        <v>62</v>
      </c>
      <c r="S814" s="6">
        <v>725966</v>
      </c>
      <c r="T814" s="6" t="s">
        <v>1</v>
      </c>
      <c r="U814">
        <v>218</v>
      </c>
      <c r="V814" s="6">
        <v>40</v>
      </c>
      <c r="W814" s="6">
        <v>37.200000000000003</v>
      </c>
      <c r="X814" s="6">
        <v>222.2</v>
      </c>
      <c r="Y814" s="6">
        <v>299.39999999999998</v>
      </c>
      <c r="Z814" s="6" t="s">
        <v>2</v>
      </c>
      <c r="AA814" t="s">
        <v>810</v>
      </c>
      <c r="AB814" s="6" t="s">
        <v>90</v>
      </c>
      <c r="AC814" t="s">
        <v>83</v>
      </c>
      <c r="AD814" t="s">
        <v>67</v>
      </c>
      <c r="AE814">
        <v>-26</v>
      </c>
      <c r="AF814">
        <v>0</v>
      </c>
      <c r="AG814">
        <v>0</v>
      </c>
      <c r="AH814" s="6">
        <v>50</v>
      </c>
      <c r="AI814" s="6">
        <v>0</v>
      </c>
      <c r="AJ814" s="6">
        <v>0.77900000000000003</v>
      </c>
      <c r="AK814" s="6">
        <v>0.67300000000000004</v>
      </c>
      <c r="AL814" s="8">
        <v>1928.21</v>
      </c>
      <c r="AM814" s="6" t="s">
        <v>68</v>
      </c>
      <c r="AN814" s="6">
        <v>1</v>
      </c>
      <c r="AO814" s="6">
        <v>1</v>
      </c>
      <c r="AP814" s="6">
        <v>0</v>
      </c>
      <c r="AQ814" s="6">
        <v>1</v>
      </c>
      <c r="AR814" s="6">
        <v>0</v>
      </c>
      <c r="AS814" s="6">
        <v>1</v>
      </c>
      <c r="AT814" s="6">
        <v>0</v>
      </c>
      <c r="AU814" s="6">
        <v>2.2400000000000002</v>
      </c>
      <c r="AV814" s="6">
        <v>1.4</v>
      </c>
      <c r="AW814" s="6">
        <v>254.13</v>
      </c>
      <c r="AX814" s="6">
        <v>52.51</v>
      </c>
      <c r="AY814" s="6">
        <v>205.99</v>
      </c>
      <c r="AZ814" s="6">
        <v>17.5</v>
      </c>
      <c r="BA814" s="6">
        <v>24.6</v>
      </c>
    </row>
    <row r="815" spans="1:53" x14ac:dyDescent="0.3">
      <c r="A815" s="6">
        <v>938422254</v>
      </c>
      <c r="B815" s="6">
        <v>910620</v>
      </c>
      <c r="C815" s="6">
        <v>5977931</v>
      </c>
      <c r="D815" s="6">
        <v>1064</v>
      </c>
      <c r="E815" s="6" t="s">
        <v>101</v>
      </c>
      <c r="F815" s="6">
        <v>56026</v>
      </c>
      <c r="G815" s="6" t="s">
        <v>164</v>
      </c>
      <c r="H815" s="10">
        <v>45803</v>
      </c>
      <c r="I815" s="10">
        <v>45803</v>
      </c>
      <c r="J815" s="4">
        <v>45803.486111111109</v>
      </c>
      <c r="K815" s="4">
        <v>45803.743009259262</v>
      </c>
      <c r="L815" s="11">
        <v>45803.755509259259</v>
      </c>
      <c r="M815" s="10">
        <v>45803</v>
      </c>
      <c r="N815" s="6" t="s">
        <v>70</v>
      </c>
      <c r="O815" t="s">
        <v>138</v>
      </c>
      <c r="P815" s="6" t="s">
        <v>121</v>
      </c>
      <c r="Q815" t="s">
        <v>179</v>
      </c>
      <c r="R815" t="s">
        <v>123</v>
      </c>
      <c r="S815" s="6">
        <v>737287</v>
      </c>
      <c r="T815" s="6" t="s">
        <v>1</v>
      </c>
      <c r="U815">
        <v>231</v>
      </c>
      <c r="V815" s="6">
        <v>12.5</v>
      </c>
      <c r="W815" s="6">
        <v>32.1</v>
      </c>
      <c r="X815" s="6">
        <v>232.6</v>
      </c>
      <c r="Y815" s="6">
        <v>277.2</v>
      </c>
      <c r="Z815" s="6" t="s">
        <v>63</v>
      </c>
      <c r="AA815" t="s">
        <v>811</v>
      </c>
      <c r="AB815" s="6" t="s">
        <v>75</v>
      </c>
      <c r="AC815" t="s">
        <v>83</v>
      </c>
      <c r="AD815" t="s">
        <v>67</v>
      </c>
      <c r="AE815">
        <v>18</v>
      </c>
      <c r="AF815">
        <v>0</v>
      </c>
      <c r="AG815">
        <v>0</v>
      </c>
      <c r="AH815" s="6">
        <v>48.4</v>
      </c>
      <c r="AI815" s="6">
        <v>0</v>
      </c>
      <c r="AJ815" s="6">
        <v>0.70699999999999996</v>
      </c>
      <c r="AK815" s="6">
        <v>0.313</v>
      </c>
      <c r="AL815" s="8">
        <v>5193.3500000000004</v>
      </c>
      <c r="AM815" s="6" t="s">
        <v>68</v>
      </c>
      <c r="AN815" s="6">
        <v>1</v>
      </c>
      <c r="AO815" s="6">
        <v>0</v>
      </c>
      <c r="AP815" s="6">
        <v>1</v>
      </c>
      <c r="AQ815" s="6">
        <v>0</v>
      </c>
      <c r="AR815" s="6">
        <v>1</v>
      </c>
      <c r="AS815" s="6">
        <v>0</v>
      </c>
      <c r="AT815" s="6">
        <v>1</v>
      </c>
      <c r="AU815" s="6">
        <v>2.5099999999999998</v>
      </c>
      <c r="AV815" s="6">
        <v>2</v>
      </c>
      <c r="AW815" s="6">
        <v>250.12</v>
      </c>
      <c r="AX815" s="6">
        <v>34.869999999999997</v>
      </c>
      <c r="AY815" s="6">
        <v>150.47999999999999</v>
      </c>
      <c r="AZ815" s="6">
        <v>7</v>
      </c>
      <c r="BA815" s="6">
        <v>70.3</v>
      </c>
    </row>
    <row r="816" spans="1:53" x14ac:dyDescent="0.3">
      <c r="A816" s="6">
        <v>151329185</v>
      </c>
      <c r="B816" s="6">
        <v>816751</v>
      </c>
      <c r="C816" s="6">
        <v>3011363</v>
      </c>
      <c r="D816" s="6">
        <v>9996</v>
      </c>
      <c r="E816" s="6" t="s">
        <v>185</v>
      </c>
      <c r="F816" s="6">
        <v>56609</v>
      </c>
      <c r="G816" s="6" t="s">
        <v>164</v>
      </c>
      <c r="H816" s="10">
        <v>45756</v>
      </c>
      <c r="I816" s="10">
        <v>45756</v>
      </c>
      <c r="J816" s="4">
        <v>45756.583333333336</v>
      </c>
      <c r="K816" s="4">
        <v>45757.094756944447</v>
      </c>
      <c r="L816" s="11">
        <v>45757.095451388886</v>
      </c>
      <c r="M816" s="10">
        <v>45757</v>
      </c>
      <c r="N816" s="6" t="s">
        <v>200</v>
      </c>
      <c r="O816" t="s">
        <v>201</v>
      </c>
      <c r="P816" s="6" t="s">
        <v>200</v>
      </c>
      <c r="Q816" t="s">
        <v>161</v>
      </c>
      <c r="R816" t="s">
        <v>62</v>
      </c>
      <c r="S816" s="6">
        <v>725966</v>
      </c>
      <c r="T816" s="6" t="s">
        <v>140</v>
      </c>
      <c r="U816">
        <v>649</v>
      </c>
      <c r="V816" s="6">
        <v>13.2</v>
      </c>
      <c r="W816" s="6">
        <v>5.3</v>
      </c>
      <c r="X816" s="6">
        <v>651.20000000000005</v>
      </c>
      <c r="Y816" s="6">
        <v>669.7</v>
      </c>
      <c r="Z816" s="6" t="s">
        <v>63</v>
      </c>
      <c r="AA816" t="s">
        <v>705</v>
      </c>
      <c r="AB816" s="6" t="s">
        <v>90</v>
      </c>
      <c r="AC816" t="s">
        <v>125</v>
      </c>
      <c r="AD816" t="s">
        <v>67</v>
      </c>
      <c r="AE816">
        <v>1</v>
      </c>
      <c r="AF816">
        <v>66</v>
      </c>
      <c r="AG816">
        <v>0.8</v>
      </c>
      <c r="AH816" s="6">
        <v>57</v>
      </c>
      <c r="AI816" s="6">
        <v>0</v>
      </c>
      <c r="AJ816" s="6">
        <v>0.83699999999999997</v>
      </c>
      <c r="AK816" s="6">
        <v>0.81100000000000005</v>
      </c>
      <c r="AL816" s="8">
        <v>10588.36</v>
      </c>
      <c r="AM816" s="6" t="s">
        <v>114</v>
      </c>
      <c r="AN816" s="6">
        <v>1</v>
      </c>
      <c r="AO816" s="6">
        <v>1</v>
      </c>
      <c r="AP816" s="6">
        <v>0</v>
      </c>
      <c r="AQ816" s="6">
        <v>1</v>
      </c>
      <c r="AR816" s="6">
        <v>0</v>
      </c>
      <c r="AS816" s="6">
        <v>1</v>
      </c>
      <c r="AT816" s="6">
        <v>0</v>
      </c>
      <c r="AU816" s="6">
        <v>2.59</v>
      </c>
      <c r="AV816" s="6">
        <v>2</v>
      </c>
      <c r="AW816" s="6">
        <v>499.28</v>
      </c>
      <c r="AX816" s="6">
        <v>90.82</v>
      </c>
      <c r="AY816" s="6">
        <v>361.31</v>
      </c>
      <c r="AZ816" s="6">
        <v>13.3</v>
      </c>
      <c r="BA816" s="6">
        <v>39.200000000000003</v>
      </c>
    </row>
    <row r="817" spans="1:53" x14ac:dyDescent="0.3">
      <c r="A817" s="6">
        <v>804086195</v>
      </c>
      <c r="B817" s="6">
        <v>872246</v>
      </c>
      <c r="C817" s="6">
        <v>4860684</v>
      </c>
      <c r="D817" s="6">
        <v>6578</v>
      </c>
      <c r="E817" s="6" t="s">
        <v>126</v>
      </c>
      <c r="F817" s="6">
        <v>58664</v>
      </c>
      <c r="G817" s="6" t="s">
        <v>175</v>
      </c>
      <c r="H817" s="10">
        <v>46022</v>
      </c>
      <c r="I817" s="10">
        <v>46022</v>
      </c>
      <c r="J817" s="4">
        <v>46022.701388888891</v>
      </c>
      <c r="K817" s="4">
        <v>46022.78297453704</v>
      </c>
      <c r="L817" s="11">
        <v>46022.777418981481</v>
      </c>
      <c r="M817" s="10">
        <v>46022</v>
      </c>
      <c r="N817" s="6" t="s">
        <v>121</v>
      </c>
      <c r="O817" t="s">
        <v>179</v>
      </c>
      <c r="P817" s="6" t="s">
        <v>121</v>
      </c>
      <c r="Q817" t="s">
        <v>179</v>
      </c>
      <c r="R817" t="s">
        <v>123</v>
      </c>
      <c r="S817" s="6">
        <v>742838</v>
      </c>
      <c r="T817" s="6" t="s">
        <v>1</v>
      </c>
      <c r="U817">
        <v>112</v>
      </c>
      <c r="V817" s="6">
        <v>18.600000000000001</v>
      </c>
      <c r="W817" s="6">
        <v>5.0999999999999996</v>
      </c>
      <c r="X817" s="6">
        <v>110.9</v>
      </c>
      <c r="Y817" s="6">
        <v>134.6</v>
      </c>
      <c r="Z817" s="6" t="s">
        <v>2</v>
      </c>
      <c r="AA817" t="s">
        <v>812</v>
      </c>
      <c r="AB817" s="6" t="s">
        <v>90</v>
      </c>
      <c r="AC817" t="s">
        <v>125</v>
      </c>
      <c r="AD817" t="s">
        <v>67</v>
      </c>
      <c r="AE817">
        <v>-8</v>
      </c>
      <c r="AF817">
        <v>0</v>
      </c>
      <c r="AG817">
        <v>0</v>
      </c>
      <c r="AH817" s="6">
        <v>51.8</v>
      </c>
      <c r="AI817" s="6">
        <v>0</v>
      </c>
      <c r="AJ817" s="6">
        <v>0.59599999999999997</v>
      </c>
      <c r="AK817" s="6">
        <v>0.439</v>
      </c>
      <c r="AL817" s="8">
        <v>5325.08</v>
      </c>
      <c r="AM817" s="6" t="s">
        <v>68</v>
      </c>
      <c r="AN817" s="6">
        <v>1</v>
      </c>
      <c r="AO817" s="6">
        <v>1</v>
      </c>
      <c r="AP817" s="6">
        <v>0</v>
      </c>
      <c r="AQ817" s="6">
        <v>1</v>
      </c>
      <c r="AR817" s="6">
        <v>0</v>
      </c>
      <c r="AS817" s="6">
        <v>1</v>
      </c>
      <c r="AT817" s="6">
        <v>0</v>
      </c>
      <c r="AU817" s="6">
        <v>2.13</v>
      </c>
      <c r="AV817" s="6">
        <v>1.3</v>
      </c>
      <c r="AW817" s="6">
        <v>84.83</v>
      </c>
      <c r="AX817" s="6">
        <v>29.22</v>
      </c>
      <c r="AY817" s="6">
        <v>94</v>
      </c>
      <c r="AZ817" s="6">
        <v>41.8</v>
      </c>
      <c r="BA817" s="6">
        <v>21.5</v>
      </c>
    </row>
    <row r="818" spans="1:53" x14ac:dyDescent="0.3">
      <c r="A818" s="6">
        <v>456401418</v>
      </c>
      <c r="B818" s="6">
        <v>158655</v>
      </c>
      <c r="C818" s="6">
        <v>4576135</v>
      </c>
      <c r="D818" s="6">
        <v>9755</v>
      </c>
      <c r="E818" s="6" t="s">
        <v>84</v>
      </c>
      <c r="F818" s="6">
        <v>50958</v>
      </c>
      <c r="G818" s="6" t="s">
        <v>77</v>
      </c>
      <c r="H818" s="10">
        <v>45770</v>
      </c>
      <c r="I818" s="10">
        <v>45770</v>
      </c>
      <c r="J818" s="4">
        <v>45770.583333333336</v>
      </c>
      <c r="K818" s="4">
        <v>45770.671979166669</v>
      </c>
      <c r="L818" s="11">
        <v>45770.628229166665</v>
      </c>
      <c r="M818" s="10">
        <v>45770</v>
      </c>
      <c r="N818" s="6" t="s">
        <v>103</v>
      </c>
      <c r="O818" t="s">
        <v>204</v>
      </c>
      <c r="P818" s="6" t="s">
        <v>109</v>
      </c>
      <c r="Q818" t="s">
        <v>118</v>
      </c>
      <c r="R818" t="s">
        <v>88</v>
      </c>
      <c r="S818" s="6">
        <v>702500</v>
      </c>
      <c r="T818" s="6" t="s">
        <v>1</v>
      </c>
      <c r="U818">
        <v>113</v>
      </c>
      <c r="V818" s="6">
        <v>13.2</v>
      </c>
      <c r="W818" s="6">
        <v>12</v>
      </c>
      <c r="X818" s="6">
        <v>111.8</v>
      </c>
      <c r="Y818" s="6">
        <v>137</v>
      </c>
      <c r="Z818" s="6" t="s">
        <v>63</v>
      </c>
      <c r="AA818" t="s">
        <v>813</v>
      </c>
      <c r="AB818" s="6" t="s">
        <v>90</v>
      </c>
      <c r="AC818" t="s">
        <v>125</v>
      </c>
      <c r="AD818" t="s">
        <v>67</v>
      </c>
      <c r="AE818">
        <v>-63</v>
      </c>
      <c r="AF818">
        <v>0</v>
      </c>
      <c r="AG818">
        <v>0</v>
      </c>
      <c r="AH818" s="6">
        <v>38.799999999999997</v>
      </c>
      <c r="AI818" s="6">
        <v>0</v>
      </c>
      <c r="AJ818" s="6">
        <v>0.41199999999999998</v>
      </c>
      <c r="AK818" s="6">
        <v>0.55500000000000005</v>
      </c>
      <c r="AL818" s="8">
        <v>3771.88</v>
      </c>
      <c r="AM818" s="6" t="s">
        <v>68</v>
      </c>
      <c r="AN818" s="6">
        <v>1</v>
      </c>
      <c r="AO818" s="6">
        <v>1</v>
      </c>
      <c r="AP818" s="6">
        <v>0</v>
      </c>
      <c r="AQ818" s="6">
        <v>1</v>
      </c>
      <c r="AR818" s="6">
        <v>0</v>
      </c>
      <c r="AS818" s="6">
        <v>1</v>
      </c>
      <c r="AT818" s="6">
        <v>0</v>
      </c>
      <c r="AU818" s="6">
        <v>2.16</v>
      </c>
      <c r="AV818" s="6">
        <v>1.66</v>
      </c>
      <c r="AW818" s="6">
        <v>98.98</v>
      </c>
      <c r="AX818" s="6">
        <v>14.57</v>
      </c>
      <c r="AY818" s="6">
        <v>78.45</v>
      </c>
      <c r="AZ818" s="6">
        <v>12.9</v>
      </c>
      <c r="BA818" s="6">
        <v>45</v>
      </c>
    </row>
    <row r="819" spans="1:53" x14ac:dyDescent="0.3">
      <c r="A819" s="6">
        <v>393364102</v>
      </c>
      <c r="B819" s="6">
        <v>688508</v>
      </c>
      <c r="C819" s="6">
        <v>8930103</v>
      </c>
      <c r="D819" s="6">
        <v>3047</v>
      </c>
      <c r="E819" s="6" t="s">
        <v>225</v>
      </c>
      <c r="F819" s="6">
        <v>58724</v>
      </c>
      <c r="G819" s="6" t="s">
        <v>115</v>
      </c>
      <c r="H819" s="10">
        <v>45980</v>
      </c>
      <c r="I819" s="10">
        <v>45980</v>
      </c>
      <c r="J819" s="4">
        <v>45980.166666666664</v>
      </c>
      <c r="K819" s="4">
        <v>45980.445127314815</v>
      </c>
      <c r="L819" s="11">
        <v>45980.439571759256</v>
      </c>
      <c r="M819" s="10">
        <v>45980</v>
      </c>
      <c r="N819" s="6" t="s">
        <v>59</v>
      </c>
      <c r="O819" t="s">
        <v>167</v>
      </c>
      <c r="P819" s="6" t="s">
        <v>103</v>
      </c>
      <c r="Q819" t="s">
        <v>99</v>
      </c>
      <c r="R819" t="s">
        <v>73</v>
      </c>
      <c r="S819" s="6">
        <v>796938</v>
      </c>
      <c r="T819" s="6" t="s">
        <v>111</v>
      </c>
      <c r="U819">
        <v>296</v>
      </c>
      <c r="V819" s="6">
        <v>32.799999999999997</v>
      </c>
      <c r="W819" s="6">
        <v>0.9</v>
      </c>
      <c r="X819" s="6">
        <v>292.8</v>
      </c>
      <c r="Y819" s="6">
        <v>326.5</v>
      </c>
      <c r="Z819" s="6" t="s">
        <v>80</v>
      </c>
      <c r="AA819" t="s">
        <v>814</v>
      </c>
      <c r="AB819" s="6" t="s">
        <v>82</v>
      </c>
      <c r="AC819" t="s">
        <v>125</v>
      </c>
      <c r="AD819" t="s">
        <v>67</v>
      </c>
      <c r="AE819">
        <v>-8</v>
      </c>
      <c r="AF819">
        <v>0</v>
      </c>
      <c r="AG819">
        <v>0</v>
      </c>
      <c r="AH819" s="6">
        <v>36.200000000000003</v>
      </c>
      <c r="AI819" s="6">
        <v>0</v>
      </c>
      <c r="AJ819" s="6">
        <v>0.34300000000000003</v>
      </c>
      <c r="AK819" s="6">
        <v>0.52300000000000002</v>
      </c>
      <c r="AL819" s="8">
        <v>1952.66</v>
      </c>
      <c r="AM819" s="6" t="s">
        <v>68</v>
      </c>
      <c r="AN819" s="6">
        <v>1</v>
      </c>
      <c r="AO819" s="6">
        <v>1</v>
      </c>
      <c r="AP819" s="6">
        <v>0</v>
      </c>
      <c r="AQ819" s="6">
        <v>1</v>
      </c>
      <c r="AR819" s="6">
        <v>0</v>
      </c>
      <c r="AS819" s="6">
        <v>1</v>
      </c>
      <c r="AT819" s="6">
        <v>0</v>
      </c>
      <c r="AU819" s="6">
        <v>2.12</v>
      </c>
      <c r="AV819" s="6">
        <v>1.39</v>
      </c>
      <c r="AW819" s="6">
        <v>252.95</v>
      </c>
      <c r="AX819" s="6">
        <v>71.61</v>
      </c>
      <c r="AY819" s="6">
        <v>157.4</v>
      </c>
      <c r="AZ819" s="6">
        <v>4</v>
      </c>
      <c r="BA819" s="6">
        <v>54.9</v>
      </c>
    </row>
    <row r="820" spans="1:53" x14ac:dyDescent="0.3">
      <c r="A820" s="6">
        <v>233654018</v>
      </c>
      <c r="B820" s="6">
        <v>816751</v>
      </c>
      <c r="C820" s="6">
        <v>3011363</v>
      </c>
      <c r="D820" s="6">
        <v>9996</v>
      </c>
      <c r="E820" s="6" t="s">
        <v>185</v>
      </c>
      <c r="F820" s="6">
        <v>50493</v>
      </c>
      <c r="G820" s="6" t="s">
        <v>115</v>
      </c>
      <c r="H820" s="10">
        <v>45904</v>
      </c>
      <c r="I820" s="10">
        <v>45904</v>
      </c>
      <c r="J820" s="4">
        <v>45904.326388888891</v>
      </c>
      <c r="K820" s="4">
        <v>45904.564062500001</v>
      </c>
      <c r="L820" s="11">
        <v>45904.539756944447</v>
      </c>
      <c r="M820" s="10">
        <v>45904</v>
      </c>
      <c r="N820" s="6" t="s">
        <v>132</v>
      </c>
      <c r="O820" t="s">
        <v>229</v>
      </c>
      <c r="P820" s="6" t="s">
        <v>176</v>
      </c>
      <c r="Q820" t="s">
        <v>292</v>
      </c>
      <c r="R820" t="s">
        <v>88</v>
      </c>
      <c r="S820" s="6">
        <v>722324</v>
      </c>
      <c r="T820" s="6" t="s">
        <v>1</v>
      </c>
      <c r="U820">
        <v>263</v>
      </c>
      <c r="V820" s="6">
        <v>18.399999999999999</v>
      </c>
      <c r="W820" s="6">
        <v>36.1</v>
      </c>
      <c r="X820" s="6">
        <v>265.5</v>
      </c>
      <c r="Y820" s="6">
        <v>320</v>
      </c>
      <c r="Z820" s="6" t="s">
        <v>63</v>
      </c>
      <c r="AA820" t="s">
        <v>815</v>
      </c>
      <c r="AB820" s="6" t="s">
        <v>97</v>
      </c>
      <c r="AC820" t="s">
        <v>137</v>
      </c>
      <c r="AD820" t="s">
        <v>67</v>
      </c>
      <c r="AE820">
        <v>-35</v>
      </c>
      <c r="AF820">
        <v>0</v>
      </c>
      <c r="AG820">
        <v>0</v>
      </c>
      <c r="AH820" s="6">
        <v>63.4</v>
      </c>
      <c r="AI820" s="6">
        <v>0</v>
      </c>
      <c r="AJ820" s="6">
        <v>0.73899999999999999</v>
      </c>
      <c r="AK820" s="6">
        <v>0.747</v>
      </c>
      <c r="AL820" s="8">
        <v>4170.7</v>
      </c>
      <c r="AM820" s="6" t="s">
        <v>68</v>
      </c>
      <c r="AN820" s="6">
        <v>1</v>
      </c>
      <c r="AO820" s="6">
        <v>1</v>
      </c>
      <c r="AP820" s="6">
        <v>0</v>
      </c>
      <c r="AQ820" s="6">
        <v>1</v>
      </c>
      <c r="AR820" s="6">
        <v>0</v>
      </c>
      <c r="AS820" s="6">
        <v>1</v>
      </c>
      <c r="AT820" s="6">
        <v>0</v>
      </c>
      <c r="AU820" s="6">
        <v>2.1</v>
      </c>
      <c r="AV820" s="6">
        <v>1.44</v>
      </c>
      <c r="AW820" s="6">
        <v>288.24</v>
      </c>
      <c r="AX820" s="6">
        <v>66.78</v>
      </c>
      <c r="AY820" s="6">
        <v>208.99</v>
      </c>
      <c r="AZ820" s="6">
        <v>13.3</v>
      </c>
      <c r="BA820" s="6">
        <v>29.6</v>
      </c>
    </row>
    <row r="821" spans="1:53" x14ac:dyDescent="0.3">
      <c r="A821" s="6">
        <v>958287383</v>
      </c>
      <c r="B821" s="6">
        <v>996865</v>
      </c>
      <c r="C821" s="6">
        <v>2022698</v>
      </c>
      <c r="D821" s="6">
        <v>6463</v>
      </c>
      <c r="E821" s="6" t="s">
        <v>126</v>
      </c>
      <c r="F821" s="6">
        <v>57042</v>
      </c>
      <c r="G821" s="6" t="s">
        <v>77</v>
      </c>
      <c r="H821" s="10">
        <v>45782</v>
      </c>
      <c r="I821" s="10">
        <v>45782</v>
      </c>
      <c r="J821" s="4">
        <v>45782.743055555555</v>
      </c>
      <c r="K821" s="4">
        <v>45783.340775462966</v>
      </c>
      <c r="L821" s="11">
        <v>45783.341469907406</v>
      </c>
      <c r="M821" s="10">
        <v>45783</v>
      </c>
      <c r="N821" s="6" t="s">
        <v>86</v>
      </c>
      <c r="O821" t="s">
        <v>87</v>
      </c>
      <c r="P821" s="6" t="s">
        <v>176</v>
      </c>
      <c r="Q821" t="s">
        <v>355</v>
      </c>
      <c r="R821" t="s">
        <v>88</v>
      </c>
      <c r="S821" s="6">
        <v>788294</v>
      </c>
      <c r="T821" s="6" t="s">
        <v>140</v>
      </c>
      <c r="U821">
        <v>661</v>
      </c>
      <c r="V821" s="6">
        <v>53</v>
      </c>
      <c r="W821" s="6">
        <v>14.1</v>
      </c>
      <c r="X821" s="6">
        <v>674.2</v>
      </c>
      <c r="Y821" s="6">
        <v>741.3</v>
      </c>
      <c r="Z821" s="6" t="s">
        <v>63</v>
      </c>
      <c r="AA821" t="s">
        <v>816</v>
      </c>
      <c r="AB821" s="6" t="s">
        <v>90</v>
      </c>
      <c r="AC821" t="s">
        <v>83</v>
      </c>
      <c r="AD821" t="s">
        <v>67</v>
      </c>
      <c r="AE821">
        <v>1</v>
      </c>
      <c r="AF821">
        <v>0</v>
      </c>
      <c r="AG821">
        <v>0</v>
      </c>
      <c r="AH821" s="6">
        <v>51.5</v>
      </c>
      <c r="AI821" s="6">
        <v>0</v>
      </c>
      <c r="AJ821" s="6">
        <v>0.48599999999999999</v>
      </c>
      <c r="AK821" s="6">
        <v>0.69099999999999995</v>
      </c>
      <c r="AL821" s="8">
        <v>4777.17</v>
      </c>
      <c r="AM821" s="6" t="s">
        <v>68</v>
      </c>
      <c r="AN821" s="6">
        <v>1</v>
      </c>
      <c r="AO821" s="6">
        <v>1</v>
      </c>
      <c r="AP821" s="6">
        <v>0</v>
      </c>
      <c r="AQ821" s="6">
        <v>1</v>
      </c>
      <c r="AR821" s="6">
        <v>0</v>
      </c>
      <c r="AS821" s="6">
        <v>1</v>
      </c>
      <c r="AT821" s="6">
        <v>0</v>
      </c>
      <c r="AU821" s="6">
        <v>2.2599999999999998</v>
      </c>
      <c r="AV821" s="6">
        <v>1.38</v>
      </c>
      <c r="AW821" s="6">
        <v>655.99</v>
      </c>
      <c r="AX821" s="6">
        <v>134.49</v>
      </c>
      <c r="AY821" s="6">
        <v>447.81</v>
      </c>
      <c r="AZ821" s="6">
        <v>8.8000000000000007</v>
      </c>
      <c r="BA821" s="6">
        <v>41.2</v>
      </c>
    </row>
    <row r="822" spans="1:53" x14ac:dyDescent="0.3">
      <c r="A822" s="6">
        <v>495157577</v>
      </c>
      <c r="B822" s="6">
        <v>287330</v>
      </c>
      <c r="C822" s="6">
        <v>4348276</v>
      </c>
      <c r="D822" s="6">
        <v>9338</v>
      </c>
      <c r="E822" s="6" t="s">
        <v>101</v>
      </c>
      <c r="F822" s="6">
        <v>50081</v>
      </c>
      <c r="G822" s="6" t="s">
        <v>115</v>
      </c>
      <c r="H822" s="10">
        <v>45856</v>
      </c>
      <c r="I822" s="10">
        <v>45856</v>
      </c>
      <c r="J822" s="4">
        <v>45856.486111111109</v>
      </c>
      <c r="K822" s="4">
        <v>45856.762476851851</v>
      </c>
      <c r="L822" s="11">
        <v>45856.747199074074</v>
      </c>
      <c r="M822" s="10">
        <v>45856</v>
      </c>
      <c r="N822" s="6" t="s">
        <v>134</v>
      </c>
      <c r="O822" t="s">
        <v>248</v>
      </c>
      <c r="P822" s="6" t="s">
        <v>93</v>
      </c>
      <c r="Q822" t="s">
        <v>94</v>
      </c>
      <c r="R822" t="s">
        <v>73</v>
      </c>
      <c r="S822" s="6">
        <v>720278</v>
      </c>
      <c r="T822" s="6" t="s">
        <v>1</v>
      </c>
      <c r="U822">
        <v>276</v>
      </c>
      <c r="V822" s="6">
        <v>9.3000000000000007</v>
      </c>
      <c r="W822" s="6">
        <v>12.8</v>
      </c>
      <c r="X822" s="6">
        <v>284.5</v>
      </c>
      <c r="Y822" s="6">
        <v>306.60000000000002</v>
      </c>
      <c r="Z822" s="6" t="s">
        <v>2</v>
      </c>
      <c r="AA822" t="s">
        <v>446</v>
      </c>
      <c r="AB822" s="6" t="s">
        <v>75</v>
      </c>
      <c r="AC822" t="s">
        <v>154</v>
      </c>
      <c r="AD822" t="s">
        <v>67</v>
      </c>
      <c r="AE822">
        <v>-22</v>
      </c>
      <c r="AF822">
        <v>0</v>
      </c>
      <c r="AG822">
        <v>0</v>
      </c>
      <c r="AH822" s="6">
        <v>73.599999999999994</v>
      </c>
      <c r="AI822" s="6">
        <v>0</v>
      </c>
      <c r="AJ822" s="6">
        <v>0.40500000000000003</v>
      </c>
      <c r="AK822" s="6">
        <v>0.60599999999999998</v>
      </c>
      <c r="AL822" s="8">
        <v>4836.55</v>
      </c>
      <c r="AM822" s="6" t="s">
        <v>68</v>
      </c>
      <c r="AN822" s="6">
        <v>1</v>
      </c>
      <c r="AO822" s="6">
        <v>1</v>
      </c>
      <c r="AP822" s="6">
        <v>0</v>
      </c>
      <c r="AQ822" s="6">
        <v>1</v>
      </c>
      <c r="AR822" s="6">
        <v>0</v>
      </c>
      <c r="AS822" s="6">
        <v>1</v>
      </c>
      <c r="AT822" s="6">
        <v>0</v>
      </c>
      <c r="AU822" s="6">
        <v>2.2799999999999998</v>
      </c>
      <c r="AV822" s="6">
        <v>1.38</v>
      </c>
      <c r="AW822" s="6">
        <v>244.73</v>
      </c>
      <c r="AX822" s="6">
        <v>65.36</v>
      </c>
      <c r="AY822" s="6">
        <v>204.13</v>
      </c>
      <c r="AZ822" s="6">
        <v>17.5</v>
      </c>
      <c r="BA822" s="6">
        <v>64.2</v>
      </c>
    </row>
    <row r="823" spans="1:53" x14ac:dyDescent="0.3">
      <c r="A823" s="6">
        <v>569172971</v>
      </c>
      <c r="B823" s="6">
        <v>260263</v>
      </c>
      <c r="C823" s="6">
        <v>5674183</v>
      </c>
      <c r="D823" s="6">
        <v>5736</v>
      </c>
      <c r="E823" s="6" t="s">
        <v>185</v>
      </c>
      <c r="F823" s="6">
        <v>56999</v>
      </c>
      <c r="G823" s="6" t="s">
        <v>203</v>
      </c>
      <c r="H823" s="10">
        <v>45964</v>
      </c>
      <c r="I823" s="10">
        <v>45964</v>
      </c>
      <c r="J823" s="4">
        <v>45964.878472222219</v>
      </c>
      <c r="K823" s="4">
        <v>45965.060312499998</v>
      </c>
      <c r="L823" s="11">
        <v>45965.040173611109</v>
      </c>
      <c r="M823" s="10">
        <v>45965</v>
      </c>
      <c r="N823" s="6" t="s">
        <v>86</v>
      </c>
      <c r="O823" t="s">
        <v>253</v>
      </c>
      <c r="P823" s="6" t="s">
        <v>150</v>
      </c>
      <c r="Q823" t="s">
        <v>196</v>
      </c>
      <c r="R823" t="s">
        <v>73</v>
      </c>
      <c r="S823" s="6">
        <v>780739</v>
      </c>
      <c r="T823" s="6" t="s">
        <v>1</v>
      </c>
      <c r="U823">
        <v>197</v>
      </c>
      <c r="V823" s="6">
        <v>17</v>
      </c>
      <c r="W823" s="6">
        <v>10.8</v>
      </c>
      <c r="X823" s="6">
        <v>198.2</v>
      </c>
      <c r="Y823" s="6">
        <v>226</v>
      </c>
      <c r="Z823" s="6" t="s">
        <v>2</v>
      </c>
      <c r="AA823" t="s">
        <v>735</v>
      </c>
      <c r="AB823" s="6" t="s">
        <v>65</v>
      </c>
      <c r="AC823" t="s">
        <v>83</v>
      </c>
      <c r="AD823" t="s">
        <v>67</v>
      </c>
      <c r="AE823">
        <v>-29</v>
      </c>
      <c r="AF823">
        <v>0</v>
      </c>
      <c r="AG823">
        <v>0</v>
      </c>
      <c r="AH823" s="6">
        <v>53.5</v>
      </c>
      <c r="AI823" s="6">
        <v>0</v>
      </c>
      <c r="AJ823" s="6">
        <v>0.60599999999999998</v>
      </c>
      <c r="AK823" s="6">
        <v>0.69499999999999995</v>
      </c>
      <c r="AL823" s="8">
        <v>6242.19</v>
      </c>
      <c r="AM823" s="6" t="s">
        <v>68</v>
      </c>
      <c r="AN823" s="6">
        <v>1</v>
      </c>
      <c r="AO823" s="6">
        <v>1</v>
      </c>
      <c r="AP823" s="6">
        <v>0</v>
      </c>
      <c r="AQ823" s="6">
        <v>1</v>
      </c>
      <c r="AR823" s="6">
        <v>0</v>
      </c>
      <c r="AS823" s="6">
        <v>1</v>
      </c>
      <c r="AT823" s="6">
        <v>0</v>
      </c>
      <c r="AU823" s="6">
        <v>2.46</v>
      </c>
      <c r="AV823" s="6">
        <v>1.9</v>
      </c>
      <c r="AW823" s="6">
        <v>189.6</v>
      </c>
      <c r="AX823" s="6">
        <v>26.73</v>
      </c>
      <c r="AY823" s="6">
        <v>139.41</v>
      </c>
      <c r="AZ823" s="6">
        <v>30.8</v>
      </c>
      <c r="BA823" s="6">
        <v>27.2</v>
      </c>
    </row>
    <row r="824" spans="1:53" x14ac:dyDescent="0.3">
      <c r="A824" s="6">
        <v>529520110</v>
      </c>
      <c r="B824" s="6">
        <v>391369</v>
      </c>
      <c r="C824" s="6">
        <v>4214348</v>
      </c>
      <c r="D824" s="6">
        <v>7235</v>
      </c>
      <c r="E824" s="6" t="s">
        <v>142</v>
      </c>
      <c r="F824" s="6">
        <v>52970</v>
      </c>
      <c r="G824" s="6" t="s">
        <v>146</v>
      </c>
      <c r="H824" s="10">
        <v>45980</v>
      </c>
      <c r="I824" s="10">
        <v>45980</v>
      </c>
      <c r="J824" s="4">
        <v>45980.71875</v>
      </c>
      <c r="K824" s="4">
        <v>45980.78125</v>
      </c>
      <c r="L824" s="11">
        <v>45980.761805555558</v>
      </c>
      <c r="M824" s="10">
        <v>45980</v>
      </c>
      <c r="N824" s="6" t="s">
        <v>134</v>
      </c>
      <c r="O824" t="s">
        <v>278</v>
      </c>
      <c r="P824" s="6" t="s">
        <v>86</v>
      </c>
      <c r="Q824" t="s">
        <v>253</v>
      </c>
      <c r="R824" t="s">
        <v>88</v>
      </c>
      <c r="S824" s="6">
        <v>750662</v>
      </c>
      <c r="T824" s="6" t="s">
        <v>3</v>
      </c>
      <c r="U824">
        <v>60</v>
      </c>
      <c r="V824" s="6">
        <v>28.7</v>
      </c>
      <c r="W824" s="6">
        <v>3.1</v>
      </c>
      <c r="X824" s="6">
        <v>63.7</v>
      </c>
      <c r="Y824" s="6">
        <v>95.5</v>
      </c>
      <c r="Z824" s="6" t="s">
        <v>215</v>
      </c>
      <c r="AA824" t="s">
        <v>817</v>
      </c>
      <c r="AB824" s="6" t="s">
        <v>90</v>
      </c>
      <c r="AC824" t="s">
        <v>125</v>
      </c>
      <c r="AD824" t="s">
        <v>67</v>
      </c>
      <c r="AE824">
        <v>-28</v>
      </c>
      <c r="AF824">
        <v>0</v>
      </c>
      <c r="AG824">
        <v>0</v>
      </c>
      <c r="AH824" s="6">
        <v>75.5</v>
      </c>
      <c r="AI824" s="6">
        <v>0</v>
      </c>
      <c r="AJ824" s="6">
        <v>0.73299999999999998</v>
      </c>
      <c r="AK824" s="6">
        <v>0.625</v>
      </c>
      <c r="AL824" s="8">
        <v>2905.85</v>
      </c>
      <c r="AM824" s="6" t="s">
        <v>68</v>
      </c>
      <c r="AN824" s="6">
        <v>1</v>
      </c>
      <c r="AO824" s="6">
        <v>1</v>
      </c>
      <c r="AP824" s="6">
        <v>0</v>
      </c>
      <c r="AQ824" s="6">
        <v>1</v>
      </c>
      <c r="AR824" s="6">
        <v>0</v>
      </c>
      <c r="AS824" s="6">
        <v>1</v>
      </c>
      <c r="AT824" s="6">
        <v>0</v>
      </c>
      <c r="AU824" s="6">
        <v>2.4900000000000002</v>
      </c>
      <c r="AV824" s="6">
        <v>1.79</v>
      </c>
      <c r="AW824" s="6">
        <v>86.54</v>
      </c>
      <c r="AX824" s="6">
        <v>20.350000000000001</v>
      </c>
      <c r="AY824" s="6">
        <v>53.89</v>
      </c>
      <c r="AZ824" s="6">
        <v>45.2</v>
      </c>
      <c r="BA824" s="6">
        <v>23.4</v>
      </c>
    </row>
    <row r="825" spans="1:53" x14ac:dyDescent="0.3">
      <c r="A825" s="6">
        <v>898120571</v>
      </c>
      <c r="B825" s="6">
        <v>766563</v>
      </c>
      <c r="C825" s="6">
        <v>9910817</v>
      </c>
      <c r="D825" s="6">
        <v>1391</v>
      </c>
      <c r="E825" s="6" t="s">
        <v>185</v>
      </c>
      <c r="F825" s="6">
        <v>50011</v>
      </c>
      <c r="G825" s="6" t="s">
        <v>207</v>
      </c>
      <c r="H825" s="10">
        <v>45716</v>
      </c>
      <c r="I825" s="10">
        <v>45716</v>
      </c>
      <c r="J825" s="4">
        <v>45716.961805555555</v>
      </c>
      <c r="K825" s="4">
        <v>45717.19091435185</v>
      </c>
      <c r="L825" s="11">
        <v>45717.172858796293</v>
      </c>
      <c r="M825" s="10">
        <v>45717</v>
      </c>
      <c r="N825" s="6" t="s">
        <v>134</v>
      </c>
      <c r="O825" t="s">
        <v>278</v>
      </c>
      <c r="P825" s="6" t="s">
        <v>103</v>
      </c>
      <c r="Q825" t="s">
        <v>204</v>
      </c>
      <c r="R825" t="s">
        <v>73</v>
      </c>
      <c r="S825" s="6">
        <v>730299</v>
      </c>
      <c r="T825" s="6" t="s">
        <v>1</v>
      </c>
      <c r="U825">
        <v>215</v>
      </c>
      <c r="V825" s="6">
        <v>4.4000000000000004</v>
      </c>
      <c r="W825" s="6">
        <v>3.2</v>
      </c>
      <c r="X825" s="6">
        <v>214.5</v>
      </c>
      <c r="Y825" s="6">
        <v>222.1</v>
      </c>
      <c r="Z825" s="6" t="s">
        <v>80</v>
      </c>
      <c r="AA825" t="s">
        <v>298</v>
      </c>
      <c r="AB825" s="6" t="s">
        <v>65</v>
      </c>
      <c r="AC825" t="s">
        <v>154</v>
      </c>
      <c r="AD825" t="s">
        <v>67</v>
      </c>
      <c r="AE825">
        <v>-26</v>
      </c>
      <c r="AF825">
        <v>0</v>
      </c>
      <c r="AG825">
        <v>0</v>
      </c>
      <c r="AH825" s="6">
        <v>59.7</v>
      </c>
      <c r="AI825" s="6">
        <v>0</v>
      </c>
      <c r="AJ825" s="6">
        <v>0.749</v>
      </c>
      <c r="AK825" s="6">
        <v>0.66700000000000004</v>
      </c>
      <c r="AL825" s="8">
        <v>21684.03</v>
      </c>
      <c r="AM825" s="6" t="s">
        <v>114</v>
      </c>
      <c r="AN825" s="6">
        <v>1</v>
      </c>
      <c r="AO825" s="6">
        <v>1</v>
      </c>
      <c r="AP825" s="6">
        <v>0</v>
      </c>
      <c r="AQ825" s="6">
        <v>1</v>
      </c>
      <c r="AR825" s="6">
        <v>0</v>
      </c>
      <c r="AS825" s="6">
        <v>1</v>
      </c>
      <c r="AT825" s="6">
        <v>0</v>
      </c>
      <c r="AU825" s="6">
        <v>2.15</v>
      </c>
      <c r="AV825" s="6">
        <v>1.46</v>
      </c>
      <c r="AW825" s="6">
        <v>194.38</v>
      </c>
      <c r="AX825" s="6">
        <v>27.88</v>
      </c>
      <c r="AY825" s="6">
        <v>110.16</v>
      </c>
      <c r="AZ825" s="6">
        <v>10</v>
      </c>
      <c r="BA825" s="6">
        <v>26.2</v>
      </c>
    </row>
    <row r="826" spans="1:53" x14ac:dyDescent="0.3">
      <c r="A826" s="6">
        <v>572163615</v>
      </c>
      <c r="B826" s="6">
        <v>974628</v>
      </c>
      <c r="C826" s="6">
        <v>3641282</v>
      </c>
      <c r="D826" s="6">
        <v>6892</v>
      </c>
      <c r="E826" s="6" t="s">
        <v>57</v>
      </c>
      <c r="F826" s="6">
        <v>57824</v>
      </c>
      <c r="G826" s="6" t="s">
        <v>149</v>
      </c>
      <c r="H826" s="10">
        <v>45781</v>
      </c>
      <c r="I826" s="10">
        <v>45781</v>
      </c>
      <c r="J826" s="4">
        <v>45781.295138888891</v>
      </c>
      <c r="K826" s="4">
        <v>45781.558599537035</v>
      </c>
      <c r="L826" s="11">
        <v>45781.525266203702</v>
      </c>
      <c r="M826" s="10">
        <v>45781</v>
      </c>
      <c r="N826" s="6" t="s">
        <v>129</v>
      </c>
      <c r="O826" t="s">
        <v>241</v>
      </c>
      <c r="P826" s="6" t="s">
        <v>93</v>
      </c>
      <c r="Q826" t="s">
        <v>144</v>
      </c>
      <c r="R826" t="s">
        <v>73</v>
      </c>
      <c r="S826" s="6">
        <v>750133</v>
      </c>
      <c r="T826" s="6" t="s">
        <v>1</v>
      </c>
      <c r="U826">
        <v>258</v>
      </c>
      <c r="V826" s="6">
        <v>38.299999999999997</v>
      </c>
      <c r="W826" s="6">
        <v>11.5</v>
      </c>
      <c r="X826" s="6">
        <v>266.5</v>
      </c>
      <c r="Y826" s="6">
        <v>316.3</v>
      </c>
      <c r="Z826" s="6" t="s">
        <v>63</v>
      </c>
      <c r="AA826" t="s">
        <v>818</v>
      </c>
      <c r="AB826" s="6" t="s">
        <v>97</v>
      </c>
      <c r="AC826" t="s">
        <v>91</v>
      </c>
      <c r="AD826" t="s">
        <v>67</v>
      </c>
      <c r="AE826">
        <v>-48</v>
      </c>
      <c r="AF826">
        <v>0</v>
      </c>
      <c r="AG826">
        <v>0</v>
      </c>
      <c r="AH826" s="6">
        <v>43.3</v>
      </c>
      <c r="AI826" s="6">
        <v>0</v>
      </c>
      <c r="AJ826" s="6">
        <v>0.38700000000000001</v>
      </c>
      <c r="AK826" s="6">
        <v>0.73899999999999999</v>
      </c>
      <c r="AL826" s="8">
        <v>2047</v>
      </c>
      <c r="AM826" s="6" t="s">
        <v>68</v>
      </c>
      <c r="AN826" s="6">
        <v>1</v>
      </c>
      <c r="AO826" s="6">
        <v>1</v>
      </c>
      <c r="AP826" s="6">
        <v>0</v>
      </c>
      <c r="AQ826" s="6">
        <v>1</v>
      </c>
      <c r="AR826" s="6">
        <v>0</v>
      </c>
      <c r="AS826" s="6">
        <v>1</v>
      </c>
      <c r="AT826" s="6">
        <v>0</v>
      </c>
      <c r="AU826" s="6">
        <v>2.33</v>
      </c>
      <c r="AV826" s="6">
        <v>1.37</v>
      </c>
      <c r="AW826" s="6">
        <v>258.62</v>
      </c>
      <c r="AX826" s="6">
        <v>52.36</v>
      </c>
      <c r="AY826" s="6">
        <v>217.56</v>
      </c>
      <c r="AZ826" s="6">
        <v>1.4</v>
      </c>
      <c r="BA826" s="6">
        <v>7.3</v>
      </c>
    </row>
    <row r="827" spans="1:53" x14ac:dyDescent="0.3">
      <c r="A827" s="6">
        <v>515156661</v>
      </c>
      <c r="B827" s="6">
        <v>391369</v>
      </c>
      <c r="C827" s="6">
        <v>4214348</v>
      </c>
      <c r="D827" s="6">
        <v>7235</v>
      </c>
      <c r="E827" s="6" t="s">
        <v>142</v>
      </c>
      <c r="F827" s="6">
        <v>50761</v>
      </c>
      <c r="G827" s="6" t="s">
        <v>149</v>
      </c>
      <c r="H827" s="10">
        <v>45780</v>
      </c>
      <c r="I827" s="10">
        <v>45780</v>
      </c>
      <c r="J827" s="4">
        <v>45780.847222222219</v>
      </c>
      <c r="K827" s="4">
        <v>45780.919062499997</v>
      </c>
      <c r="L827" s="11">
        <v>45780.887812499997</v>
      </c>
      <c r="M827" s="10">
        <v>45780</v>
      </c>
      <c r="N827" s="6" t="s">
        <v>78</v>
      </c>
      <c r="O827" t="s">
        <v>79</v>
      </c>
      <c r="P827" s="6" t="s">
        <v>121</v>
      </c>
      <c r="Q827" t="s">
        <v>122</v>
      </c>
      <c r="R827" t="s">
        <v>123</v>
      </c>
      <c r="S827" s="6">
        <v>749899</v>
      </c>
      <c r="T827" s="6" t="s">
        <v>3</v>
      </c>
      <c r="U827">
        <v>44</v>
      </c>
      <c r="V827" s="6">
        <v>37.700000000000003</v>
      </c>
      <c r="W827" s="6">
        <v>3.1</v>
      </c>
      <c r="X827" s="6">
        <v>34.200000000000003</v>
      </c>
      <c r="Y827" s="6">
        <v>75</v>
      </c>
      <c r="Z827" s="6" t="s">
        <v>215</v>
      </c>
      <c r="AA827" t="s">
        <v>350</v>
      </c>
      <c r="AB827" s="6" t="s">
        <v>65</v>
      </c>
      <c r="AC827" t="s">
        <v>76</v>
      </c>
      <c r="AD827" t="s">
        <v>67</v>
      </c>
      <c r="AE827">
        <v>-45</v>
      </c>
      <c r="AF827">
        <v>0</v>
      </c>
      <c r="AG827">
        <v>0</v>
      </c>
      <c r="AH827" s="6">
        <v>57.6</v>
      </c>
      <c r="AI827" s="6">
        <v>0</v>
      </c>
      <c r="AJ827" s="6">
        <v>0.58199999999999996</v>
      </c>
      <c r="AK827" s="6">
        <v>0.71699999999999997</v>
      </c>
      <c r="AL827" s="8">
        <v>4844.84</v>
      </c>
      <c r="AM827" s="6" t="s">
        <v>68</v>
      </c>
      <c r="AN827" s="6">
        <v>1</v>
      </c>
      <c r="AO827" s="6">
        <v>1</v>
      </c>
      <c r="AP827" s="6">
        <v>0</v>
      </c>
      <c r="AQ827" s="6">
        <v>1</v>
      </c>
      <c r="AR827" s="6">
        <v>0</v>
      </c>
      <c r="AS827" s="6">
        <v>1</v>
      </c>
      <c r="AT827" s="6">
        <v>0</v>
      </c>
      <c r="AU827" s="6">
        <v>2.82</v>
      </c>
      <c r="AV827" s="6">
        <v>2.21</v>
      </c>
      <c r="AW827" s="6">
        <v>58.65</v>
      </c>
      <c r="AX827" s="6">
        <v>11.9</v>
      </c>
      <c r="AY827" s="6">
        <v>39.729999999999997</v>
      </c>
      <c r="AZ827" s="6">
        <v>45.2</v>
      </c>
      <c r="BA827" s="6">
        <v>21.7</v>
      </c>
    </row>
    <row r="828" spans="1:53" x14ac:dyDescent="0.3">
      <c r="A828" s="6">
        <v>464037804</v>
      </c>
      <c r="B828" s="6">
        <v>260263</v>
      </c>
      <c r="C828" s="6">
        <v>5674183</v>
      </c>
      <c r="D828" s="6">
        <v>5736</v>
      </c>
      <c r="E828" s="6" t="s">
        <v>185</v>
      </c>
      <c r="F828" s="6">
        <v>53185</v>
      </c>
      <c r="G828" s="6" t="s">
        <v>149</v>
      </c>
      <c r="H828" s="10">
        <v>45673</v>
      </c>
      <c r="I828" s="10">
        <v>45673</v>
      </c>
      <c r="J828" s="4">
        <v>45673.270833333336</v>
      </c>
      <c r="K828" s="4">
        <v>45673.388773148145</v>
      </c>
      <c r="L828" s="11">
        <v>45673.371412037035</v>
      </c>
      <c r="M828" s="10">
        <v>45673</v>
      </c>
      <c r="N828" s="6" t="s">
        <v>176</v>
      </c>
      <c r="O828" t="s">
        <v>355</v>
      </c>
      <c r="P828" s="6" t="s">
        <v>103</v>
      </c>
      <c r="Q828" t="s">
        <v>104</v>
      </c>
      <c r="R828" t="s">
        <v>73</v>
      </c>
      <c r="S828" s="6">
        <v>775499</v>
      </c>
      <c r="T828" s="6" t="s">
        <v>1</v>
      </c>
      <c r="U828">
        <v>131</v>
      </c>
      <c r="V828" s="6">
        <v>14.2</v>
      </c>
      <c r="W828" s="6">
        <v>13.8</v>
      </c>
      <c r="X828" s="6">
        <v>142.6</v>
      </c>
      <c r="Y828" s="6">
        <v>170.6</v>
      </c>
      <c r="Z828" s="6" t="s">
        <v>2</v>
      </c>
      <c r="AA828" t="s">
        <v>485</v>
      </c>
      <c r="AB828" s="6" t="s">
        <v>97</v>
      </c>
      <c r="AC828" t="s">
        <v>137</v>
      </c>
      <c r="AD828" t="s">
        <v>67</v>
      </c>
      <c r="AE828">
        <v>-25</v>
      </c>
      <c r="AF828">
        <v>0</v>
      </c>
      <c r="AG828">
        <v>1.6</v>
      </c>
      <c r="AH828" s="6">
        <v>80.900000000000006</v>
      </c>
      <c r="AI828" s="6">
        <v>0</v>
      </c>
      <c r="AJ828" s="6">
        <v>0.64100000000000001</v>
      </c>
      <c r="AK828" s="6">
        <v>0.498</v>
      </c>
      <c r="AL828" s="8">
        <v>5393.37</v>
      </c>
      <c r="AM828" s="6" t="s">
        <v>68</v>
      </c>
      <c r="AN828" s="6">
        <v>1</v>
      </c>
      <c r="AO828" s="6">
        <v>1</v>
      </c>
      <c r="AP828" s="6">
        <v>0</v>
      </c>
      <c r="AQ828" s="6">
        <v>1</v>
      </c>
      <c r="AR828" s="6">
        <v>0</v>
      </c>
      <c r="AS828" s="6">
        <v>1</v>
      </c>
      <c r="AT828" s="6">
        <v>0</v>
      </c>
      <c r="AU828" s="6">
        <v>2.3199999999999998</v>
      </c>
      <c r="AV828" s="6">
        <v>1.54</v>
      </c>
      <c r="AW828" s="6">
        <v>130.13999999999999</v>
      </c>
      <c r="AX828" s="6">
        <v>27.55</v>
      </c>
      <c r="AY828" s="6">
        <v>121.66</v>
      </c>
      <c r="AZ828" s="6">
        <v>30.8</v>
      </c>
      <c r="BA828" s="6">
        <v>27.6</v>
      </c>
    </row>
    <row r="829" spans="1:53" x14ac:dyDescent="0.3">
      <c r="A829" s="6">
        <v>300593456</v>
      </c>
      <c r="B829" s="6">
        <v>813328</v>
      </c>
      <c r="C829" s="6">
        <v>5186414</v>
      </c>
      <c r="D829" s="6">
        <v>4510</v>
      </c>
      <c r="E829" s="6" t="s">
        <v>57</v>
      </c>
      <c r="F829" s="6">
        <v>50025</v>
      </c>
      <c r="G829" s="6" t="s">
        <v>115</v>
      </c>
      <c r="H829" s="10">
        <v>45876</v>
      </c>
      <c r="I829" s="10">
        <v>45876</v>
      </c>
      <c r="J829" s="4">
        <v>45876.909722222219</v>
      </c>
      <c r="K829" s="4">
        <v>45877.124131944445</v>
      </c>
      <c r="L829" s="11">
        <v>45877.135243055556</v>
      </c>
      <c r="M829" s="10">
        <v>45877</v>
      </c>
      <c r="N829" s="6" t="s">
        <v>78</v>
      </c>
      <c r="O829" t="s">
        <v>79</v>
      </c>
      <c r="P829" s="6" t="s">
        <v>134</v>
      </c>
      <c r="Q829" t="s">
        <v>135</v>
      </c>
      <c r="R829" t="s">
        <v>73</v>
      </c>
      <c r="S829" s="6">
        <v>766655</v>
      </c>
      <c r="T829" s="6" t="s">
        <v>1</v>
      </c>
      <c r="U829">
        <v>224</v>
      </c>
      <c r="V829" s="6">
        <v>69.7</v>
      </c>
      <c r="W829" s="6">
        <v>23.4</v>
      </c>
      <c r="X829" s="6">
        <v>220.7</v>
      </c>
      <c r="Y829" s="6">
        <v>313.8</v>
      </c>
      <c r="Z829" s="6" t="s">
        <v>63</v>
      </c>
      <c r="AA829" t="s">
        <v>341</v>
      </c>
      <c r="AB829" s="6" t="s">
        <v>65</v>
      </c>
      <c r="AC829" t="s">
        <v>137</v>
      </c>
      <c r="AD829" t="s">
        <v>67</v>
      </c>
      <c r="AE829">
        <v>16</v>
      </c>
      <c r="AF829">
        <v>0</v>
      </c>
      <c r="AG829">
        <v>1.4</v>
      </c>
      <c r="AH829" s="6">
        <v>71.5</v>
      </c>
      <c r="AI829" s="6">
        <v>0</v>
      </c>
      <c r="AJ829" s="6">
        <v>0.27700000000000002</v>
      </c>
      <c r="AK829" s="6">
        <v>0.77100000000000002</v>
      </c>
      <c r="AL829" s="8">
        <v>3553.1</v>
      </c>
      <c r="AM829" s="6" t="s">
        <v>68</v>
      </c>
      <c r="AN829" s="6">
        <v>1</v>
      </c>
      <c r="AO829" s="6">
        <v>0</v>
      </c>
      <c r="AP829" s="6">
        <v>1</v>
      </c>
      <c r="AQ829" s="6">
        <v>0</v>
      </c>
      <c r="AR829" s="6">
        <v>1</v>
      </c>
      <c r="AS829" s="6">
        <v>0</v>
      </c>
      <c r="AT829" s="6">
        <v>1</v>
      </c>
      <c r="AU829" s="6">
        <v>1.74</v>
      </c>
      <c r="AV829" s="6">
        <v>1.17</v>
      </c>
      <c r="AW829" s="6">
        <v>265.77999999999997</v>
      </c>
      <c r="AX829" s="6">
        <v>41.45</v>
      </c>
      <c r="AY829" s="6">
        <v>169.14</v>
      </c>
      <c r="AZ829" s="6">
        <v>29.1</v>
      </c>
      <c r="BA829" s="6">
        <v>25.9</v>
      </c>
    </row>
    <row r="830" spans="1:53" x14ac:dyDescent="0.3">
      <c r="A830" s="6">
        <v>632794158</v>
      </c>
      <c r="B830" s="6">
        <v>197251</v>
      </c>
      <c r="C830" s="6">
        <v>4078418</v>
      </c>
      <c r="D830" s="6">
        <v>2585</v>
      </c>
      <c r="E830" s="6" t="s">
        <v>106</v>
      </c>
      <c r="F830" s="6">
        <v>51806</v>
      </c>
      <c r="G830" s="6" t="s">
        <v>127</v>
      </c>
      <c r="H830" s="10">
        <v>45970</v>
      </c>
      <c r="I830" s="10">
        <v>45970</v>
      </c>
      <c r="J830" s="4">
        <v>45970.305555555555</v>
      </c>
      <c r="K830" s="4">
        <v>45970.368055555555</v>
      </c>
      <c r="L830" s="11">
        <v>45970.366666666669</v>
      </c>
      <c r="M830" s="10">
        <v>45970</v>
      </c>
      <c r="N830" s="6" t="s">
        <v>121</v>
      </c>
      <c r="O830" t="s">
        <v>143</v>
      </c>
      <c r="P830" s="6" t="s">
        <v>176</v>
      </c>
      <c r="Q830" t="s">
        <v>292</v>
      </c>
      <c r="R830" t="s">
        <v>88</v>
      </c>
      <c r="S830" s="6">
        <v>750010</v>
      </c>
      <c r="T830" s="6" t="s">
        <v>3</v>
      </c>
      <c r="U830">
        <v>49</v>
      </c>
      <c r="V830" s="6">
        <v>1.9</v>
      </c>
      <c r="W830" s="6">
        <v>38</v>
      </c>
      <c r="X830" s="6">
        <v>46.7</v>
      </c>
      <c r="Y830" s="6">
        <v>86.6</v>
      </c>
      <c r="Z830" s="6" t="s">
        <v>63</v>
      </c>
      <c r="AA830" t="s">
        <v>819</v>
      </c>
      <c r="AB830" s="6" t="s">
        <v>97</v>
      </c>
      <c r="AC830" t="s">
        <v>91</v>
      </c>
      <c r="AD830" t="s">
        <v>67</v>
      </c>
      <c r="AE830">
        <v>-2</v>
      </c>
      <c r="AF830">
        <v>0</v>
      </c>
      <c r="AG830">
        <v>0</v>
      </c>
      <c r="AH830" s="6">
        <v>75.8</v>
      </c>
      <c r="AI830" s="6">
        <v>0</v>
      </c>
      <c r="AJ830" s="6">
        <v>0.746</v>
      </c>
      <c r="AK830" s="6">
        <v>0.61</v>
      </c>
      <c r="AL830" s="8">
        <v>11605.41</v>
      </c>
      <c r="AM830" s="6" t="s">
        <v>114</v>
      </c>
      <c r="AN830" s="6">
        <v>1</v>
      </c>
      <c r="AO830" s="6">
        <v>1</v>
      </c>
      <c r="AP830" s="6">
        <v>0</v>
      </c>
      <c r="AQ830" s="6">
        <v>1</v>
      </c>
      <c r="AR830" s="6">
        <v>0</v>
      </c>
      <c r="AS830" s="6">
        <v>1</v>
      </c>
      <c r="AT830" s="6">
        <v>0</v>
      </c>
      <c r="AU830" s="6">
        <v>2.2400000000000002</v>
      </c>
      <c r="AV830" s="6">
        <v>1.44</v>
      </c>
      <c r="AW830" s="6">
        <v>74.7</v>
      </c>
      <c r="AX830" s="6">
        <v>16.77</v>
      </c>
      <c r="AY830" s="6">
        <v>58.76</v>
      </c>
      <c r="AZ830" s="6">
        <v>11.9</v>
      </c>
      <c r="BA830" s="6">
        <v>14.9</v>
      </c>
    </row>
    <row r="831" spans="1:53" x14ac:dyDescent="0.3">
      <c r="A831" s="6">
        <v>843102880</v>
      </c>
      <c r="B831" s="6">
        <v>766563</v>
      </c>
      <c r="C831" s="6">
        <v>9910817</v>
      </c>
      <c r="D831" s="6">
        <v>1391</v>
      </c>
      <c r="E831" s="6" t="s">
        <v>185</v>
      </c>
      <c r="F831" s="6">
        <v>56651</v>
      </c>
      <c r="G831" s="6" t="s">
        <v>69</v>
      </c>
      <c r="H831" s="10">
        <v>45797</v>
      </c>
      <c r="I831" s="10">
        <v>45797</v>
      </c>
      <c r="J831" s="4">
        <v>45797.5625</v>
      </c>
      <c r="K831" s="4">
        <v>45797.866689814815</v>
      </c>
      <c r="L831" s="11">
        <v>45797.866689814815</v>
      </c>
      <c r="M831" s="10">
        <v>45797</v>
      </c>
      <c r="N831" s="6" t="s">
        <v>78</v>
      </c>
      <c r="O831" t="s">
        <v>166</v>
      </c>
      <c r="P831" s="6" t="s">
        <v>86</v>
      </c>
      <c r="Q831" t="s">
        <v>243</v>
      </c>
      <c r="R831" t="s">
        <v>88</v>
      </c>
      <c r="S831" s="6">
        <v>702981</v>
      </c>
      <c r="T831" s="6" t="s">
        <v>111</v>
      </c>
      <c r="U831">
        <v>391</v>
      </c>
      <c r="V831" s="6">
        <v>2.2000000000000002</v>
      </c>
      <c r="W831" s="6">
        <v>22.1</v>
      </c>
      <c r="X831" s="6">
        <v>383.7</v>
      </c>
      <c r="Y831" s="6">
        <v>408</v>
      </c>
      <c r="Z831" s="6" t="s">
        <v>80</v>
      </c>
      <c r="AA831" t="s">
        <v>145</v>
      </c>
      <c r="AB831" s="6" t="s">
        <v>75</v>
      </c>
      <c r="AC831" t="s">
        <v>66</v>
      </c>
      <c r="AD831" t="s">
        <v>67</v>
      </c>
      <c r="AE831">
        <v>0</v>
      </c>
      <c r="AF831">
        <v>0</v>
      </c>
      <c r="AG831">
        <v>0</v>
      </c>
      <c r="AH831" s="6">
        <v>29.9</v>
      </c>
      <c r="AI831" s="6">
        <v>0</v>
      </c>
      <c r="AJ831" s="6">
        <v>0.77100000000000002</v>
      </c>
      <c r="AK831" s="6">
        <v>0.64900000000000002</v>
      </c>
      <c r="AL831" s="8">
        <v>3117.95</v>
      </c>
      <c r="AM831" s="6" t="s">
        <v>68</v>
      </c>
      <c r="AN831" s="6">
        <v>1</v>
      </c>
      <c r="AO831" s="6">
        <v>1</v>
      </c>
      <c r="AP831" s="6">
        <v>0</v>
      </c>
      <c r="AQ831" s="6">
        <v>1</v>
      </c>
      <c r="AR831" s="6">
        <v>0</v>
      </c>
      <c r="AS831" s="6">
        <v>1</v>
      </c>
      <c r="AT831" s="6">
        <v>0</v>
      </c>
      <c r="AU831" s="6">
        <v>1.79</v>
      </c>
      <c r="AV831" s="6">
        <v>1.39</v>
      </c>
      <c r="AW831" s="6">
        <v>279.60000000000002</v>
      </c>
      <c r="AX831" s="6">
        <v>77.16</v>
      </c>
      <c r="AY831" s="6">
        <v>273.07</v>
      </c>
      <c r="AZ831" s="6">
        <v>10</v>
      </c>
      <c r="BA831" s="6">
        <v>38.1</v>
      </c>
    </row>
    <row r="832" spans="1:53" x14ac:dyDescent="0.3">
      <c r="A832" s="6">
        <v>634211672</v>
      </c>
      <c r="B832" s="6">
        <v>629903</v>
      </c>
      <c r="C832" s="6">
        <v>9143903</v>
      </c>
      <c r="D832" s="6">
        <v>9666</v>
      </c>
      <c r="E832" s="6" t="s">
        <v>225</v>
      </c>
      <c r="F832" s="6">
        <v>55664</v>
      </c>
      <c r="G832" s="6" t="s">
        <v>107</v>
      </c>
      <c r="H832" s="10">
        <v>45928</v>
      </c>
      <c r="I832" s="10">
        <v>45928</v>
      </c>
      <c r="J832" s="4">
        <v>45928.65625</v>
      </c>
      <c r="K832" s="4">
        <v>45928.931111111109</v>
      </c>
      <c r="L832" s="11">
        <v>45928.936666666668</v>
      </c>
      <c r="M832" s="10">
        <v>45928</v>
      </c>
      <c r="N832" s="6" t="s">
        <v>200</v>
      </c>
      <c r="O832" t="s">
        <v>171</v>
      </c>
      <c r="P832" s="6" t="s">
        <v>59</v>
      </c>
      <c r="Q832" t="s">
        <v>85</v>
      </c>
      <c r="R832" t="s">
        <v>62</v>
      </c>
      <c r="S832" s="6">
        <v>791457</v>
      </c>
      <c r="T832" s="6" t="s">
        <v>1</v>
      </c>
      <c r="U832">
        <v>244</v>
      </c>
      <c r="V832" s="6">
        <v>13.5</v>
      </c>
      <c r="W832" s="6">
        <v>23.3</v>
      </c>
      <c r="X832" s="6">
        <v>244.9</v>
      </c>
      <c r="Y832" s="6">
        <v>281.7</v>
      </c>
      <c r="Z832" s="6" t="s">
        <v>112</v>
      </c>
      <c r="AA832" t="s">
        <v>820</v>
      </c>
      <c r="AB832" s="6" t="s">
        <v>90</v>
      </c>
      <c r="AC832" t="s">
        <v>91</v>
      </c>
      <c r="AD832" t="s">
        <v>67</v>
      </c>
      <c r="AE832">
        <v>8</v>
      </c>
      <c r="AF832">
        <v>86</v>
      </c>
      <c r="AG832">
        <v>0</v>
      </c>
      <c r="AH832" s="6">
        <v>14.2</v>
      </c>
      <c r="AI832" s="6">
        <v>0</v>
      </c>
      <c r="AJ832" s="6">
        <v>0.84199999999999997</v>
      </c>
      <c r="AK832" s="6">
        <v>0.66400000000000003</v>
      </c>
      <c r="AL832" s="8">
        <v>83689.77</v>
      </c>
      <c r="AM832" s="6" t="s">
        <v>155</v>
      </c>
      <c r="AN832" s="6">
        <v>1</v>
      </c>
      <c r="AO832" s="6">
        <v>1</v>
      </c>
      <c r="AP832" s="6">
        <v>0</v>
      </c>
      <c r="AQ832" s="6">
        <v>1</v>
      </c>
      <c r="AR832" s="6">
        <v>0</v>
      </c>
      <c r="AS832" s="6">
        <v>1</v>
      </c>
      <c r="AT832" s="6">
        <v>0</v>
      </c>
      <c r="AU832" s="6">
        <v>2.36</v>
      </c>
      <c r="AV832" s="6">
        <v>1.55</v>
      </c>
      <c r="AW832" s="6">
        <v>214.71</v>
      </c>
      <c r="AX832" s="6">
        <v>60.42</v>
      </c>
      <c r="AY832" s="6">
        <v>166.5</v>
      </c>
      <c r="AZ832" s="6">
        <v>10.3</v>
      </c>
      <c r="BA832" s="6">
        <v>7.1</v>
      </c>
    </row>
    <row r="833" spans="1:53" x14ac:dyDescent="0.3">
      <c r="A833" s="6">
        <v>494435754</v>
      </c>
      <c r="B833" s="6">
        <v>245051</v>
      </c>
      <c r="C833" s="6">
        <v>1739653</v>
      </c>
      <c r="D833" s="6">
        <v>4763</v>
      </c>
      <c r="E833" s="6" t="s">
        <v>185</v>
      </c>
      <c r="F833" s="6">
        <v>55154</v>
      </c>
      <c r="G833" s="6" t="s">
        <v>235</v>
      </c>
      <c r="H833" s="10">
        <v>45887</v>
      </c>
      <c r="I833" s="10">
        <v>45887</v>
      </c>
      <c r="J833" s="4">
        <v>45887.548611111109</v>
      </c>
      <c r="K833" s="4">
        <v>45887.724745370368</v>
      </c>
      <c r="L833" s="11">
        <v>45887.716412037036</v>
      </c>
      <c r="M833" s="10">
        <v>45887</v>
      </c>
      <c r="N833" s="6" t="s">
        <v>132</v>
      </c>
      <c r="O833" t="s">
        <v>133</v>
      </c>
      <c r="P833" s="6" t="s">
        <v>116</v>
      </c>
      <c r="Q833" t="s">
        <v>117</v>
      </c>
      <c r="R833" t="s">
        <v>123</v>
      </c>
      <c r="S833" s="6">
        <v>742039</v>
      </c>
      <c r="T833" s="6" t="s">
        <v>1</v>
      </c>
      <c r="U833">
        <v>211</v>
      </c>
      <c r="V833" s="6">
        <v>-25.4</v>
      </c>
      <c r="W833" s="6">
        <v>37.5</v>
      </c>
      <c r="X833" s="6">
        <v>206.9</v>
      </c>
      <c r="Y833" s="6">
        <v>244.4</v>
      </c>
      <c r="Z833" s="6" t="s">
        <v>63</v>
      </c>
      <c r="AA833" t="s">
        <v>256</v>
      </c>
      <c r="AB833" s="6" t="s">
        <v>75</v>
      </c>
      <c r="AC833" t="s">
        <v>83</v>
      </c>
      <c r="AD833" t="s">
        <v>67</v>
      </c>
      <c r="AE833">
        <v>-12</v>
      </c>
      <c r="AF833">
        <v>0</v>
      </c>
      <c r="AG833">
        <v>0</v>
      </c>
      <c r="AH833" s="6">
        <v>44.8</v>
      </c>
      <c r="AI833" s="6">
        <v>0</v>
      </c>
      <c r="AJ833" s="6">
        <v>0.66300000000000003</v>
      </c>
      <c r="AK833" s="6">
        <v>0.85199999999999998</v>
      </c>
      <c r="AL833" s="8">
        <v>3557.82</v>
      </c>
      <c r="AM833" s="6" t="s">
        <v>68</v>
      </c>
      <c r="AN833" s="6">
        <v>1</v>
      </c>
      <c r="AO833" s="6">
        <v>1</v>
      </c>
      <c r="AP833" s="6">
        <v>0</v>
      </c>
      <c r="AQ833" s="6">
        <v>1</v>
      </c>
      <c r="AR833" s="6">
        <v>0</v>
      </c>
      <c r="AS833" s="6">
        <v>1</v>
      </c>
      <c r="AT833" s="6">
        <v>0</v>
      </c>
      <c r="AU833" s="6">
        <v>2.34</v>
      </c>
      <c r="AV833" s="6">
        <v>1.45</v>
      </c>
      <c r="AW833" s="6">
        <v>208.07</v>
      </c>
      <c r="AX833" s="6">
        <v>39.31</v>
      </c>
      <c r="AY833" s="6">
        <v>140.87</v>
      </c>
      <c r="AZ833" s="6">
        <v>12.9</v>
      </c>
      <c r="BA833" s="6">
        <v>66.7</v>
      </c>
    </row>
    <row r="834" spans="1:53" x14ac:dyDescent="0.3">
      <c r="A834" s="6">
        <v>956084565</v>
      </c>
      <c r="B834" s="6">
        <v>688508</v>
      </c>
      <c r="C834" s="6">
        <v>8930103</v>
      </c>
      <c r="D834" s="6">
        <v>3047</v>
      </c>
      <c r="E834" s="6" t="s">
        <v>225</v>
      </c>
      <c r="F834" s="6">
        <v>55824</v>
      </c>
      <c r="G834" s="6" t="s">
        <v>98</v>
      </c>
      <c r="H834" s="10">
        <v>45795</v>
      </c>
      <c r="I834" s="10">
        <v>45795</v>
      </c>
      <c r="J834" s="4">
        <v>45795.465277777781</v>
      </c>
      <c r="K834" s="4">
        <v>45795.679178240738</v>
      </c>
      <c r="L834" s="11">
        <v>45795.872233796297</v>
      </c>
      <c r="M834" s="10">
        <v>45795</v>
      </c>
      <c r="N834" s="6" t="s">
        <v>116</v>
      </c>
      <c r="O834" t="s">
        <v>212</v>
      </c>
      <c r="P834" s="6" t="s">
        <v>116</v>
      </c>
      <c r="Q834" t="s">
        <v>117</v>
      </c>
      <c r="R834" t="s">
        <v>123</v>
      </c>
      <c r="S834" s="6">
        <v>748114</v>
      </c>
      <c r="T834" s="6" t="s">
        <v>1</v>
      </c>
      <c r="U834">
        <v>238</v>
      </c>
      <c r="V834" s="6">
        <v>7</v>
      </c>
      <c r="W834" s="6">
        <v>19.7</v>
      </c>
      <c r="X834" s="6">
        <v>245</v>
      </c>
      <c r="Y834" s="6">
        <v>271.7</v>
      </c>
      <c r="Z834" s="6" t="s">
        <v>80</v>
      </c>
      <c r="AA834" t="s">
        <v>706</v>
      </c>
      <c r="AB834" s="6" t="s">
        <v>75</v>
      </c>
      <c r="AC834" t="s">
        <v>91</v>
      </c>
      <c r="AD834" t="s">
        <v>120</v>
      </c>
      <c r="AE834">
        <v>278</v>
      </c>
      <c r="AF834">
        <v>0</v>
      </c>
      <c r="AG834">
        <v>0</v>
      </c>
      <c r="AH834" s="6">
        <v>63</v>
      </c>
      <c r="AI834" s="6">
        <v>1</v>
      </c>
      <c r="AJ834" s="6">
        <v>0.80400000000000005</v>
      </c>
      <c r="AK834" s="6">
        <v>0.46</v>
      </c>
      <c r="AL834" s="8">
        <v>4760.01</v>
      </c>
      <c r="AM834" s="6" t="s">
        <v>68</v>
      </c>
      <c r="AN834" s="6">
        <v>1</v>
      </c>
      <c r="AO834" s="6">
        <v>0</v>
      </c>
      <c r="AP834" s="6">
        <v>1</v>
      </c>
      <c r="AQ834" s="6">
        <v>0</v>
      </c>
      <c r="AR834" s="6">
        <v>1</v>
      </c>
      <c r="AS834" s="6">
        <v>0</v>
      </c>
      <c r="AT834" s="6">
        <v>1</v>
      </c>
      <c r="AU834" s="6">
        <v>2.13</v>
      </c>
      <c r="AV834" s="6">
        <v>1.47</v>
      </c>
      <c r="AW834" s="6">
        <v>223.53</v>
      </c>
      <c r="AX834" s="6">
        <v>1241.69</v>
      </c>
      <c r="AY834" s="6">
        <v>176.27</v>
      </c>
      <c r="AZ834" s="6">
        <v>4</v>
      </c>
      <c r="BA834" s="6">
        <v>78.900000000000006</v>
      </c>
    </row>
    <row r="835" spans="1:53" x14ac:dyDescent="0.3">
      <c r="A835" s="6">
        <v>657568201</v>
      </c>
      <c r="B835" s="6">
        <v>804314</v>
      </c>
      <c r="C835" s="6">
        <v>1006810</v>
      </c>
      <c r="D835" s="6">
        <v>7893</v>
      </c>
      <c r="E835" s="6" t="s">
        <v>106</v>
      </c>
      <c r="F835" s="6">
        <v>53659</v>
      </c>
      <c r="G835" s="6" t="s">
        <v>127</v>
      </c>
      <c r="H835" s="10">
        <v>45709</v>
      </c>
      <c r="I835" s="10">
        <v>45709</v>
      </c>
      <c r="J835" s="4">
        <v>45709.993055555555</v>
      </c>
      <c r="K835" s="4">
        <v>45710.476886574077</v>
      </c>
      <c r="L835" s="11">
        <v>45710.458136574074</v>
      </c>
      <c r="M835" s="10">
        <v>45710</v>
      </c>
      <c r="N835" s="6" t="s">
        <v>129</v>
      </c>
      <c r="O835" t="s">
        <v>130</v>
      </c>
      <c r="P835" s="6" t="s">
        <v>129</v>
      </c>
      <c r="Q835" t="s">
        <v>241</v>
      </c>
      <c r="R835" t="s">
        <v>123</v>
      </c>
      <c r="S835" s="6">
        <v>739365</v>
      </c>
      <c r="T835" s="6" t="s">
        <v>111</v>
      </c>
      <c r="U835">
        <v>415</v>
      </c>
      <c r="V835" s="6">
        <v>33.1</v>
      </c>
      <c r="W835" s="6">
        <v>28.8</v>
      </c>
      <c r="X835" s="6">
        <v>419.1</v>
      </c>
      <c r="Y835" s="6">
        <v>481</v>
      </c>
      <c r="Z835" s="6" t="s">
        <v>63</v>
      </c>
      <c r="AA835" t="s">
        <v>821</v>
      </c>
      <c r="AB835" s="6" t="s">
        <v>65</v>
      </c>
      <c r="AC835" t="s">
        <v>154</v>
      </c>
      <c r="AD835" t="s">
        <v>67</v>
      </c>
      <c r="AE835">
        <v>-27</v>
      </c>
      <c r="AF835">
        <v>0</v>
      </c>
      <c r="AG835">
        <v>0</v>
      </c>
      <c r="AH835" s="6">
        <v>48.4</v>
      </c>
      <c r="AI835" s="6">
        <v>0</v>
      </c>
      <c r="AJ835" s="6">
        <v>0.66600000000000004</v>
      </c>
      <c r="AK835" s="6">
        <v>0.753</v>
      </c>
      <c r="AL835" s="8">
        <v>11770.91</v>
      </c>
      <c r="AM835" s="6" t="s">
        <v>114</v>
      </c>
      <c r="AN835" s="6">
        <v>1</v>
      </c>
      <c r="AO835" s="6">
        <v>1</v>
      </c>
      <c r="AP835" s="6">
        <v>0</v>
      </c>
      <c r="AQ835" s="6">
        <v>1</v>
      </c>
      <c r="AR835" s="6">
        <v>0</v>
      </c>
      <c r="AS835" s="6">
        <v>1</v>
      </c>
      <c r="AT835" s="6">
        <v>0</v>
      </c>
      <c r="AU835" s="6">
        <v>2.2799999999999998</v>
      </c>
      <c r="AV835" s="6">
        <v>1.71</v>
      </c>
      <c r="AW835" s="6">
        <v>383.58</v>
      </c>
      <c r="AX835" s="6">
        <v>100.24</v>
      </c>
      <c r="AY835" s="6">
        <v>291.89999999999998</v>
      </c>
      <c r="AZ835" s="6">
        <v>11.6</v>
      </c>
      <c r="BA835" s="6">
        <v>12.1</v>
      </c>
    </row>
    <row r="836" spans="1:53" x14ac:dyDescent="0.3">
      <c r="A836" s="6">
        <v>386389162</v>
      </c>
      <c r="B836" s="6">
        <v>287330</v>
      </c>
      <c r="C836" s="6">
        <v>4348276</v>
      </c>
      <c r="D836" s="6">
        <v>9338</v>
      </c>
      <c r="E836" s="6" t="s">
        <v>101</v>
      </c>
      <c r="F836" s="6">
        <v>51525</v>
      </c>
      <c r="G836" s="6" t="s">
        <v>149</v>
      </c>
      <c r="H836" s="10">
        <v>45916</v>
      </c>
      <c r="I836" s="10">
        <v>45916</v>
      </c>
      <c r="J836" s="4">
        <v>45916.5625</v>
      </c>
      <c r="K836" s="4">
        <v>45916.786782407406</v>
      </c>
      <c r="L836" s="11">
        <v>45916.761782407404</v>
      </c>
      <c r="M836" s="10">
        <v>45916</v>
      </c>
      <c r="N836" s="6" t="s">
        <v>132</v>
      </c>
      <c r="O836" t="s">
        <v>186</v>
      </c>
      <c r="P836" s="6" t="s">
        <v>132</v>
      </c>
      <c r="Q836" t="s">
        <v>229</v>
      </c>
      <c r="R836" t="s">
        <v>62</v>
      </c>
      <c r="S836" s="6">
        <v>711807</v>
      </c>
      <c r="T836" s="6" t="s">
        <v>1</v>
      </c>
      <c r="U836">
        <v>264</v>
      </c>
      <c r="V836" s="6">
        <v>66.3</v>
      </c>
      <c r="W836" s="6">
        <v>9.6999999999999993</v>
      </c>
      <c r="X836" s="6">
        <v>259.8</v>
      </c>
      <c r="Y836" s="6">
        <v>335.8</v>
      </c>
      <c r="Z836" s="6" t="s">
        <v>2</v>
      </c>
      <c r="AA836" t="s">
        <v>363</v>
      </c>
      <c r="AB836" s="6" t="s">
        <v>75</v>
      </c>
      <c r="AC836" t="s">
        <v>66</v>
      </c>
      <c r="AD836" t="s">
        <v>67</v>
      </c>
      <c r="AE836">
        <v>-36</v>
      </c>
      <c r="AF836">
        <v>0</v>
      </c>
      <c r="AG836">
        <v>0</v>
      </c>
      <c r="AH836" s="6">
        <v>48.5</v>
      </c>
      <c r="AI836" s="6">
        <v>0</v>
      </c>
      <c r="AJ836" s="6">
        <v>0.65900000000000003</v>
      </c>
      <c r="AK836" s="6">
        <v>0.90500000000000003</v>
      </c>
      <c r="AL836" s="8">
        <v>33895.019999999997</v>
      </c>
      <c r="AM836" s="6" t="s">
        <v>155</v>
      </c>
      <c r="AN836" s="6">
        <v>1</v>
      </c>
      <c r="AO836" s="6">
        <v>1</v>
      </c>
      <c r="AP836" s="6">
        <v>0</v>
      </c>
      <c r="AQ836" s="6">
        <v>1</v>
      </c>
      <c r="AR836" s="6">
        <v>0</v>
      </c>
      <c r="AS836" s="6">
        <v>1</v>
      </c>
      <c r="AT836" s="6">
        <v>0</v>
      </c>
      <c r="AU836" s="6">
        <v>2.61</v>
      </c>
      <c r="AV836" s="6">
        <v>1.73</v>
      </c>
      <c r="AW836" s="6">
        <v>240.81</v>
      </c>
      <c r="AX836" s="6">
        <v>70.63</v>
      </c>
      <c r="AY836" s="6">
        <v>212.11</v>
      </c>
      <c r="AZ836" s="6">
        <v>17.5</v>
      </c>
      <c r="BA836" s="6">
        <v>69.400000000000006</v>
      </c>
    </row>
    <row r="837" spans="1:53" x14ac:dyDescent="0.3">
      <c r="A837" s="6">
        <v>960226208</v>
      </c>
      <c r="B837" s="6">
        <v>472528</v>
      </c>
      <c r="C837" s="6">
        <v>4117625</v>
      </c>
      <c r="D837" s="6">
        <v>7278</v>
      </c>
      <c r="E837" s="6" t="s">
        <v>101</v>
      </c>
      <c r="F837" s="6">
        <v>50760</v>
      </c>
      <c r="G837" s="6" t="s">
        <v>164</v>
      </c>
      <c r="H837" s="10">
        <v>45969</v>
      </c>
      <c r="I837" s="10">
        <v>45969</v>
      </c>
      <c r="J837" s="4">
        <v>45969.46875</v>
      </c>
      <c r="K837" s="4">
        <v>45969.748611111114</v>
      </c>
      <c r="L837" s="11">
        <v>45969.748611111114</v>
      </c>
      <c r="M837" s="10">
        <v>45969</v>
      </c>
      <c r="N837" s="6" t="s">
        <v>116</v>
      </c>
      <c r="O837" t="s">
        <v>251</v>
      </c>
      <c r="P837" s="6" t="s">
        <v>93</v>
      </c>
      <c r="Q837" t="s">
        <v>94</v>
      </c>
      <c r="R837" t="s">
        <v>73</v>
      </c>
      <c r="S837" s="6">
        <v>790386</v>
      </c>
      <c r="T837" s="6" t="s">
        <v>1</v>
      </c>
      <c r="U837">
        <v>256</v>
      </c>
      <c r="V837" s="6">
        <v>3.1</v>
      </c>
      <c r="W837" s="6">
        <v>25.1</v>
      </c>
      <c r="X837" s="6">
        <v>250.7</v>
      </c>
      <c r="Y837" s="6">
        <v>278.89999999999998</v>
      </c>
      <c r="Z837" s="6" t="s">
        <v>63</v>
      </c>
      <c r="AA837" t="s">
        <v>822</v>
      </c>
      <c r="AB837" s="6" t="s">
        <v>75</v>
      </c>
      <c r="AC837" t="s">
        <v>76</v>
      </c>
      <c r="AD837" t="s">
        <v>67</v>
      </c>
      <c r="AE837">
        <v>0</v>
      </c>
      <c r="AF837">
        <v>0</v>
      </c>
      <c r="AG837">
        <v>0</v>
      </c>
      <c r="AH837" s="6">
        <v>39.9</v>
      </c>
      <c r="AI837" s="6">
        <v>0</v>
      </c>
      <c r="AJ837" s="6">
        <v>0.48699999999999999</v>
      </c>
      <c r="AK837" s="6">
        <v>0.59199999999999997</v>
      </c>
      <c r="AL837" s="8">
        <v>3429.1</v>
      </c>
      <c r="AM837" s="6" t="s">
        <v>68</v>
      </c>
      <c r="AN837" s="6">
        <v>1</v>
      </c>
      <c r="AO837" s="6">
        <v>1</v>
      </c>
      <c r="AP837" s="6">
        <v>0</v>
      </c>
      <c r="AQ837" s="6">
        <v>1</v>
      </c>
      <c r="AR837" s="6">
        <v>0</v>
      </c>
      <c r="AS837" s="6">
        <v>1</v>
      </c>
      <c r="AT837" s="6">
        <v>0</v>
      </c>
      <c r="AU837" s="6">
        <v>2.38</v>
      </c>
      <c r="AV837" s="6">
        <v>1.72</v>
      </c>
      <c r="AW837" s="6">
        <v>223.89</v>
      </c>
      <c r="AX837" s="6">
        <v>49.63</v>
      </c>
      <c r="AY837" s="6">
        <v>165.35</v>
      </c>
      <c r="AZ837" s="6">
        <v>20.5</v>
      </c>
      <c r="BA837" s="6">
        <v>74.3</v>
      </c>
    </row>
    <row r="838" spans="1:53" x14ac:dyDescent="0.3">
      <c r="A838" s="6">
        <v>188703430</v>
      </c>
      <c r="B838" s="6">
        <v>249811</v>
      </c>
      <c r="C838" s="6">
        <v>2795765</v>
      </c>
      <c r="D838" s="6">
        <v>8392</v>
      </c>
      <c r="E838" s="6" t="s">
        <v>92</v>
      </c>
      <c r="F838" s="6">
        <v>50594</v>
      </c>
      <c r="G838" s="6" t="s">
        <v>127</v>
      </c>
      <c r="H838" s="10">
        <v>45908</v>
      </c>
      <c r="I838" s="10">
        <v>45908</v>
      </c>
      <c r="J838" s="4">
        <v>45908.048611111109</v>
      </c>
      <c r="K838" s="4">
        <v>45908.287835648145</v>
      </c>
      <c r="L838" s="11">
        <v>45908.260752314818</v>
      </c>
      <c r="M838" s="10">
        <v>45908</v>
      </c>
      <c r="N838" s="6" t="s">
        <v>93</v>
      </c>
      <c r="O838" t="s">
        <v>290</v>
      </c>
      <c r="P838" s="6" t="s">
        <v>86</v>
      </c>
      <c r="Q838" t="s">
        <v>108</v>
      </c>
      <c r="R838" t="s">
        <v>88</v>
      </c>
      <c r="S838" s="6">
        <v>756949</v>
      </c>
      <c r="T838" s="6" t="s">
        <v>1</v>
      </c>
      <c r="U838">
        <v>219</v>
      </c>
      <c r="V838" s="6">
        <v>25.5</v>
      </c>
      <c r="W838" s="6">
        <v>19.5</v>
      </c>
      <c r="X838" s="6">
        <v>215.1</v>
      </c>
      <c r="Y838" s="6">
        <v>260.10000000000002</v>
      </c>
      <c r="Z838" s="6" t="s">
        <v>63</v>
      </c>
      <c r="AA838" t="s">
        <v>823</v>
      </c>
      <c r="AB838" s="6" t="s">
        <v>82</v>
      </c>
      <c r="AC838" t="s">
        <v>83</v>
      </c>
      <c r="AD838" t="s">
        <v>67</v>
      </c>
      <c r="AE838">
        <v>-39</v>
      </c>
      <c r="AF838">
        <v>0</v>
      </c>
      <c r="AG838">
        <v>0</v>
      </c>
      <c r="AH838" s="6">
        <v>16.2</v>
      </c>
      <c r="AI838" s="6">
        <v>0</v>
      </c>
      <c r="AJ838" s="6">
        <v>0.33900000000000002</v>
      </c>
      <c r="AK838" s="6">
        <v>0.35199999999999998</v>
      </c>
      <c r="AL838" s="8">
        <v>2146.86</v>
      </c>
      <c r="AM838" s="6" t="s">
        <v>68</v>
      </c>
      <c r="AN838" s="6">
        <v>1</v>
      </c>
      <c r="AO838" s="6">
        <v>1</v>
      </c>
      <c r="AP838" s="6">
        <v>0</v>
      </c>
      <c r="AQ838" s="6">
        <v>1</v>
      </c>
      <c r="AR838" s="6">
        <v>0</v>
      </c>
      <c r="AS838" s="6">
        <v>1</v>
      </c>
      <c r="AT838" s="6">
        <v>0</v>
      </c>
      <c r="AU838" s="6">
        <v>2.09</v>
      </c>
      <c r="AV838" s="6">
        <v>1.35</v>
      </c>
      <c r="AW838" s="6">
        <v>209.03</v>
      </c>
      <c r="AX838" s="6">
        <v>51.62</v>
      </c>
      <c r="AY838" s="6">
        <v>159.63</v>
      </c>
      <c r="AZ838" s="6">
        <v>11.1</v>
      </c>
      <c r="BA838" s="6">
        <v>15.1</v>
      </c>
    </row>
    <row r="839" spans="1:53" x14ac:dyDescent="0.3">
      <c r="A839" s="6">
        <v>880697625</v>
      </c>
      <c r="B839" s="6">
        <v>903035</v>
      </c>
      <c r="C839" s="6">
        <v>7110622</v>
      </c>
      <c r="D839" s="6">
        <v>3200</v>
      </c>
      <c r="E839" s="6" t="s">
        <v>92</v>
      </c>
      <c r="F839" s="6">
        <v>57192</v>
      </c>
      <c r="G839" s="6" t="s">
        <v>77</v>
      </c>
      <c r="H839" s="10">
        <v>45664</v>
      </c>
      <c r="I839" s="10">
        <v>45664</v>
      </c>
      <c r="J839" s="4">
        <v>45664.586805555555</v>
      </c>
      <c r="K839" s="4">
        <v>45664.846932870372</v>
      </c>
      <c r="L839" s="11">
        <v>45664.978182870371</v>
      </c>
      <c r="M839" s="10">
        <v>45664</v>
      </c>
      <c r="N839" s="6" t="s">
        <v>109</v>
      </c>
      <c r="O839" t="s">
        <v>198</v>
      </c>
      <c r="P839" s="6" t="s">
        <v>78</v>
      </c>
      <c r="Q839" t="s">
        <v>147</v>
      </c>
      <c r="R839" t="s">
        <v>88</v>
      </c>
      <c r="S839" s="6">
        <v>717088</v>
      </c>
      <c r="T839" s="6" t="s">
        <v>1</v>
      </c>
      <c r="U839">
        <v>250</v>
      </c>
      <c r="V839" s="6">
        <v>39.200000000000003</v>
      </c>
      <c r="W839" s="6">
        <v>9.4</v>
      </c>
      <c r="X839" s="6">
        <v>244.3</v>
      </c>
      <c r="Y839" s="6">
        <v>292.89999999999998</v>
      </c>
      <c r="Z839" s="6" t="s">
        <v>2</v>
      </c>
      <c r="AA839" t="s">
        <v>358</v>
      </c>
      <c r="AB839" s="6" t="s">
        <v>90</v>
      </c>
      <c r="AC839" t="s">
        <v>66</v>
      </c>
      <c r="AD839" t="s">
        <v>192</v>
      </c>
      <c r="AE839">
        <v>189</v>
      </c>
      <c r="AF839">
        <v>0</v>
      </c>
      <c r="AG839">
        <v>0</v>
      </c>
      <c r="AH839" s="6">
        <v>78.400000000000006</v>
      </c>
      <c r="AI839" s="6">
        <v>0</v>
      </c>
      <c r="AJ839" s="6">
        <v>0.56499999999999995</v>
      </c>
      <c r="AK839" s="6">
        <v>0.70899999999999996</v>
      </c>
      <c r="AL839" s="8">
        <v>6403.07</v>
      </c>
      <c r="AM839" s="6" t="s">
        <v>68</v>
      </c>
      <c r="AN839" s="6">
        <v>1</v>
      </c>
      <c r="AO839" s="6">
        <v>0</v>
      </c>
      <c r="AP839" s="6">
        <v>1</v>
      </c>
      <c r="AQ839" s="6">
        <v>0</v>
      </c>
      <c r="AR839" s="6">
        <v>1</v>
      </c>
      <c r="AS839" s="6">
        <v>0</v>
      </c>
      <c r="AT839" s="6">
        <v>1</v>
      </c>
      <c r="AU839" s="6">
        <v>2.0099999999999998</v>
      </c>
      <c r="AV839" s="6">
        <v>1.48</v>
      </c>
      <c r="AW839" s="6">
        <v>219.6</v>
      </c>
      <c r="AX839" s="6">
        <v>47.04</v>
      </c>
      <c r="AY839" s="6">
        <v>153.88999999999999</v>
      </c>
      <c r="AZ839" s="6">
        <v>26.8</v>
      </c>
      <c r="BA839" s="6">
        <v>6.6</v>
      </c>
    </row>
    <row r="840" spans="1:53" x14ac:dyDescent="0.3">
      <c r="A840" s="6">
        <v>555803043</v>
      </c>
      <c r="B840" s="6">
        <v>623481</v>
      </c>
      <c r="C840" s="6">
        <v>2737893</v>
      </c>
      <c r="D840" s="6">
        <v>4627</v>
      </c>
      <c r="E840" s="6" t="s">
        <v>101</v>
      </c>
      <c r="F840" s="6">
        <v>51055</v>
      </c>
      <c r="G840" s="6" t="s">
        <v>127</v>
      </c>
      <c r="H840" s="10">
        <v>45736</v>
      </c>
      <c r="I840" s="10">
        <v>45736</v>
      </c>
      <c r="J840" s="4">
        <v>45736.677083333336</v>
      </c>
      <c r="K840" s="4">
        <v>45737.586331018516</v>
      </c>
      <c r="L840" s="11">
        <v>45737.653692129628</v>
      </c>
      <c r="M840" s="10">
        <v>45737</v>
      </c>
      <c r="N840" s="6" t="s">
        <v>116</v>
      </c>
      <c r="O840" t="s">
        <v>128</v>
      </c>
      <c r="P840" s="6" t="s">
        <v>200</v>
      </c>
      <c r="Q840" t="s">
        <v>161</v>
      </c>
      <c r="R840" t="s">
        <v>62</v>
      </c>
      <c r="S840" s="6">
        <v>755514</v>
      </c>
      <c r="T840" s="6" t="s">
        <v>140</v>
      </c>
      <c r="U840">
        <v>977</v>
      </c>
      <c r="V840" s="6">
        <v>49.3</v>
      </c>
      <c r="W840" s="6">
        <v>36.700000000000003</v>
      </c>
      <c r="X840" s="6">
        <v>975.3</v>
      </c>
      <c r="Y840" s="6">
        <v>1061.3</v>
      </c>
      <c r="Z840" s="6" t="s">
        <v>63</v>
      </c>
      <c r="AA840" t="s">
        <v>824</v>
      </c>
      <c r="AB840" s="6" t="s">
        <v>90</v>
      </c>
      <c r="AC840" t="s">
        <v>137</v>
      </c>
      <c r="AD840" t="s">
        <v>206</v>
      </c>
      <c r="AE840">
        <v>97</v>
      </c>
      <c r="AF840">
        <v>243</v>
      </c>
      <c r="AG840">
        <v>0</v>
      </c>
      <c r="AH840" s="6">
        <v>48.6</v>
      </c>
      <c r="AI840" s="6">
        <v>0</v>
      </c>
      <c r="AJ840" s="6">
        <v>0.59499999999999997</v>
      </c>
      <c r="AK840" s="6">
        <v>0.84899999999999998</v>
      </c>
      <c r="AL840" s="8">
        <v>14325.17</v>
      </c>
      <c r="AM840" s="6" t="s">
        <v>114</v>
      </c>
      <c r="AN840" s="6">
        <v>1</v>
      </c>
      <c r="AO840" s="6">
        <v>0</v>
      </c>
      <c r="AP840" s="6">
        <v>1</v>
      </c>
      <c r="AQ840" s="6">
        <v>0</v>
      </c>
      <c r="AR840" s="6">
        <v>1</v>
      </c>
      <c r="AS840" s="6">
        <v>0</v>
      </c>
      <c r="AT840" s="6">
        <v>1</v>
      </c>
      <c r="AU840" s="6">
        <v>2.5099999999999998</v>
      </c>
      <c r="AV840" s="6">
        <v>1.83</v>
      </c>
      <c r="AW840" s="6">
        <v>963.76</v>
      </c>
      <c r="AX840" s="6">
        <v>155.57</v>
      </c>
      <c r="AY840" s="6">
        <v>523.53</v>
      </c>
      <c r="AZ840" s="6">
        <v>22.3</v>
      </c>
      <c r="BA840" s="6">
        <v>68.900000000000006</v>
      </c>
    </row>
    <row r="841" spans="1:53" x14ac:dyDescent="0.3">
      <c r="A841" s="6">
        <v>184747224</v>
      </c>
      <c r="B841" s="6">
        <v>207175</v>
      </c>
      <c r="C841" s="6">
        <v>8077999</v>
      </c>
      <c r="D841" s="6">
        <v>4152</v>
      </c>
      <c r="E841" s="6" t="s">
        <v>142</v>
      </c>
      <c r="F841" s="6">
        <v>53083</v>
      </c>
      <c r="G841" s="6" t="s">
        <v>146</v>
      </c>
      <c r="H841" s="10">
        <v>45683</v>
      </c>
      <c r="I841" s="10">
        <v>45683</v>
      </c>
      <c r="J841" s="4">
        <v>45683.427083333336</v>
      </c>
      <c r="K841" s="4">
        <v>45683.788368055553</v>
      </c>
      <c r="L841" s="11">
        <v>45683.794618055559</v>
      </c>
      <c r="M841" s="10">
        <v>45683</v>
      </c>
      <c r="N841" s="6" t="s">
        <v>59</v>
      </c>
      <c r="O841" t="s">
        <v>167</v>
      </c>
      <c r="P841" s="6" t="s">
        <v>121</v>
      </c>
      <c r="Q841" t="s">
        <v>179</v>
      </c>
      <c r="R841" t="s">
        <v>123</v>
      </c>
      <c r="S841" s="6">
        <v>785820</v>
      </c>
      <c r="T841" s="6" t="s">
        <v>111</v>
      </c>
      <c r="U841">
        <v>389</v>
      </c>
      <c r="V841" s="6">
        <v>60.9</v>
      </c>
      <c r="W841" s="6">
        <v>1.8</v>
      </c>
      <c r="X841" s="6">
        <v>384</v>
      </c>
      <c r="Y841" s="6">
        <v>446.7</v>
      </c>
      <c r="Z841" s="6" t="s">
        <v>112</v>
      </c>
      <c r="AA841" t="s">
        <v>825</v>
      </c>
      <c r="AB841" s="6" t="s">
        <v>75</v>
      </c>
      <c r="AC841" t="s">
        <v>91</v>
      </c>
      <c r="AD841" t="s">
        <v>67</v>
      </c>
      <c r="AE841">
        <v>9</v>
      </c>
      <c r="AF841">
        <v>0</v>
      </c>
      <c r="AG841">
        <v>0</v>
      </c>
      <c r="AH841" s="6">
        <v>83.9</v>
      </c>
      <c r="AI841" s="6">
        <v>0</v>
      </c>
      <c r="AJ841" s="6">
        <v>0.20200000000000001</v>
      </c>
      <c r="AK841" s="6">
        <v>0.81899999999999995</v>
      </c>
      <c r="AL841" s="8">
        <v>98317.36</v>
      </c>
      <c r="AM841" s="6" t="s">
        <v>155</v>
      </c>
      <c r="AN841" s="6">
        <v>1</v>
      </c>
      <c r="AO841" s="6">
        <v>1</v>
      </c>
      <c r="AP841" s="6">
        <v>0</v>
      </c>
      <c r="AQ841" s="6">
        <v>1</v>
      </c>
      <c r="AR841" s="6">
        <v>0</v>
      </c>
      <c r="AS841" s="6">
        <v>1</v>
      </c>
      <c r="AT841" s="6">
        <v>0</v>
      </c>
      <c r="AU841" s="6">
        <v>2.12</v>
      </c>
      <c r="AV841" s="6">
        <v>1.55</v>
      </c>
      <c r="AW841" s="6">
        <v>364.48</v>
      </c>
      <c r="AX841" s="6">
        <v>90.99</v>
      </c>
      <c r="AY841" s="6">
        <v>252.57</v>
      </c>
      <c r="AZ841" s="6">
        <v>16.8</v>
      </c>
      <c r="BA841" s="6">
        <v>0</v>
      </c>
    </row>
    <row r="842" spans="1:53" x14ac:dyDescent="0.3">
      <c r="A842" s="6">
        <v>562360908</v>
      </c>
      <c r="B842" s="6">
        <v>974628</v>
      </c>
      <c r="C842" s="6">
        <v>3641282</v>
      </c>
      <c r="D842" s="6">
        <v>6892</v>
      </c>
      <c r="E842" s="6" t="s">
        <v>57</v>
      </c>
      <c r="F842" s="6">
        <v>53675</v>
      </c>
      <c r="G842" s="6" t="s">
        <v>69</v>
      </c>
      <c r="H842" s="10">
        <v>45866</v>
      </c>
      <c r="I842" s="10">
        <v>45866</v>
      </c>
      <c r="J842" s="4">
        <v>45866.180555555555</v>
      </c>
      <c r="K842" s="4">
        <v>45866.255729166667</v>
      </c>
      <c r="L842" s="11">
        <v>45866.426562499997</v>
      </c>
      <c r="M842" s="10">
        <v>45866</v>
      </c>
      <c r="N842" s="6" t="s">
        <v>70</v>
      </c>
      <c r="O842" t="s">
        <v>72</v>
      </c>
      <c r="P842" s="6" t="s">
        <v>176</v>
      </c>
      <c r="Q842" t="s">
        <v>227</v>
      </c>
      <c r="R842" t="s">
        <v>88</v>
      </c>
      <c r="S842" s="6">
        <v>711151</v>
      </c>
      <c r="T842" s="6" t="s">
        <v>3</v>
      </c>
      <c r="U842">
        <v>57</v>
      </c>
      <c r="V842" s="6">
        <v>13.6</v>
      </c>
      <c r="W842" s="6">
        <v>20.399999999999999</v>
      </c>
      <c r="X842" s="6">
        <v>64</v>
      </c>
      <c r="Y842" s="6">
        <v>98</v>
      </c>
      <c r="Z842" s="6" t="s">
        <v>63</v>
      </c>
      <c r="AA842" t="s">
        <v>826</v>
      </c>
      <c r="AB842" s="6" t="s">
        <v>82</v>
      </c>
      <c r="AC842" t="s">
        <v>83</v>
      </c>
      <c r="AD842" t="s">
        <v>206</v>
      </c>
      <c r="AE842">
        <v>246</v>
      </c>
      <c r="AF842">
        <v>293</v>
      </c>
      <c r="AG842">
        <v>0</v>
      </c>
      <c r="AH842" s="6">
        <v>50.9</v>
      </c>
      <c r="AI842" s="6">
        <v>0</v>
      </c>
      <c r="AJ842" s="6">
        <v>0.69699999999999995</v>
      </c>
      <c r="AK842" s="6">
        <v>0.54300000000000004</v>
      </c>
      <c r="AL842" s="8">
        <v>3791.18</v>
      </c>
      <c r="AM842" s="6" t="s">
        <v>68</v>
      </c>
      <c r="AN842" s="6">
        <v>1</v>
      </c>
      <c r="AO842" s="6">
        <v>0</v>
      </c>
      <c r="AP842" s="6">
        <v>1</v>
      </c>
      <c r="AQ842" s="6">
        <v>0</v>
      </c>
      <c r="AR842" s="6">
        <v>1</v>
      </c>
      <c r="AS842" s="6">
        <v>0</v>
      </c>
      <c r="AT842" s="6">
        <v>1</v>
      </c>
      <c r="AU842" s="6">
        <v>2.17</v>
      </c>
      <c r="AV842" s="6">
        <v>1.57</v>
      </c>
      <c r="AW842" s="6">
        <v>85.77</v>
      </c>
      <c r="AX842" s="6">
        <v>18.940000000000001</v>
      </c>
      <c r="AY842" s="6">
        <v>58</v>
      </c>
      <c r="AZ842" s="6">
        <v>1.4</v>
      </c>
      <c r="BA842" s="6">
        <v>12.6</v>
      </c>
    </row>
    <row r="843" spans="1:53" x14ac:dyDescent="0.3">
      <c r="A843" s="6">
        <v>746879296</v>
      </c>
      <c r="B843" s="6">
        <v>217301</v>
      </c>
      <c r="C843" s="6">
        <v>5453786</v>
      </c>
      <c r="D843" s="6">
        <v>5548</v>
      </c>
      <c r="E843" s="6" t="s">
        <v>142</v>
      </c>
      <c r="F843" s="6">
        <v>59650</v>
      </c>
      <c r="G843" s="6" t="s">
        <v>77</v>
      </c>
      <c r="H843" s="10">
        <v>45934</v>
      </c>
      <c r="I843" s="10">
        <v>45934</v>
      </c>
      <c r="J843" s="4">
        <v>45934.572916666664</v>
      </c>
      <c r="K843" s="4">
        <v>45934.77003472222</v>
      </c>
      <c r="L843" s="11">
        <v>45934.767256944448</v>
      </c>
      <c r="M843" s="10">
        <v>45934</v>
      </c>
      <c r="N843" s="6" t="s">
        <v>176</v>
      </c>
      <c r="O843" t="s">
        <v>292</v>
      </c>
      <c r="P843" s="6" t="s">
        <v>150</v>
      </c>
      <c r="Q843" t="s">
        <v>159</v>
      </c>
      <c r="R843" t="s">
        <v>73</v>
      </c>
      <c r="S843" s="6">
        <v>777840</v>
      </c>
      <c r="T843" s="6" t="s">
        <v>1</v>
      </c>
      <c r="U843">
        <v>269</v>
      </c>
      <c r="V843" s="6">
        <v>57.7</v>
      </c>
      <c r="W843" s="6">
        <v>31.5</v>
      </c>
      <c r="X843" s="6">
        <v>266</v>
      </c>
      <c r="Y843" s="6">
        <v>355.2</v>
      </c>
      <c r="Z843" s="6" t="s">
        <v>112</v>
      </c>
      <c r="AA843" t="s">
        <v>464</v>
      </c>
      <c r="AB843" s="6" t="s">
        <v>75</v>
      </c>
      <c r="AC843" t="s">
        <v>76</v>
      </c>
      <c r="AD843" t="s">
        <v>67</v>
      </c>
      <c r="AE843">
        <v>-4</v>
      </c>
      <c r="AF843">
        <v>0</v>
      </c>
      <c r="AG843">
        <v>0</v>
      </c>
      <c r="AH843" s="6">
        <v>62.1</v>
      </c>
      <c r="AI843" s="6">
        <v>0</v>
      </c>
      <c r="AJ843" s="6">
        <v>0.35699999999999998</v>
      </c>
      <c r="AK843" s="6">
        <v>0.876</v>
      </c>
      <c r="AL843" s="8">
        <v>3039.95</v>
      </c>
      <c r="AM843" s="6" t="s">
        <v>68</v>
      </c>
      <c r="AN843" s="6">
        <v>1</v>
      </c>
      <c r="AO843" s="6">
        <v>1</v>
      </c>
      <c r="AP843" s="6">
        <v>0</v>
      </c>
      <c r="AQ843" s="6">
        <v>1</v>
      </c>
      <c r="AR843" s="6">
        <v>0</v>
      </c>
      <c r="AS843" s="6">
        <v>1</v>
      </c>
      <c r="AT843" s="6">
        <v>0</v>
      </c>
      <c r="AU843" s="6">
        <v>2.27</v>
      </c>
      <c r="AV843" s="6">
        <v>1.39</v>
      </c>
      <c r="AW843" s="6">
        <v>233.97</v>
      </c>
      <c r="AX843" s="6">
        <v>45.85</v>
      </c>
      <c r="AY843" s="6">
        <v>247.73</v>
      </c>
      <c r="AZ843" s="6">
        <v>13</v>
      </c>
      <c r="BA843" s="6">
        <v>38.4</v>
      </c>
    </row>
    <row r="844" spans="1:53" x14ac:dyDescent="0.3">
      <c r="A844" s="6">
        <v>982982227</v>
      </c>
      <c r="B844" s="6">
        <v>195325</v>
      </c>
      <c r="C844" s="6">
        <v>3194789</v>
      </c>
      <c r="D844" s="6">
        <v>7585</v>
      </c>
      <c r="E844" s="6" t="s">
        <v>185</v>
      </c>
      <c r="F844" s="6">
        <v>55957</v>
      </c>
      <c r="G844" s="6" t="s">
        <v>203</v>
      </c>
      <c r="H844" s="10">
        <v>45698</v>
      </c>
      <c r="I844" s="10">
        <v>45698</v>
      </c>
      <c r="J844" s="4">
        <v>45698.048611111109</v>
      </c>
      <c r="K844" s="4">
        <v>45698.746539351851</v>
      </c>
      <c r="L844" s="11">
        <v>45698.759039351855</v>
      </c>
      <c r="M844" s="10">
        <v>45698</v>
      </c>
      <c r="N844" s="6" t="s">
        <v>170</v>
      </c>
      <c r="O844" t="s">
        <v>269</v>
      </c>
      <c r="P844" s="6" t="s">
        <v>109</v>
      </c>
      <c r="Q844" t="s">
        <v>161</v>
      </c>
      <c r="R844" t="s">
        <v>88</v>
      </c>
      <c r="S844" s="6">
        <v>712358</v>
      </c>
      <c r="T844" s="6" t="s">
        <v>140</v>
      </c>
      <c r="U844">
        <v>812</v>
      </c>
      <c r="V844" s="6">
        <v>34.700000000000003</v>
      </c>
      <c r="W844" s="6">
        <v>28.2</v>
      </c>
      <c r="X844" s="6">
        <v>815.5</v>
      </c>
      <c r="Y844" s="6">
        <v>878.4</v>
      </c>
      <c r="Z844" s="6" t="s">
        <v>63</v>
      </c>
      <c r="AA844" t="s">
        <v>827</v>
      </c>
      <c r="AB844" s="6" t="s">
        <v>82</v>
      </c>
      <c r="AC844" t="s">
        <v>83</v>
      </c>
      <c r="AD844" t="s">
        <v>67</v>
      </c>
      <c r="AE844">
        <v>18</v>
      </c>
      <c r="AF844">
        <v>0</v>
      </c>
      <c r="AG844">
        <v>0</v>
      </c>
      <c r="AH844" s="6">
        <v>33.299999999999997</v>
      </c>
      <c r="AI844" s="6">
        <v>0</v>
      </c>
      <c r="AJ844" s="6">
        <v>0.63</v>
      </c>
      <c r="AK844" s="6">
        <v>0.71699999999999997</v>
      </c>
      <c r="AL844" s="8">
        <v>7917.7</v>
      </c>
      <c r="AM844" s="6" t="s">
        <v>114</v>
      </c>
      <c r="AN844" s="6">
        <v>1</v>
      </c>
      <c r="AO844" s="6">
        <v>0</v>
      </c>
      <c r="AP844" s="6">
        <v>1</v>
      </c>
      <c r="AQ844" s="6">
        <v>0</v>
      </c>
      <c r="AR844" s="6">
        <v>1</v>
      </c>
      <c r="AS844" s="6">
        <v>0</v>
      </c>
      <c r="AT844" s="6">
        <v>1</v>
      </c>
      <c r="AU844" s="6">
        <v>2.31</v>
      </c>
      <c r="AV844" s="6">
        <v>1.79</v>
      </c>
      <c r="AW844" s="6">
        <v>744.03</v>
      </c>
      <c r="AX844" s="6">
        <v>92.86</v>
      </c>
      <c r="AY844" s="6">
        <v>508.9</v>
      </c>
      <c r="AZ844" s="6">
        <v>15</v>
      </c>
      <c r="BA844" s="6">
        <v>41.5</v>
      </c>
    </row>
    <row r="845" spans="1:53" x14ac:dyDescent="0.3">
      <c r="A845" s="6">
        <v>293763673</v>
      </c>
      <c r="B845" s="6">
        <v>930555</v>
      </c>
      <c r="C845" s="6">
        <v>2262382</v>
      </c>
      <c r="D845" s="6">
        <v>1698</v>
      </c>
      <c r="E845" s="6" t="s">
        <v>57</v>
      </c>
      <c r="F845" s="6">
        <v>55255</v>
      </c>
      <c r="G845" s="6" t="s">
        <v>98</v>
      </c>
      <c r="H845" s="10">
        <v>45963</v>
      </c>
      <c r="I845" s="10">
        <v>45963</v>
      </c>
      <c r="J845" s="4">
        <v>45963.236111111109</v>
      </c>
      <c r="K845" s="4">
        <v>45963.298611111109</v>
      </c>
      <c r="L845" s="11">
        <v>45963.283333333333</v>
      </c>
      <c r="M845" s="10">
        <v>45963</v>
      </c>
      <c r="N845" s="6" t="s">
        <v>121</v>
      </c>
      <c r="O845" t="s">
        <v>122</v>
      </c>
      <c r="P845" s="6" t="s">
        <v>70</v>
      </c>
      <c r="Q845" t="s">
        <v>138</v>
      </c>
      <c r="R845" t="s">
        <v>73</v>
      </c>
      <c r="S845" s="6">
        <v>725703</v>
      </c>
      <c r="T845" s="6" t="s">
        <v>3</v>
      </c>
      <c r="U845">
        <v>26</v>
      </c>
      <c r="V845" s="6">
        <v>12.8</v>
      </c>
      <c r="W845" s="6">
        <v>15.2</v>
      </c>
      <c r="X845" s="6">
        <v>29.5</v>
      </c>
      <c r="Y845" s="6">
        <v>57.5</v>
      </c>
      <c r="Z845" s="6" t="s">
        <v>2</v>
      </c>
      <c r="AA845" t="s">
        <v>403</v>
      </c>
      <c r="AB845" s="6" t="s">
        <v>82</v>
      </c>
      <c r="AC845" t="s">
        <v>91</v>
      </c>
      <c r="AD845" t="s">
        <v>67</v>
      </c>
      <c r="AE845">
        <v>-22</v>
      </c>
      <c r="AF845">
        <v>0</v>
      </c>
      <c r="AG845">
        <v>0</v>
      </c>
      <c r="AH845" s="6">
        <v>54.2</v>
      </c>
      <c r="AI845" s="6">
        <v>0</v>
      </c>
      <c r="AJ845" s="6">
        <v>0.76500000000000001</v>
      </c>
      <c r="AK845" s="6">
        <v>0.67</v>
      </c>
      <c r="AL845" s="8">
        <v>3439.04</v>
      </c>
      <c r="AM845" s="6" t="s">
        <v>68</v>
      </c>
      <c r="AN845" s="6">
        <v>1</v>
      </c>
      <c r="AO845" s="6">
        <v>1</v>
      </c>
      <c r="AP845" s="6">
        <v>0</v>
      </c>
      <c r="AQ845" s="6">
        <v>1</v>
      </c>
      <c r="AR845" s="6">
        <v>0</v>
      </c>
      <c r="AS845" s="6">
        <v>1</v>
      </c>
      <c r="AT845" s="6">
        <v>0</v>
      </c>
      <c r="AU845" s="6">
        <v>2.58</v>
      </c>
      <c r="AV845" s="6">
        <v>1.83</v>
      </c>
      <c r="AW845" s="6">
        <v>46.03</v>
      </c>
      <c r="AX845" s="6">
        <v>9.65</v>
      </c>
      <c r="AY845" s="6">
        <v>33.590000000000003</v>
      </c>
      <c r="AZ845" s="6">
        <v>25.4</v>
      </c>
      <c r="BA845" s="6">
        <v>32.700000000000003</v>
      </c>
    </row>
    <row r="846" spans="1:53" x14ac:dyDescent="0.3">
      <c r="A846" s="6">
        <v>685698675</v>
      </c>
      <c r="B846" s="6">
        <v>972064</v>
      </c>
      <c r="C846" s="6">
        <v>2818692</v>
      </c>
      <c r="D846" s="6">
        <v>8158</v>
      </c>
      <c r="E846" s="6" t="s">
        <v>84</v>
      </c>
      <c r="F846" s="6">
        <v>59411</v>
      </c>
      <c r="G846" s="6" t="s">
        <v>102</v>
      </c>
      <c r="H846" s="10">
        <v>45860</v>
      </c>
      <c r="I846" s="10">
        <v>45860</v>
      </c>
      <c r="J846" s="4">
        <v>45860.541666666664</v>
      </c>
      <c r="K846" s="4">
        <v>45861.450995370367</v>
      </c>
      <c r="L846" s="11">
        <v>45861.440578703703</v>
      </c>
      <c r="M846" s="10">
        <v>45861</v>
      </c>
      <c r="N846" s="6" t="s">
        <v>132</v>
      </c>
      <c r="O846" t="s">
        <v>181</v>
      </c>
      <c r="P846" s="6" t="s">
        <v>121</v>
      </c>
      <c r="Q846" t="s">
        <v>237</v>
      </c>
      <c r="R846" t="s">
        <v>123</v>
      </c>
      <c r="S846" s="6">
        <v>788047</v>
      </c>
      <c r="T846" s="6" t="s">
        <v>140</v>
      </c>
      <c r="U846">
        <v>988</v>
      </c>
      <c r="V846" s="6">
        <v>67.099999999999994</v>
      </c>
      <c r="W846" s="6">
        <v>19.8</v>
      </c>
      <c r="X846" s="6">
        <v>976.9</v>
      </c>
      <c r="Y846" s="6">
        <v>1063.8</v>
      </c>
      <c r="Z846" s="6" t="s">
        <v>2</v>
      </c>
      <c r="AA846" t="s">
        <v>828</v>
      </c>
      <c r="AB846" s="6" t="s">
        <v>75</v>
      </c>
      <c r="AC846" t="s">
        <v>66</v>
      </c>
      <c r="AD846" t="s">
        <v>67</v>
      </c>
      <c r="AE846">
        <v>-15</v>
      </c>
      <c r="AF846">
        <v>0</v>
      </c>
      <c r="AG846">
        <v>0</v>
      </c>
      <c r="AH846" s="6">
        <v>74.599999999999994</v>
      </c>
      <c r="AI846" s="6">
        <v>0</v>
      </c>
      <c r="AJ846" s="6">
        <v>0.48799999999999999</v>
      </c>
      <c r="AK846" s="6">
        <v>0.497</v>
      </c>
      <c r="AL846" s="8">
        <v>6225.05</v>
      </c>
      <c r="AM846" s="6" t="s">
        <v>68</v>
      </c>
      <c r="AN846" s="6">
        <v>1</v>
      </c>
      <c r="AO846" s="6">
        <v>1</v>
      </c>
      <c r="AP846" s="6">
        <v>0</v>
      </c>
      <c r="AQ846" s="6">
        <v>1</v>
      </c>
      <c r="AR846" s="6">
        <v>0</v>
      </c>
      <c r="AS846" s="6">
        <v>1</v>
      </c>
      <c r="AT846" s="6">
        <v>0</v>
      </c>
      <c r="AU846" s="6">
        <v>2.56</v>
      </c>
      <c r="AV846" s="6">
        <v>1.7</v>
      </c>
      <c r="AW846" s="6">
        <v>757.94</v>
      </c>
      <c r="AX846" s="6">
        <v>213.82</v>
      </c>
      <c r="AY846" s="6">
        <v>682.92</v>
      </c>
      <c r="AZ846" s="6">
        <v>10</v>
      </c>
      <c r="BA846" s="6">
        <v>26.6</v>
      </c>
    </row>
    <row r="847" spans="1:53" x14ac:dyDescent="0.3">
      <c r="A847" s="6">
        <v>415429295</v>
      </c>
      <c r="B847" s="6">
        <v>955662</v>
      </c>
      <c r="C847" s="6">
        <v>8315831</v>
      </c>
      <c r="D847" s="6">
        <v>9445</v>
      </c>
      <c r="E847" s="6" t="s">
        <v>84</v>
      </c>
      <c r="F847" s="6">
        <v>54228</v>
      </c>
      <c r="G847" s="6" t="s">
        <v>164</v>
      </c>
      <c r="H847" s="10">
        <v>45909</v>
      </c>
      <c r="I847" s="10">
        <v>45909</v>
      </c>
      <c r="J847" s="4">
        <v>45909.368055555555</v>
      </c>
      <c r="K847" s="4">
        <v>45909.816932870373</v>
      </c>
      <c r="L847" s="11">
        <v>45909.807905092595</v>
      </c>
      <c r="M847" s="10">
        <v>45909</v>
      </c>
      <c r="N847" s="6" t="s">
        <v>134</v>
      </c>
      <c r="O847" t="s">
        <v>135</v>
      </c>
      <c r="P847" s="6" t="s">
        <v>176</v>
      </c>
      <c r="Q847" t="s">
        <v>227</v>
      </c>
      <c r="R847" t="s">
        <v>88</v>
      </c>
      <c r="S847" s="6">
        <v>773553</v>
      </c>
      <c r="T847" s="6" t="s">
        <v>140</v>
      </c>
      <c r="U847">
        <v>497</v>
      </c>
      <c r="V847" s="6">
        <v>15.4</v>
      </c>
      <c r="W847" s="6">
        <v>27.9</v>
      </c>
      <c r="X847" s="6">
        <v>501.3</v>
      </c>
      <c r="Y847" s="6">
        <v>544.6</v>
      </c>
      <c r="Z847" s="6" t="s">
        <v>80</v>
      </c>
      <c r="AA847" t="s">
        <v>829</v>
      </c>
      <c r="AB847" s="6" t="s">
        <v>97</v>
      </c>
      <c r="AC847" t="s">
        <v>66</v>
      </c>
      <c r="AD847" t="s">
        <v>67</v>
      </c>
      <c r="AE847">
        <v>-13</v>
      </c>
      <c r="AF847">
        <v>0</v>
      </c>
      <c r="AG847">
        <v>0</v>
      </c>
      <c r="AH847" s="6">
        <v>58</v>
      </c>
      <c r="AI847" s="6">
        <v>0</v>
      </c>
      <c r="AJ847" s="6">
        <v>0.64400000000000002</v>
      </c>
      <c r="AK847" s="6">
        <v>0.26400000000000001</v>
      </c>
      <c r="AL847" s="8">
        <v>5379.92</v>
      </c>
      <c r="AM847" s="6" t="s">
        <v>68</v>
      </c>
      <c r="AN847" s="6">
        <v>1</v>
      </c>
      <c r="AO847" s="6">
        <v>1</v>
      </c>
      <c r="AP847" s="6">
        <v>0</v>
      </c>
      <c r="AQ847" s="6">
        <v>1</v>
      </c>
      <c r="AR847" s="6">
        <v>0</v>
      </c>
      <c r="AS847" s="6">
        <v>1</v>
      </c>
      <c r="AT847" s="6">
        <v>0</v>
      </c>
      <c r="AU847" s="6">
        <v>1.96</v>
      </c>
      <c r="AV847" s="6">
        <v>1.21</v>
      </c>
      <c r="AW847" s="6">
        <v>359.93</v>
      </c>
      <c r="AX847" s="6">
        <v>70.62</v>
      </c>
      <c r="AY847" s="6">
        <v>288.44</v>
      </c>
      <c r="AZ847" s="6">
        <v>18.100000000000001</v>
      </c>
      <c r="BA847" s="6">
        <v>34.1</v>
      </c>
    </row>
    <row r="848" spans="1:53" x14ac:dyDescent="0.3">
      <c r="A848" s="6">
        <v>444898148</v>
      </c>
      <c r="B848" s="6">
        <v>903035</v>
      </c>
      <c r="C848" s="6">
        <v>7110622</v>
      </c>
      <c r="D848" s="6">
        <v>3200</v>
      </c>
      <c r="E848" s="6" t="s">
        <v>92</v>
      </c>
      <c r="F848" s="6">
        <v>54181</v>
      </c>
      <c r="G848" s="6" t="s">
        <v>175</v>
      </c>
      <c r="H848" s="10">
        <v>46012</v>
      </c>
      <c r="I848" s="10">
        <v>46012</v>
      </c>
      <c r="J848" s="4">
        <v>46012.25</v>
      </c>
      <c r="K848" s="4">
        <v>46012.3125</v>
      </c>
      <c r="L848" s="11">
        <v>46012.309027777781</v>
      </c>
      <c r="M848" s="10">
        <v>46012</v>
      </c>
      <c r="N848" s="6" t="s">
        <v>176</v>
      </c>
      <c r="O848" t="s">
        <v>177</v>
      </c>
      <c r="P848" s="6" t="s">
        <v>176</v>
      </c>
      <c r="Q848" t="s">
        <v>177</v>
      </c>
      <c r="R848" t="s">
        <v>88</v>
      </c>
      <c r="S848" s="6">
        <v>745653</v>
      </c>
      <c r="T848" s="6" t="s">
        <v>3</v>
      </c>
      <c r="U848">
        <v>87</v>
      </c>
      <c r="V848" s="6">
        <v>41.3</v>
      </c>
      <c r="W848" s="6">
        <v>32.9</v>
      </c>
      <c r="X848" s="6">
        <v>76.8</v>
      </c>
      <c r="Y848" s="6">
        <v>151</v>
      </c>
      <c r="Z848" s="6" t="s">
        <v>2</v>
      </c>
      <c r="AA848" t="s">
        <v>304</v>
      </c>
      <c r="AB848" s="6" t="s">
        <v>97</v>
      </c>
      <c r="AC848" t="s">
        <v>91</v>
      </c>
      <c r="AD848" t="s">
        <v>67</v>
      </c>
      <c r="AE848">
        <v>-5</v>
      </c>
      <c r="AF848">
        <v>0</v>
      </c>
      <c r="AG848">
        <v>0</v>
      </c>
      <c r="AH848" s="6">
        <v>43.9</v>
      </c>
      <c r="AI848" s="6">
        <v>0</v>
      </c>
      <c r="AJ848" s="6">
        <v>0.751</v>
      </c>
      <c r="AK848" s="6">
        <v>0.71</v>
      </c>
      <c r="AL848" s="8">
        <v>5371.43</v>
      </c>
      <c r="AM848" s="6" t="s">
        <v>68</v>
      </c>
      <c r="AN848" s="6">
        <v>1</v>
      </c>
      <c r="AO848" s="6">
        <v>1</v>
      </c>
      <c r="AP848" s="6">
        <v>0</v>
      </c>
      <c r="AQ848" s="6">
        <v>1</v>
      </c>
      <c r="AR848" s="6">
        <v>0</v>
      </c>
      <c r="AS848" s="6">
        <v>1</v>
      </c>
      <c r="AT848" s="6">
        <v>0</v>
      </c>
      <c r="AU848" s="6">
        <v>2.4</v>
      </c>
      <c r="AV848" s="6">
        <v>1.81</v>
      </c>
      <c r="AW848" s="6">
        <v>110.82</v>
      </c>
      <c r="AX848" s="6">
        <v>29.01</v>
      </c>
      <c r="AY848" s="6">
        <v>104.07</v>
      </c>
      <c r="AZ848" s="6">
        <v>26.8</v>
      </c>
      <c r="BA848" s="6">
        <v>10.1</v>
      </c>
    </row>
    <row r="849" spans="1:53" x14ac:dyDescent="0.3">
      <c r="A849" s="6">
        <v>210163669</v>
      </c>
      <c r="B849" s="6">
        <v>343962</v>
      </c>
      <c r="C849" s="6">
        <v>5672073</v>
      </c>
      <c r="D849" s="6">
        <v>7396</v>
      </c>
      <c r="E849" s="6" t="s">
        <v>92</v>
      </c>
      <c r="F849" s="6">
        <v>59691</v>
      </c>
      <c r="G849" s="6" t="s">
        <v>107</v>
      </c>
      <c r="H849" s="10">
        <v>45688</v>
      </c>
      <c r="I849" s="10">
        <v>45688</v>
      </c>
      <c r="J849" s="4">
        <v>45688.621527777781</v>
      </c>
      <c r="K849" s="4">
        <v>45689.58452546296</v>
      </c>
      <c r="L849" s="11">
        <v>45689.544247685182</v>
      </c>
      <c r="M849" s="10">
        <v>45689</v>
      </c>
      <c r="N849" s="6" t="s">
        <v>59</v>
      </c>
      <c r="O849" t="s">
        <v>60</v>
      </c>
      <c r="P849" s="6" t="s">
        <v>93</v>
      </c>
      <c r="Q849" t="s">
        <v>217</v>
      </c>
      <c r="R849" t="s">
        <v>73</v>
      </c>
      <c r="S849" s="6">
        <v>791587</v>
      </c>
      <c r="T849" s="6" t="s">
        <v>140</v>
      </c>
      <c r="U849">
        <v>912</v>
      </c>
      <c r="V849" s="6">
        <v>23.7</v>
      </c>
      <c r="W849" s="6">
        <v>18.399999999999999</v>
      </c>
      <c r="X849" s="6">
        <v>907</v>
      </c>
      <c r="Y849" s="6">
        <v>949.1</v>
      </c>
      <c r="Z849" s="6" t="s">
        <v>80</v>
      </c>
      <c r="AA849" t="s">
        <v>830</v>
      </c>
      <c r="AB849" s="6" t="s">
        <v>90</v>
      </c>
      <c r="AC849" t="s">
        <v>154</v>
      </c>
      <c r="AD849" t="s">
        <v>67</v>
      </c>
      <c r="AE849">
        <v>-58</v>
      </c>
      <c r="AF849">
        <v>0</v>
      </c>
      <c r="AG849">
        <v>0</v>
      </c>
      <c r="AH849" s="6">
        <v>54.3</v>
      </c>
      <c r="AI849" s="6">
        <v>0</v>
      </c>
      <c r="AJ849" s="6">
        <v>0.94399999999999995</v>
      </c>
      <c r="AK849" s="6">
        <v>0.28999999999999998</v>
      </c>
      <c r="AL849" s="8">
        <v>74017.34</v>
      </c>
      <c r="AM849" s="6" t="s">
        <v>155</v>
      </c>
      <c r="AN849" s="6">
        <v>1</v>
      </c>
      <c r="AO849" s="6">
        <v>1</v>
      </c>
      <c r="AP849" s="6">
        <v>0</v>
      </c>
      <c r="AQ849" s="6">
        <v>1</v>
      </c>
      <c r="AR849" s="6">
        <v>0</v>
      </c>
      <c r="AS849" s="6">
        <v>1</v>
      </c>
      <c r="AT849" s="6">
        <v>0</v>
      </c>
      <c r="AU849" s="6">
        <v>1.88</v>
      </c>
      <c r="AV849" s="6">
        <v>1.3</v>
      </c>
      <c r="AW849" s="6">
        <v>714.12</v>
      </c>
      <c r="AX849" s="6">
        <v>142.06</v>
      </c>
      <c r="AY849" s="6">
        <v>552.98</v>
      </c>
      <c r="AZ849" s="6">
        <v>13.7</v>
      </c>
      <c r="BA849" s="6">
        <v>42.8</v>
      </c>
    </row>
    <row r="850" spans="1:53" x14ac:dyDescent="0.3">
      <c r="A850" s="6">
        <v>185973340</v>
      </c>
      <c r="B850" s="6">
        <v>787277</v>
      </c>
      <c r="C850" s="6">
        <v>6022741</v>
      </c>
      <c r="D850" s="6">
        <v>3693</v>
      </c>
      <c r="E850" s="6" t="s">
        <v>106</v>
      </c>
      <c r="F850" s="6">
        <v>51830</v>
      </c>
      <c r="G850" s="6" t="s">
        <v>127</v>
      </c>
      <c r="H850" s="10">
        <v>45986</v>
      </c>
      <c r="I850" s="10">
        <v>45986</v>
      </c>
      <c r="J850" s="4">
        <v>45986.118055555555</v>
      </c>
      <c r="K850" s="4">
        <v>45986.488946759258</v>
      </c>
      <c r="L850" s="11">
        <v>45986.475057870368</v>
      </c>
      <c r="M850" s="10">
        <v>45986</v>
      </c>
      <c r="N850" s="6" t="s">
        <v>176</v>
      </c>
      <c r="O850" t="s">
        <v>316</v>
      </c>
      <c r="P850" s="6" t="s">
        <v>70</v>
      </c>
      <c r="Q850" t="s">
        <v>322</v>
      </c>
      <c r="R850" t="s">
        <v>73</v>
      </c>
      <c r="S850" s="6">
        <v>715799</v>
      </c>
      <c r="T850" s="6" t="s">
        <v>1</v>
      </c>
      <c r="U850">
        <v>309</v>
      </c>
      <c r="V850" s="6">
        <v>0.9</v>
      </c>
      <c r="W850" s="6">
        <v>3.2</v>
      </c>
      <c r="X850" s="6">
        <v>313</v>
      </c>
      <c r="Y850" s="6">
        <v>317.10000000000002</v>
      </c>
      <c r="Z850" s="6" t="s">
        <v>63</v>
      </c>
      <c r="AA850" t="s">
        <v>831</v>
      </c>
      <c r="AB850" s="6" t="s">
        <v>82</v>
      </c>
      <c r="AC850" t="s">
        <v>66</v>
      </c>
      <c r="AD850" t="s">
        <v>67</v>
      </c>
      <c r="AE850">
        <v>-20</v>
      </c>
      <c r="AF850">
        <v>0</v>
      </c>
      <c r="AG850">
        <v>0</v>
      </c>
      <c r="AH850" s="6">
        <v>59.2</v>
      </c>
      <c r="AI850" s="6">
        <v>0</v>
      </c>
      <c r="AJ850" s="6">
        <v>0.88300000000000001</v>
      </c>
      <c r="AK850" s="6">
        <v>0.59499999999999997</v>
      </c>
      <c r="AL850" s="8">
        <v>3874.31</v>
      </c>
      <c r="AM850" s="6" t="s">
        <v>68</v>
      </c>
      <c r="AN850" s="6">
        <v>1</v>
      </c>
      <c r="AO850" s="6">
        <v>1</v>
      </c>
      <c r="AP850" s="6">
        <v>0</v>
      </c>
      <c r="AQ850" s="6">
        <v>1</v>
      </c>
      <c r="AR850" s="6">
        <v>0</v>
      </c>
      <c r="AS850" s="6">
        <v>1</v>
      </c>
      <c r="AT850" s="6">
        <v>0</v>
      </c>
      <c r="AU850" s="6">
        <v>2.0299999999999998</v>
      </c>
      <c r="AV850" s="6">
        <v>1.24</v>
      </c>
      <c r="AW850" s="6">
        <v>209.99</v>
      </c>
      <c r="AX850" s="6">
        <v>44.48</v>
      </c>
      <c r="AY850" s="6">
        <v>223.04</v>
      </c>
      <c r="AZ850" s="6">
        <v>3.4</v>
      </c>
      <c r="BA850" s="6">
        <v>13.2</v>
      </c>
    </row>
    <row r="851" spans="1:53" x14ac:dyDescent="0.3">
      <c r="A851" s="6">
        <v>452101316</v>
      </c>
      <c r="B851" s="6">
        <v>407757</v>
      </c>
      <c r="C851" s="6">
        <v>6573147</v>
      </c>
      <c r="D851" s="6">
        <v>2930</v>
      </c>
      <c r="E851" s="6" t="s">
        <v>101</v>
      </c>
      <c r="F851" s="6">
        <v>53395</v>
      </c>
      <c r="G851" s="6" t="s">
        <v>146</v>
      </c>
      <c r="H851" s="10">
        <v>45704</v>
      </c>
      <c r="I851" s="10">
        <v>45704</v>
      </c>
      <c r="J851" s="4">
        <v>45704.381944444445</v>
      </c>
      <c r="K851" s="4">
        <v>45704.612233796295</v>
      </c>
      <c r="L851" s="11">
        <v>45704.612928240742</v>
      </c>
      <c r="M851" s="10">
        <v>45704</v>
      </c>
      <c r="N851" s="6" t="s">
        <v>116</v>
      </c>
      <c r="O851" t="s">
        <v>251</v>
      </c>
      <c r="P851" s="6" t="s">
        <v>134</v>
      </c>
      <c r="Q851" t="s">
        <v>172</v>
      </c>
      <c r="R851" t="s">
        <v>73</v>
      </c>
      <c r="S851" s="6">
        <v>724967</v>
      </c>
      <c r="T851" s="6" t="s">
        <v>111</v>
      </c>
      <c r="U851">
        <v>302</v>
      </c>
      <c r="V851" s="6">
        <v>0.9</v>
      </c>
      <c r="W851" s="6">
        <v>32.299999999999997</v>
      </c>
      <c r="X851" s="6">
        <v>302.7</v>
      </c>
      <c r="Y851" s="6">
        <v>335.9</v>
      </c>
      <c r="Z851" s="6" t="s">
        <v>215</v>
      </c>
      <c r="AA851" t="s">
        <v>765</v>
      </c>
      <c r="AB851" s="6" t="s">
        <v>97</v>
      </c>
      <c r="AC851" t="s">
        <v>91</v>
      </c>
      <c r="AD851" t="s">
        <v>67</v>
      </c>
      <c r="AE851">
        <v>1</v>
      </c>
      <c r="AF851">
        <v>0</v>
      </c>
      <c r="AG851">
        <v>0</v>
      </c>
      <c r="AH851" s="6">
        <v>69.599999999999994</v>
      </c>
      <c r="AI851" s="6">
        <v>0</v>
      </c>
      <c r="AJ851" s="6">
        <v>0.66700000000000004</v>
      </c>
      <c r="AK851" s="6">
        <v>0.83499999999999996</v>
      </c>
      <c r="AL851" s="8">
        <v>68775.17</v>
      </c>
      <c r="AM851" s="6" t="s">
        <v>155</v>
      </c>
      <c r="AN851" s="6">
        <v>1</v>
      </c>
      <c r="AO851" s="6">
        <v>1</v>
      </c>
      <c r="AP851" s="6">
        <v>0</v>
      </c>
      <c r="AQ851" s="6">
        <v>1</v>
      </c>
      <c r="AR851" s="6">
        <v>0</v>
      </c>
      <c r="AS851" s="6">
        <v>1</v>
      </c>
      <c r="AT851" s="6">
        <v>0</v>
      </c>
      <c r="AU851" s="6">
        <v>2.5099999999999998</v>
      </c>
      <c r="AV851" s="6">
        <v>1.96</v>
      </c>
      <c r="AW851" s="6">
        <v>275.79000000000002</v>
      </c>
      <c r="AX851" s="6">
        <v>40.56</v>
      </c>
      <c r="AY851" s="6">
        <v>183.1</v>
      </c>
      <c r="AZ851" s="6">
        <v>13.8</v>
      </c>
      <c r="BA851" s="6">
        <v>45.9</v>
      </c>
    </row>
    <row r="852" spans="1:53" x14ac:dyDescent="0.3">
      <c r="A852" s="6">
        <v>809656613</v>
      </c>
      <c r="B852" s="6">
        <v>857168</v>
      </c>
      <c r="C852" s="6">
        <v>2813543</v>
      </c>
      <c r="D852" s="6">
        <v>1659</v>
      </c>
      <c r="E852" s="6" t="s">
        <v>142</v>
      </c>
      <c r="F852" s="6">
        <v>51203</v>
      </c>
      <c r="G852" s="6" t="s">
        <v>69</v>
      </c>
      <c r="H852" s="10">
        <v>45801</v>
      </c>
      <c r="I852" s="10">
        <v>45801</v>
      </c>
      <c r="J852" s="4">
        <v>45801.409722222219</v>
      </c>
      <c r="K852" s="4">
        <v>45801.661412037036</v>
      </c>
      <c r="L852" s="11">
        <v>45801.754467592589</v>
      </c>
      <c r="M852" s="10">
        <v>45801</v>
      </c>
      <c r="N852" s="6" t="s">
        <v>103</v>
      </c>
      <c r="O852" t="s">
        <v>232</v>
      </c>
      <c r="P852" s="6" t="s">
        <v>109</v>
      </c>
      <c r="Q852" t="s">
        <v>161</v>
      </c>
      <c r="R852" t="s">
        <v>88</v>
      </c>
      <c r="S852" s="6">
        <v>702500</v>
      </c>
      <c r="T852" s="6" t="s">
        <v>1</v>
      </c>
      <c r="U852">
        <v>233</v>
      </c>
      <c r="V852" s="6">
        <v>34.700000000000003</v>
      </c>
      <c r="W852" s="6">
        <v>15.2</v>
      </c>
      <c r="X852" s="6">
        <v>231</v>
      </c>
      <c r="Y852" s="6">
        <v>280.89999999999998</v>
      </c>
      <c r="Z852" s="6" t="s">
        <v>112</v>
      </c>
      <c r="AA852" t="s">
        <v>774</v>
      </c>
      <c r="AB852" s="6" t="s">
        <v>97</v>
      </c>
      <c r="AC852" t="s">
        <v>76</v>
      </c>
      <c r="AD852" t="s">
        <v>206</v>
      </c>
      <c r="AE852">
        <v>134</v>
      </c>
      <c r="AF852">
        <v>39</v>
      </c>
      <c r="AG852">
        <v>0</v>
      </c>
      <c r="AH852" s="6">
        <v>37.9</v>
      </c>
      <c r="AI852" s="6">
        <v>0</v>
      </c>
      <c r="AJ852" s="6">
        <v>0.45600000000000002</v>
      </c>
      <c r="AK852" s="6">
        <v>0.44500000000000001</v>
      </c>
      <c r="AL852" s="8">
        <v>1109.73</v>
      </c>
      <c r="AM852" s="6" t="s">
        <v>68</v>
      </c>
      <c r="AN852" s="6">
        <v>1</v>
      </c>
      <c r="AO852" s="6">
        <v>0</v>
      </c>
      <c r="AP852" s="6">
        <v>1</v>
      </c>
      <c r="AQ852" s="6">
        <v>0</v>
      </c>
      <c r="AR852" s="6">
        <v>1</v>
      </c>
      <c r="AS852" s="6">
        <v>0</v>
      </c>
      <c r="AT852" s="6">
        <v>1</v>
      </c>
      <c r="AU852" s="6">
        <v>2.38</v>
      </c>
      <c r="AV852" s="6">
        <v>1.44</v>
      </c>
      <c r="AW852" s="6">
        <v>200.04</v>
      </c>
      <c r="AX852" s="6">
        <v>59.58</v>
      </c>
      <c r="AY852" s="6">
        <v>166.22</v>
      </c>
      <c r="AZ852" s="6">
        <v>23.7</v>
      </c>
      <c r="BA852" s="6">
        <v>39.5</v>
      </c>
    </row>
    <row r="853" spans="1:53" x14ac:dyDescent="0.3">
      <c r="A853" s="6">
        <v>417440983</v>
      </c>
      <c r="B853" s="6">
        <v>375504</v>
      </c>
      <c r="C853" s="6">
        <v>5428914</v>
      </c>
      <c r="D853" s="6">
        <v>6530</v>
      </c>
      <c r="E853" s="6" t="s">
        <v>185</v>
      </c>
      <c r="F853" s="6">
        <v>52810</v>
      </c>
      <c r="G853" s="6" t="s">
        <v>127</v>
      </c>
      <c r="H853" s="10">
        <v>45968</v>
      </c>
      <c r="I853" s="10">
        <v>45968</v>
      </c>
      <c r="J853" s="4">
        <v>45968.506944444445</v>
      </c>
      <c r="K853" s="4">
        <v>45968.678495370368</v>
      </c>
      <c r="L853" s="11">
        <v>45968.695856481485</v>
      </c>
      <c r="M853" s="10">
        <v>45968</v>
      </c>
      <c r="N853" s="6" t="s">
        <v>176</v>
      </c>
      <c r="O853" t="s">
        <v>292</v>
      </c>
      <c r="P853" s="6" t="s">
        <v>70</v>
      </c>
      <c r="Q853" t="s">
        <v>322</v>
      </c>
      <c r="R853" t="s">
        <v>73</v>
      </c>
      <c r="S853" s="6">
        <v>715799</v>
      </c>
      <c r="T853" s="6" t="s">
        <v>1</v>
      </c>
      <c r="U853">
        <v>196</v>
      </c>
      <c r="V853" s="6">
        <v>2.8</v>
      </c>
      <c r="W853" s="6">
        <v>1.1000000000000001</v>
      </c>
      <c r="X853" s="6">
        <v>185.3</v>
      </c>
      <c r="Y853" s="6">
        <v>189.2</v>
      </c>
      <c r="Z853" s="6" t="s">
        <v>2</v>
      </c>
      <c r="AA853" t="s">
        <v>506</v>
      </c>
      <c r="AB853" s="6" t="s">
        <v>75</v>
      </c>
      <c r="AC853" t="s">
        <v>154</v>
      </c>
      <c r="AD853" t="s">
        <v>67</v>
      </c>
      <c r="AE853">
        <v>25</v>
      </c>
      <c r="AF853">
        <v>0</v>
      </c>
      <c r="AG853">
        <v>0</v>
      </c>
      <c r="AH853" s="6">
        <v>27.9</v>
      </c>
      <c r="AI853" s="6">
        <v>0</v>
      </c>
      <c r="AJ853" s="6">
        <v>0.75</v>
      </c>
      <c r="AK853" s="6">
        <v>0.55400000000000005</v>
      </c>
      <c r="AL853" s="8">
        <v>16610.27</v>
      </c>
      <c r="AM853" s="6" t="s">
        <v>114</v>
      </c>
      <c r="AN853" s="6">
        <v>1</v>
      </c>
      <c r="AO853" s="6">
        <v>0</v>
      </c>
      <c r="AP853" s="6">
        <v>1</v>
      </c>
      <c r="AQ853" s="6">
        <v>0</v>
      </c>
      <c r="AR853" s="6">
        <v>1</v>
      </c>
      <c r="AS853" s="6">
        <v>0</v>
      </c>
      <c r="AT853" s="6">
        <v>1</v>
      </c>
      <c r="AU853" s="6">
        <v>2.6</v>
      </c>
      <c r="AV853" s="6">
        <v>1.81</v>
      </c>
      <c r="AW853" s="6">
        <v>163.05000000000001</v>
      </c>
      <c r="AX853" s="6">
        <v>24.04</v>
      </c>
      <c r="AY853" s="6">
        <v>126.15</v>
      </c>
      <c r="AZ853" s="6">
        <v>29</v>
      </c>
      <c r="BA853" s="6">
        <v>31.4</v>
      </c>
    </row>
    <row r="854" spans="1:53" x14ac:dyDescent="0.3">
      <c r="A854" s="6">
        <v>429097422</v>
      </c>
      <c r="B854" s="6">
        <v>325772</v>
      </c>
      <c r="C854" s="6">
        <v>9997381</v>
      </c>
      <c r="D854" s="6">
        <v>8099</v>
      </c>
      <c r="E854" s="6" t="s">
        <v>211</v>
      </c>
      <c r="F854" s="6">
        <v>53092</v>
      </c>
      <c r="G854" s="6" t="s">
        <v>102</v>
      </c>
      <c r="H854" s="10">
        <v>45988</v>
      </c>
      <c r="I854" s="10">
        <v>45988</v>
      </c>
      <c r="J854" s="4">
        <v>45988.666666666664</v>
      </c>
      <c r="K854" s="4">
        <v>45988.878680555557</v>
      </c>
      <c r="L854" s="11">
        <v>45988.868263888886</v>
      </c>
      <c r="M854" s="10">
        <v>45988</v>
      </c>
      <c r="N854" s="6" t="s">
        <v>132</v>
      </c>
      <c r="O854" t="s">
        <v>181</v>
      </c>
      <c r="P854" s="6" t="s">
        <v>70</v>
      </c>
      <c r="Q854" t="s">
        <v>71</v>
      </c>
      <c r="R854" t="s">
        <v>73</v>
      </c>
      <c r="S854" s="6">
        <v>756925</v>
      </c>
      <c r="T854" s="6" t="s">
        <v>1</v>
      </c>
      <c r="U854">
        <v>176</v>
      </c>
      <c r="V854" s="6">
        <v>18.2</v>
      </c>
      <c r="W854" s="6">
        <v>16.899999999999999</v>
      </c>
      <c r="X854" s="6">
        <v>181.8</v>
      </c>
      <c r="Y854" s="6">
        <v>216.9</v>
      </c>
      <c r="Z854" s="6" t="s">
        <v>2</v>
      </c>
      <c r="AA854" t="s">
        <v>832</v>
      </c>
      <c r="AB854" s="6" t="s">
        <v>90</v>
      </c>
      <c r="AC854" t="s">
        <v>137</v>
      </c>
      <c r="AD854" t="s">
        <v>67</v>
      </c>
      <c r="AE854">
        <v>-15</v>
      </c>
      <c r="AF854">
        <v>0</v>
      </c>
      <c r="AG854">
        <v>0</v>
      </c>
      <c r="AH854" s="6">
        <v>33</v>
      </c>
      <c r="AI854" s="6">
        <v>0</v>
      </c>
      <c r="AJ854" s="6">
        <v>0.48299999999999998</v>
      </c>
      <c r="AK854" s="6">
        <v>0.75800000000000001</v>
      </c>
      <c r="AL854" s="8">
        <v>3250.84</v>
      </c>
      <c r="AM854" s="6" t="s">
        <v>68</v>
      </c>
      <c r="AN854" s="6">
        <v>1</v>
      </c>
      <c r="AO854" s="6">
        <v>1</v>
      </c>
      <c r="AP854" s="6">
        <v>0</v>
      </c>
      <c r="AQ854" s="6">
        <v>1</v>
      </c>
      <c r="AR854" s="6">
        <v>0</v>
      </c>
      <c r="AS854" s="6">
        <v>1</v>
      </c>
      <c r="AT854" s="6">
        <v>0</v>
      </c>
      <c r="AU854" s="6">
        <v>2.54</v>
      </c>
      <c r="AV854" s="6">
        <v>1.81</v>
      </c>
      <c r="AW854" s="6">
        <v>176.67</v>
      </c>
      <c r="AX854" s="6">
        <v>28.96</v>
      </c>
      <c r="AY854" s="6">
        <v>133.05000000000001</v>
      </c>
      <c r="AZ854" s="6">
        <v>4.7</v>
      </c>
      <c r="BA854" s="6">
        <v>12</v>
      </c>
    </row>
    <row r="855" spans="1:53" x14ac:dyDescent="0.3">
      <c r="A855" s="6">
        <v>578798403</v>
      </c>
      <c r="B855" s="6">
        <v>260263</v>
      </c>
      <c r="C855" s="6">
        <v>5674183</v>
      </c>
      <c r="D855" s="6">
        <v>5736</v>
      </c>
      <c r="E855" s="6" t="s">
        <v>185</v>
      </c>
      <c r="F855" s="6">
        <v>53044</v>
      </c>
      <c r="G855" s="6" t="s">
        <v>98</v>
      </c>
      <c r="H855" s="10">
        <v>45842</v>
      </c>
      <c r="I855" s="10">
        <v>45842</v>
      </c>
      <c r="J855" s="4">
        <v>45842.652777777781</v>
      </c>
      <c r="K855" s="4">
        <v>45842.927627314813</v>
      </c>
      <c r="L855" s="11">
        <v>45842.922766203701</v>
      </c>
      <c r="M855" s="10">
        <v>45842</v>
      </c>
      <c r="N855" s="6" t="s">
        <v>93</v>
      </c>
      <c r="O855" t="s">
        <v>95</v>
      </c>
      <c r="P855" s="6" t="s">
        <v>93</v>
      </c>
      <c r="Q855" t="s">
        <v>95</v>
      </c>
      <c r="R855" t="s">
        <v>73</v>
      </c>
      <c r="S855" s="6">
        <v>758654</v>
      </c>
      <c r="T855" s="6" t="s">
        <v>111</v>
      </c>
      <c r="U855">
        <v>310</v>
      </c>
      <c r="V855" s="6">
        <v>10.3</v>
      </c>
      <c r="W855" s="6">
        <v>19.8</v>
      </c>
      <c r="X855" s="6">
        <v>312.60000000000002</v>
      </c>
      <c r="Y855" s="6">
        <v>342.7</v>
      </c>
      <c r="Z855" s="6" t="s">
        <v>2</v>
      </c>
      <c r="AA855" t="s">
        <v>833</v>
      </c>
      <c r="AB855" s="6" t="s">
        <v>90</v>
      </c>
      <c r="AC855" t="s">
        <v>154</v>
      </c>
      <c r="AD855" t="s">
        <v>67</v>
      </c>
      <c r="AE855">
        <v>-7</v>
      </c>
      <c r="AF855">
        <v>0</v>
      </c>
      <c r="AG855">
        <v>0</v>
      </c>
      <c r="AH855" s="6">
        <v>50.6</v>
      </c>
      <c r="AI855" s="6">
        <v>0</v>
      </c>
      <c r="AJ855" s="6">
        <v>0.63100000000000001</v>
      </c>
      <c r="AK855" s="6">
        <v>0.81299999999999994</v>
      </c>
      <c r="AL855" s="8">
        <v>78624.23</v>
      </c>
      <c r="AM855" s="6" t="s">
        <v>155</v>
      </c>
      <c r="AN855" s="6">
        <v>1</v>
      </c>
      <c r="AO855" s="6">
        <v>1</v>
      </c>
      <c r="AP855" s="6">
        <v>0</v>
      </c>
      <c r="AQ855" s="6">
        <v>1</v>
      </c>
      <c r="AR855" s="6">
        <v>0</v>
      </c>
      <c r="AS855" s="6">
        <v>1</v>
      </c>
      <c r="AT855" s="6">
        <v>0</v>
      </c>
      <c r="AU855" s="6">
        <v>2.52</v>
      </c>
      <c r="AV855" s="6">
        <v>2.02</v>
      </c>
      <c r="AW855" s="6">
        <v>244.4</v>
      </c>
      <c r="AX855" s="6">
        <v>47.9</v>
      </c>
      <c r="AY855" s="6">
        <v>218.88</v>
      </c>
      <c r="AZ855" s="6">
        <v>30.8</v>
      </c>
      <c r="BA855" s="6">
        <v>39.5</v>
      </c>
    </row>
    <row r="856" spans="1:53" x14ac:dyDescent="0.3">
      <c r="A856" s="6">
        <v>747060047</v>
      </c>
      <c r="B856" s="6">
        <v>814825</v>
      </c>
      <c r="C856" s="6">
        <v>7817881</v>
      </c>
      <c r="D856" s="6">
        <v>9958</v>
      </c>
      <c r="E856" s="6" t="s">
        <v>84</v>
      </c>
      <c r="F856" s="6">
        <v>56071</v>
      </c>
      <c r="G856" s="6" t="s">
        <v>115</v>
      </c>
      <c r="H856" s="10">
        <v>45874</v>
      </c>
      <c r="I856" s="10">
        <v>45874</v>
      </c>
      <c r="J856" s="4">
        <v>45874.361111111109</v>
      </c>
      <c r="K856" s="4">
        <v>45874.423611111109</v>
      </c>
      <c r="L856" s="11">
        <v>45874.538194444445</v>
      </c>
      <c r="M856" s="10">
        <v>45874</v>
      </c>
      <c r="N856" s="6" t="s">
        <v>129</v>
      </c>
      <c r="O856" t="s">
        <v>241</v>
      </c>
      <c r="P856" s="6" t="s">
        <v>176</v>
      </c>
      <c r="Q856" t="s">
        <v>316</v>
      </c>
      <c r="R856" t="s">
        <v>88</v>
      </c>
      <c r="S856" s="6">
        <v>739373</v>
      </c>
      <c r="T856" s="6" t="s">
        <v>3</v>
      </c>
      <c r="U856">
        <v>70</v>
      </c>
      <c r="V856" s="6">
        <v>6.2</v>
      </c>
      <c r="W856" s="6">
        <v>20</v>
      </c>
      <c r="X856" s="6">
        <v>64.900000000000006</v>
      </c>
      <c r="Y856" s="6">
        <v>91.1</v>
      </c>
      <c r="Z856" s="6" t="s">
        <v>63</v>
      </c>
      <c r="AA856" t="s">
        <v>326</v>
      </c>
      <c r="AB856" s="6" t="s">
        <v>97</v>
      </c>
      <c r="AC856" t="s">
        <v>66</v>
      </c>
      <c r="AD856" t="s">
        <v>192</v>
      </c>
      <c r="AE856">
        <v>165</v>
      </c>
      <c r="AF856">
        <v>62</v>
      </c>
      <c r="AG856">
        <v>0</v>
      </c>
      <c r="AH856" s="6">
        <v>70.099999999999994</v>
      </c>
      <c r="AI856" s="6">
        <v>0</v>
      </c>
      <c r="AJ856" s="6">
        <v>0.52</v>
      </c>
      <c r="AK856" s="6">
        <v>0.58499999999999996</v>
      </c>
      <c r="AL856" s="8">
        <v>18406.04</v>
      </c>
      <c r="AM856" s="6" t="s">
        <v>114</v>
      </c>
      <c r="AN856" s="6">
        <v>1</v>
      </c>
      <c r="AO856" s="6">
        <v>0</v>
      </c>
      <c r="AP856" s="6">
        <v>1</v>
      </c>
      <c r="AQ856" s="6">
        <v>0</v>
      </c>
      <c r="AR856" s="6">
        <v>1</v>
      </c>
      <c r="AS856" s="6">
        <v>0</v>
      </c>
      <c r="AT856" s="6">
        <v>1</v>
      </c>
      <c r="AU856" s="6">
        <v>2.35</v>
      </c>
      <c r="AV856" s="6">
        <v>1.44</v>
      </c>
      <c r="AW856" s="6">
        <v>66.319999999999993</v>
      </c>
      <c r="AX856" s="6">
        <v>12.22</v>
      </c>
      <c r="AY856" s="6">
        <v>49.87</v>
      </c>
      <c r="AZ856" s="6">
        <v>11.6</v>
      </c>
      <c r="BA856" s="6">
        <v>33.200000000000003</v>
      </c>
    </row>
    <row r="857" spans="1:53" x14ac:dyDescent="0.3">
      <c r="A857" s="6">
        <v>870584681</v>
      </c>
      <c r="B857" s="6">
        <v>198246</v>
      </c>
      <c r="C857" s="6">
        <v>9626108</v>
      </c>
      <c r="D857" s="6">
        <v>5555</v>
      </c>
      <c r="E857" s="6" t="s">
        <v>57</v>
      </c>
      <c r="F857" s="6">
        <v>57272</v>
      </c>
      <c r="G857" s="6" t="s">
        <v>175</v>
      </c>
      <c r="H857" s="10">
        <v>45916</v>
      </c>
      <c r="I857" s="10">
        <v>45916</v>
      </c>
      <c r="J857" s="4">
        <v>45916.388888888891</v>
      </c>
      <c r="K857" s="4">
        <v>45916.561365740738</v>
      </c>
      <c r="L857" s="11">
        <v>45916.550949074073</v>
      </c>
      <c r="M857" s="10">
        <v>45916</v>
      </c>
      <c r="N857" s="6" t="s">
        <v>129</v>
      </c>
      <c r="O857" t="s">
        <v>130</v>
      </c>
      <c r="P857" s="6" t="s">
        <v>129</v>
      </c>
      <c r="Q857" t="s">
        <v>241</v>
      </c>
      <c r="R857" t="s">
        <v>123</v>
      </c>
      <c r="S857" s="6">
        <v>739365</v>
      </c>
      <c r="T857" s="6" t="s">
        <v>1</v>
      </c>
      <c r="U857">
        <v>207</v>
      </c>
      <c r="V857" s="6">
        <v>8.4</v>
      </c>
      <c r="W857" s="6">
        <v>28.6</v>
      </c>
      <c r="X857" s="6">
        <v>201.2</v>
      </c>
      <c r="Y857" s="6">
        <v>238.2</v>
      </c>
      <c r="Z857" s="6" t="s">
        <v>80</v>
      </c>
      <c r="AA857" t="s">
        <v>834</v>
      </c>
      <c r="AB857" s="6" t="s">
        <v>97</v>
      </c>
      <c r="AC857" t="s">
        <v>66</v>
      </c>
      <c r="AD857" t="s">
        <v>67</v>
      </c>
      <c r="AE857">
        <v>-15</v>
      </c>
      <c r="AF857">
        <v>0</v>
      </c>
      <c r="AG857">
        <v>0</v>
      </c>
      <c r="AH857" s="6">
        <v>71.3</v>
      </c>
      <c r="AI857" s="6">
        <v>0</v>
      </c>
      <c r="AJ857" s="6">
        <v>0.64400000000000002</v>
      </c>
      <c r="AK857" s="6">
        <v>0.59599999999999997</v>
      </c>
      <c r="AL857" s="8">
        <v>828.33</v>
      </c>
      <c r="AM857" s="6" t="s">
        <v>68</v>
      </c>
      <c r="AN857" s="6">
        <v>1</v>
      </c>
      <c r="AO857" s="6">
        <v>1</v>
      </c>
      <c r="AP857" s="6">
        <v>0</v>
      </c>
      <c r="AQ857" s="6">
        <v>1</v>
      </c>
      <c r="AR857" s="6">
        <v>0</v>
      </c>
      <c r="AS857" s="6">
        <v>1</v>
      </c>
      <c r="AT857" s="6">
        <v>0</v>
      </c>
      <c r="AU857" s="6">
        <v>2.2799999999999998</v>
      </c>
      <c r="AV857" s="6">
        <v>1.63</v>
      </c>
      <c r="AW857" s="6">
        <v>215.01</v>
      </c>
      <c r="AX857" s="6">
        <v>28.48</v>
      </c>
      <c r="AY857" s="6">
        <v>133.11000000000001</v>
      </c>
      <c r="AZ857" s="6">
        <v>11.5</v>
      </c>
      <c r="BA857" s="6">
        <v>0.5</v>
      </c>
    </row>
    <row r="858" spans="1:53" x14ac:dyDescent="0.3">
      <c r="A858" s="6">
        <v>557538651</v>
      </c>
      <c r="B858" s="6">
        <v>684004</v>
      </c>
      <c r="C858" s="6">
        <v>8670955</v>
      </c>
      <c r="D858" s="6">
        <v>8721</v>
      </c>
      <c r="E858" s="6" t="s">
        <v>101</v>
      </c>
      <c r="F858" s="6">
        <v>54673</v>
      </c>
      <c r="G858" s="6" t="s">
        <v>98</v>
      </c>
      <c r="H858" s="10">
        <v>45961</v>
      </c>
      <c r="I858" s="10">
        <v>45961</v>
      </c>
      <c r="J858" s="4">
        <v>45961.072916666664</v>
      </c>
      <c r="K858" s="4">
        <v>45961.210717592592</v>
      </c>
      <c r="L858" s="11">
        <v>45961.221828703703</v>
      </c>
      <c r="M858" s="10">
        <v>45961</v>
      </c>
      <c r="N858" s="6" t="s">
        <v>78</v>
      </c>
      <c r="O858" t="s">
        <v>219</v>
      </c>
      <c r="P858" s="6" t="s">
        <v>134</v>
      </c>
      <c r="Q858" t="s">
        <v>172</v>
      </c>
      <c r="R858" t="s">
        <v>73</v>
      </c>
      <c r="S858" s="6">
        <v>766655</v>
      </c>
      <c r="T858" s="6" t="s">
        <v>1</v>
      </c>
      <c r="U858">
        <v>127</v>
      </c>
      <c r="V858" s="6">
        <v>25.7</v>
      </c>
      <c r="W858" s="6">
        <v>9.6999999999999993</v>
      </c>
      <c r="X858" s="6">
        <v>133.19999999999999</v>
      </c>
      <c r="Y858" s="6">
        <v>168.6</v>
      </c>
      <c r="Z858" s="6" t="s">
        <v>63</v>
      </c>
      <c r="AA858" t="s">
        <v>668</v>
      </c>
      <c r="AB858" s="6" t="s">
        <v>82</v>
      </c>
      <c r="AC858" t="s">
        <v>154</v>
      </c>
      <c r="AD858" t="s">
        <v>67</v>
      </c>
      <c r="AE858">
        <v>16</v>
      </c>
      <c r="AF858">
        <v>0</v>
      </c>
      <c r="AG858">
        <v>0</v>
      </c>
      <c r="AH858" s="6">
        <v>63</v>
      </c>
      <c r="AI858" s="6">
        <v>0</v>
      </c>
      <c r="AJ858" s="6">
        <v>0.73099999999999998</v>
      </c>
      <c r="AK858" s="6">
        <v>0.85399999999999998</v>
      </c>
      <c r="AL858" s="8">
        <v>3038.48</v>
      </c>
      <c r="AM858" s="6" t="s">
        <v>68</v>
      </c>
      <c r="AN858" s="6">
        <v>1</v>
      </c>
      <c r="AO858" s="6">
        <v>0</v>
      </c>
      <c r="AP858" s="6">
        <v>1</v>
      </c>
      <c r="AQ858" s="6">
        <v>0</v>
      </c>
      <c r="AR858" s="6">
        <v>1</v>
      </c>
      <c r="AS858" s="6">
        <v>0</v>
      </c>
      <c r="AT858" s="6">
        <v>1</v>
      </c>
      <c r="AU858" s="6">
        <v>2.16</v>
      </c>
      <c r="AV858" s="6">
        <v>1.48</v>
      </c>
      <c r="AW858" s="6">
        <v>152.49</v>
      </c>
      <c r="AX858" s="6">
        <v>24.03</v>
      </c>
      <c r="AY858" s="6">
        <v>101.47</v>
      </c>
      <c r="AZ858" s="6">
        <v>0.1</v>
      </c>
      <c r="BA858" s="6">
        <v>17.7</v>
      </c>
    </row>
    <row r="859" spans="1:53" x14ac:dyDescent="0.3">
      <c r="A859" s="6">
        <v>278933456</v>
      </c>
      <c r="B859" s="6">
        <v>207175</v>
      </c>
      <c r="C859" s="6">
        <v>8077999</v>
      </c>
      <c r="D859" s="6">
        <v>4152</v>
      </c>
      <c r="E859" s="6" t="s">
        <v>142</v>
      </c>
      <c r="F859" s="6">
        <v>53514</v>
      </c>
      <c r="G859" s="6" t="s">
        <v>149</v>
      </c>
      <c r="H859" s="10">
        <v>45702</v>
      </c>
      <c r="I859" s="10">
        <v>45702</v>
      </c>
      <c r="J859" s="4">
        <v>45702.423611111109</v>
      </c>
      <c r="K859" s="4">
        <v>45702.664837962962</v>
      </c>
      <c r="L859" s="11">
        <v>45702.661365740743</v>
      </c>
      <c r="M859" s="10">
        <v>45702</v>
      </c>
      <c r="N859" s="6" t="s">
        <v>150</v>
      </c>
      <c r="O859" t="s">
        <v>151</v>
      </c>
      <c r="P859" s="6" t="s">
        <v>170</v>
      </c>
      <c r="Q859" t="s">
        <v>221</v>
      </c>
      <c r="R859" t="s">
        <v>62</v>
      </c>
      <c r="S859" s="6">
        <v>769048</v>
      </c>
      <c r="T859" s="6" t="s">
        <v>1</v>
      </c>
      <c r="U859">
        <v>236</v>
      </c>
      <c r="V859" s="6">
        <v>31.6</v>
      </c>
      <c r="W859" s="6">
        <v>14.1</v>
      </c>
      <c r="X859" s="6">
        <v>237.8</v>
      </c>
      <c r="Y859" s="6">
        <v>283.5</v>
      </c>
      <c r="Z859" s="6" t="s">
        <v>112</v>
      </c>
      <c r="AA859" t="s">
        <v>835</v>
      </c>
      <c r="AB859" s="6" t="s">
        <v>75</v>
      </c>
      <c r="AC859" t="s">
        <v>154</v>
      </c>
      <c r="AD859" t="s">
        <v>67</v>
      </c>
      <c r="AE859">
        <v>-5</v>
      </c>
      <c r="AF859">
        <v>0</v>
      </c>
      <c r="AG859">
        <v>0</v>
      </c>
      <c r="AH859" s="6">
        <v>14.1</v>
      </c>
      <c r="AI859" s="6">
        <v>0</v>
      </c>
      <c r="AJ859" s="6">
        <v>0.32800000000000001</v>
      </c>
      <c r="AK859" s="6">
        <v>0.42899999999999999</v>
      </c>
      <c r="AL859" s="8">
        <v>95077.65</v>
      </c>
      <c r="AM859" s="6" t="s">
        <v>155</v>
      </c>
      <c r="AN859" s="6">
        <v>1</v>
      </c>
      <c r="AO859" s="6">
        <v>1</v>
      </c>
      <c r="AP859" s="6">
        <v>0</v>
      </c>
      <c r="AQ859" s="6">
        <v>1</v>
      </c>
      <c r="AR859" s="6">
        <v>0</v>
      </c>
      <c r="AS859" s="6">
        <v>1</v>
      </c>
      <c r="AT859" s="6">
        <v>0</v>
      </c>
      <c r="AU859" s="6">
        <v>2.1</v>
      </c>
      <c r="AV859" s="6">
        <v>1.34</v>
      </c>
      <c r="AW859" s="6">
        <v>211.35</v>
      </c>
      <c r="AX859" s="6">
        <v>44.4</v>
      </c>
      <c r="AY859" s="6">
        <v>149.86000000000001</v>
      </c>
      <c r="AZ859" s="6">
        <v>16.8</v>
      </c>
      <c r="BA859" s="6">
        <v>0</v>
      </c>
    </row>
    <row r="860" spans="1:53" x14ac:dyDescent="0.3">
      <c r="A860" s="6">
        <v>840629322</v>
      </c>
      <c r="B860" s="6">
        <v>910620</v>
      </c>
      <c r="C860" s="6">
        <v>5977931</v>
      </c>
      <c r="D860" s="6">
        <v>1064</v>
      </c>
      <c r="E860" s="6" t="s">
        <v>101</v>
      </c>
      <c r="F860" s="6">
        <v>59990</v>
      </c>
      <c r="G860" s="6" t="s">
        <v>115</v>
      </c>
      <c r="H860" s="10">
        <v>45953</v>
      </c>
      <c r="I860" s="10">
        <v>45953</v>
      </c>
      <c r="J860" s="4">
        <v>45953.777777777781</v>
      </c>
      <c r="K860" s="4">
        <v>45954.016365740739</v>
      </c>
      <c r="L860" s="11">
        <v>45954.155949074076</v>
      </c>
      <c r="M860" s="10">
        <v>45954</v>
      </c>
      <c r="N860" s="6" t="s">
        <v>116</v>
      </c>
      <c r="O860" t="s">
        <v>212</v>
      </c>
      <c r="P860" s="6" t="s">
        <v>121</v>
      </c>
      <c r="Q860" t="s">
        <v>122</v>
      </c>
      <c r="R860" t="s">
        <v>123</v>
      </c>
      <c r="S860" s="6">
        <v>795786</v>
      </c>
      <c r="T860" s="6" t="s">
        <v>1</v>
      </c>
      <c r="U860">
        <v>263</v>
      </c>
      <c r="V860" s="6">
        <v>37.200000000000003</v>
      </c>
      <c r="W860" s="6">
        <v>3.2</v>
      </c>
      <c r="X860" s="6">
        <v>254.8</v>
      </c>
      <c r="Y860" s="6">
        <v>295.2</v>
      </c>
      <c r="Z860" s="6" t="s">
        <v>63</v>
      </c>
      <c r="AA860" t="s">
        <v>511</v>
      </c>
      <c r="AB860" s="6" t="s">
        <v>65</v>
      </c>
      <c r="AC860" t="s">
        <v>137</v>
      </c>
      <c r="AD860" t="s">
        <v>206</v>
      </c>
      <c r="AE860">
        <v>201</v>
      </c>
      <c r="AF860">
        <v>203</v>
      </c>
      <c r="AG860">
        <v>0</v>
      </c>
      <c r="AH860" s="6">
        <v>51.3</v>
      </c>
      <c r="AI860" s="6">
        <v>0</v>
      </c>
      <c r="AJ860" s="6">
        <v>0.54200000000000004</v>
      </c>
      <c r="AK860" s="6">
        <v>0.53500000000000003</v>
      </c>
      <c r="AL860" s="8">
        <v>14456.58</v>
      </c>
      <c r="AM860" s="6" t="s">
        <v>114</v>
      </c>
      <c r="AN860" s="6">
        <v>1</v>
      </c>
      <c r="AO860" s="6">
        <v>0</v>
      </c>
      <c r="AP860" s="6">
        <v>1</v>
      </c>
      <c r="AQ860" s="6">
        <v>0</v>
      </c>
      <c r="AR860" s="6">
        <v>1</v>
      </c>
      <c r="AS860" s="6">
        <v>0</v>
      </c>
      <c r="AT860" s="6">
        <v>1</v>
      </c>
      <c r="AU860" s="6">
        <v>2.2799999999999998</v>
      </c>
      <c r="AV860" s="6">
        <v>1.8</v>
      </c>
      <c r="AW860" s="6">
        <v>243.17</v>
      </c>
      <c r="AX860" s="6">
        <v>49.07</v>
      </c>
      <c r="AY860" s="6">
        <v>150.63999999999999</v>
      </c>
      <c r="AZ860" s="6">
        <v>7</v>
      </c>
      <c r="BA860" s="6">
        <v>60</v>
      </c>
    </row>
    <row r="861" spans="1:53" x14ac:dyDescent="0.3">
      <c r="A861" s="6">
        <v>576642996</v>
      </c>
      <c r="B861" s="6">
        <v>216739</v>
      </c>
      <c r="C861" s="6">
        <v>8574680</v>
      </c>
      <c r="D861" s="6">
        <v>1860</v>
      </c>
      <c r="E861" s="6" t="s">
        <v>106</v>
      </c>
      <c r="F861" s="6">
        <v>56192</v>
      </c>
      <c r="G861" s="6" t="s">
        <v>107</v>
      </c>
      <c r="H861" s="10">
        <v>45833</v>
      </c>
      <c r="I861" s="10">
        <v>45833</v>
      </c>
      <c r="J861" s="4">
        <v>45833.277777777781</v>
      </c>
      <c r="K861" s="4">
        <v>45833.496527777781</v>
      </c>
      <c r="L861" s="11">
        <v>45833.470138888886</v>
      </c>
      <c r="M861" s="10">
        <v>45833</v>
      </c>
      <c r="N861" s="6" t="s">
        <v>200</v>
      </c>
      <c r="O861" t="s">
        <v>201</v>
      </c>
      <c r="P861" s="6" t="s">
        <v>70</v>
      </c>
      <c r="Q861" t="s">
        <v>152</v>
      </c>
      <c r="R861" t="s">
        <v>73</v>
      </c>
      <c r="S861" s="6">
        <v>758407</v>
      </c>
      <c r="T861" s="6" t="s">
        <v>1</v>
      </c>
      <c r="U861">
        <v>269</v>
      </c>
      <c r="V861" s="6">
        <v>1.3</v>
      </c>
      <c r="W861" s="6">
        <v>18.3</v>
      </c>
      <c r="X861" s="6">
        <v>264.60000000000002</v>
      </c>
      <c r="Y861" s="6">
        <v>284.2</v>
      </c>
      <c r="Z861" s="6" t="s">
        <v>80</v>
      </c>
      <c r="AA861" t="s">
        <v>764</v>
      </c>
      <c r="AB861" s="6" t="s">
        <v>97</v>
      </c>
      <c r="AC861" t="s">
        <v>125</v>
      </c>
      <c r="AD861" t="s">
        <v>67</v>
      </c>
      <c r="AE861">
        <v>-38</v>
      </c>
      <c r="AF861">
        <v>0</v>
      </c>
      <c r="AG861">
        <v>0</v>
      </c>
      <c r="AH861" s="6">
        <v>51.8</v>
      </c>
      <c r="AI861" s="6">
        <v>0</v>
      </c>
      <c r="AJ861" s="6">
        <v>0.73599999999999999</v>
      </c>
      <c r="AK861" s="6">
        <v>0.20799999999999999</v>
      </c>
      <c r="AL861" s="8">
        <v>2023.6</v>
      </c>
      <c r="AM861" s="6" t="s">
        <v>68</v>
      </c>
      <c r="AN861" s="6">
        <v>1</v>
      </c>
      <c r="AO861" s="6">
        <v>1</v>
      </c>
      <c r="AP861" s="6">
        <v>0</v>
      </c>
      <c r="AQ861" s="6">
        <v>1</v>
      </c>
      <c r="AR861" s="6">
        <v>0</v>
      </c>
      <c r="AS861" s="6">
        <v>1</v>
      </c>
      <c r="AT861" s="6">
        <v>0</v>
      </c>
      <c r="AU861" s="6">
        <v>1.75</v>
      </c>
      <c r="AV861" s="6">
        <v>1.32</v>
      </c>
      <c r="AW861" s="6">
        <v>259.76</v>
      </c>
      <c r="AX861" s="6">
        <v>33.76</v>
      </c>
      <c r="AY861" s="6">
        <v>193.97</v>
      </c>
      <c r="AZ861" s="6">
        <v>14.3</v>
      </c>
      <c r="BA861" s="6">
        <v>15.4</v>
      </c>
    </row>
    <row r="862" spans="1:53" x14ac:dyDescent="0.3">
      <c r="A862" s="6">
        <v>477470703</v>
      </c>
      <c r="B862" s="6">
        <v>816751</v>
      </c>
      <c r="C862" s="6">
        <v>3011363</v>
      </c>
      <c r="D862" s="6">
        <v>9996</v>
      </c>
      <c r="E862" s="6" t="s">
        <v>185</v>
      </c>
      <c r="F862" s="6">
        <v>50144</v>
      </c>
      <c r="G862" s="6" t="s">
        <v>69</v>
      </c>
      <c r="H862" s="10">
        <v>45822</v>
      </c>
      <c r="I862" s="10">
        <v>45822</v>
      </c>
      <c r="J862" s="4">
        <v>45822.371527777781</v>
      </c>
      <c r="K862" s="4">
        <v>45822.683749999997</v>
      </c>
      <c r="L862" s="11">
        <v>45822.687916666669</v>
      </c>
      <c r="M862" s="10">
        <v>45822</v>
      </c>
      <c r="N862" s="6" t="s">
        <v>109</v>
      </c>
      <c r="O862" t="s">
        <v>193</v>
      </c>
      <c r="P862" s="6" t="s">
        <v>116</v>
      </c>
      <c r="Q862" t="s">
        <v>139</v>
      </c>
      <c r="R862" t="s">
        <v>123</v>
      </c>
      <c r="S862" s="6">
        <v>774044</v>
      </c>
      <c r="T862" s="6" t="s">
        <v>1</v>
      </c>
      <c r="U862">
        <v>299</v>
      </c>
      <c r="V862" s="6">
        <v>1</v>
      </c>
      <c r="W862" s="6">
        <v>3</v>
      </c>
      <c r="X862" s="6">
        <v>310.7</v>
      </c>
      <c r="Y862" s="6">
        <v>314.7</v>
      </c>
      <c r="Z862" s="6" t="s">
        <v>63</v>
      </c>
      <c r="AA862" t="s">
        <v>836</v>
      </c>
      <c r="AB862" s="6" t="s">
        <v>97</v>
      </c>
      <c r="AC862" t="s">
        <v>76</v>
      </c>
      <c r="AD862" t="s">
        <v>67</v>
      </c>
      <c r="AE862">
        <v>6</v>
      </c>
      <c r="AF862">
        <v>0</v>
      </c>
      <c r="AG862">
        <v>0</v>
      </c>
      <c r="AH862" s="6">
        <v>80.099999999999994</v>
      </c>
      <c r="AI862" s="6">
        <v>0</v>
      </c>
      <c r="AJ862" s="6">
        <v>0.82599999999999996</v>
      </c>
      <c r="AK862" s="6">
        <v>0.53800000000000003</v>
      </c>
      <c r="AL862" s="8">
        <v>17161.080000000002</v>
      </c>
      <c r="AM862" s="6" t="s">
        <v>114</v>
      </c>
      <c r="AN862" s="6">
        <v>1</v>
      </c>
      <c r="AO862" s="6">
        <v>1</v>
      </c>
      <c r="AP862" s="6">
        <v>0</v>
      </c>
      <c r="AQ862" s="6">
        <v>1</v>
      </c>
      <c r="AR862" s="6">
        <v>0</v>
      </c>
      <c r="AS862" s="6">
        <v>1</v>
      </c>
      <c r="AT862" s="6">
        <v>0</v>
      </c>
      <c r="AU862" s="6">
        <v>2.1800000000000002</v>
      </c>
      <c r="AW862" s="6">
        <v>288.95999999999998</v>
      </c>
      <c r="AX862" s="6">
        <v>60.9</v>
      </c>
      <c r="AY862" s="6">
        <v>209.58</v>
      </c>
      <c r="AZ862" s="6">
        <v>13.3</v>
      </c>
      <c r="BA862" s="6">
        <v>30.2</v>
      </c>
    </row>
    <row r="863" spans="1:53" x14ac:dyDescent="0.3">
      <c r="A863" s="6">
        <v>580101819</v>
      </c>
      <c r="B863" s="6">
        <v>623481</v>
      </c>
      <c r="C863" s="6">
        <v>2737893</v>
      </c>
      <c r="D863" s="6">
        <v>4627</v>
      </c>
      <c r="E863" s="6" t="s">
        <v>101</v>
      </c>
      <c r="F863" s="6">
        <v>57507</v>
      </c>
      <c r="G863" s="6" t="s">
        <v>146</v>
      </c>
      <c r="H863" s="10">
        <v>45812</v>
      </c>
      <c r="I863" s="10">
        <v>45812</v>
      </c>
      <c r="J863" s="4">
        <v>45812.263888888891</v>
      </c>
      <c r="K863" s="4">
        <v>45812.345567129632</v>
      </c>
      <c r="L863" s="11">
        <v>45812.32403935185</v>
      </c>
      <c r="M863" s="10">
        <v>45812</v>
      </c>
      <c r="N863" s="6" t="s">
        <v>109</v>
      </c>
      <c r="O863" t="s">
        <v>118</v>
      </c>
      <c r="P863" s="6" t="s">
        <v>59</v>
      </c>
      <c r="Q863" t="s">
        <v>85</v>
      </c>
      <c r="R863" t="s">
        <v>62</v>
      </c>
      <c r="S863" s="6">
        <v>793020</v>
      </c>
      <c r="T863" s="6" t="s">
        <v>3</v>
      </c>
      <c r="U863">
        <v>56</v>
      </c>
      <c r="V863" s="6">
        <v>4</v>
      </c>
      <c r="W863" s="6">
        <v>6.7</v>
      </c>
      <c r="X863" s="6">
        <v>62</v>
      </c>
      <c r="Y863" s="6">
        <v>72.7</v>
      </c>
      <c r="Z863" s="6" t="s">
        <v>63</v>
      </c>
      <c r="AA863" t="s">
        <v>435</v>
      </c>
      <c r="AB863" s="6" t="s">
        <v>97</v>
      </c>
      <c r="AC863" t="s">
        <v>125</v>
      </c>
      <c r="AD863" t="s">
        <v>67</v>
      </c>
      <c r="AE863">
        <v>-31</v>
      </c>
      <c r="AF863">
        <v>0</v>
      </c>
      <c r="AG863">
        <v>0</v>
      </c>
      <c r="AH863" s="6">
        <v>47</v>
      </c>
      <c r="AI863" s="6">
        <v>0</v>
      </c>
      <c r="AJ863" s="6">
        <v>0.66400000000000003</v>
      </c>
      <c r="AK863" s="6">
        <v>0.77800000000000002</v>
      </c>
      <c r="AL863" s="8">
        <v>4874.0600000000004</v>
      </c>
      <c r="AM863" s="6" t="s">
        <v>68</v>
      </c>
      <c r="AN863" s="6">
        <v>1</v>
      </c>
      <c r="AO863" s="6">
        <v>1</v>
      </c>
      <c r="AP863" s="6">
        <v>0</v>
      </c>
      <c r="AQ863" s="6">
        <v>1</v>
      </c>
      <c r="AR863" s="6">
        <v>0</v>
      </c>
      <c r="AS863" s="6">
        <v>1</v>
      </c>
      <c r="AT863" s="6">
        <v>0</v>
      </c>
      <c r="AU863" s="6">
        <v>2.16</v>
      </c>
      <c r="AV863" s="6">
        <v>1.68</v>
      </c>
      <c r="AW863" s="6">
        <v>46.65</v>
      </c>
      <c r="AX863" s="6">
        <v>9.99</v>
      </c>
      <c r="AY863" s="6">
        <v>51.16</v>
      </c>
      <c r="AZ863" s="6">
        <v>22.3</v>
      </c>
      <c r="BA863" s="6">
        <v>74.5</v>
      </c>
    </row>
    <row r="864" spans="1:53" x14ac:dyDescent="0.3">
      <c r="A864" s="6">
        <v>145478504</v>
      </c>
      <c r="B864" s="6">
        <v>518801</v>
      </c>
      <c r="C864" s="6">
        <v>2548511</v>
      </c>
      <c r="D864" s="6">
        <v>8994</v>
      </c>
      <c r="E864" s="6" t="s">
        <v>142</v>
      </c>
      <c r="F864" s="6">
        <v>54857</v>
      </c>
      <c r="G864" s="6" t="s">
        <v>127</v>
      </c>
      <c r="H864" s="10">
        <v>45843</v>
      </c>
      <c r="I864" s="10">
        <v>45843</v>
      </c>
      <c r="J864" s="4">
        <v>45843.534722222219</v>
      </c>
      <c r="K864" s="4">
        <v>45843.6247337963</v>
      </c>
      <c r="L864" s="11">
        <v>45843.609456018516</v>
      </c>
      <c r="M864" s="10">
        <v>45843</v>
      </c>
      <c r="N864" s="6" t="s">
        <v>59</v>
      </c>
      <c r="O864" t="s">
        <v>167</v>
      </c>
      <c r="P864" s="6" t="s">
        <v>116</v>
      </c>
      <c r="Q864" t="s">
        <v>139</v>
      </c>
      <c r="R864" t="s">
        <v>123</v>
      </c>
      <c r="S864" s="6">
        <v>791295</v>
      </c>
      <c r="T864" s="6" t="s">
        <v>3</v>
      </c>
      <c r="U864">
        <v>105</v>
      </c>
      <c r="V864" s="6">
        <v>26.8</v>
      </c>
      <c r="W864" s="6">
        <v>28.8</v>
      </c>
      <c r="X864" s="6">
        <v>105</v>
      </c>
      <c r="Y864" s="6">
        <v>160.6</v>
      </c>
      <c r="Z864" s="6" t="s">
        <v>63</v>
      </c>
      <c r="AA864" t="s">
        <v>433</v>
      </c>
      <c r="AB864" s="6" t="s">
        <v>75</v>
      </c>
      <c r="AC864" t="s">
        <v>76</v>
      </c>
      <c r="AD864" t="s">
        <v>67</v>
      </c>
      <c r="AE864">
        <v>-22</v>
      </c>
      <c r="AF864">
        <v>0</v>
      </c>
      <c r="AG864">
        <v>0</v>
      </c>
      <c r="AH864" s="6">
        <v>84.6</v>
      </c>
      <c r="AI864" s="6">
        <v>0</v>
      </c>
      <c r="AJ864" s="6">
        <v>0.59299999999999997</v>
      </c>
      <c r="AK864" s="6">
        <v>0.82699999999999996</v>
      </c>
      <c r="AL864" s="8">
        <v>11800.4</v>
      </c>
      <c r="AM864" s="6" t="s">
        <v>114</v>
      </c>
      <c r="AN864" s="6">
        <v>1</v>
      </c>
      <c r="AO864" s="6">
        <v>1</v>
      </c>
      <c r="AP864" s="6">
        <v>0</v>
      </c>
      <c r="AQ864" s="6">
        <v>1</v>
      </c>
      <c r="AR864" s="6">
        <v>0</v>
      </c>
      <c r="AS864" s="6">
        <v>1</v>
      </c>
      <c r="AT864" s="6">
        <v>0</v>
      </c>
      <c r="AU864" s="6">
        <v>2.2799999999999998</v>
      </c>
      <c r="AV864" s="6">
        <v>1.69</v>
      </c>
      <c r="AW864" s="6">
        <v>126.24</v>
      </c>
      <c r="AX864" s="6">
        <v>33.75</v>
      </c>
      <c r="AY864" s="6">
        <v>99.7</v>
      </c>
      <c r="AZ864" s="6">
        <v>7.3</v>
      </c>
      <c r="BA864" s="6">
        <v>72.5</v>
      </c>
    </row>
    <row r="865" spans="1:53" x14ac:dyDescent="0.3">
      <c r="A865" s="6">
        <v>880411013</v>
      </c>
      <c r="B865" s="6">
        <v>542666</v>
      </c>
      <c r="C865" s="6">
        <v>1604451</v>
      </c>
      <c r="D865" s="6">
        <v>1854</v>
      </c>
      <c r="E865" s="6" t="s">
        <v>142</v>
      </c>
      <c r="F865" s="6">
        <v>51377</v>
      </c>
      <c r="G865" s="6" t="s">
        <v>127</v>
      </c>
      <c r="H865" s="10">
        <v>46002</v>
      </c>
      <c r="I865" s="10">
        <v>46002</v>
      </c>
      <c r="J865" s="4">
        <v>46002.59375</v>
      </c>
      <c r="K865" s="4">
        <v>46002.700775462959</v>
      </c>
      <c r="L865" s="11">
        <v>46002.707719907405</v>
      </c>
      <c r="M865" s="10">
        <v>46002</v>
      </c>
      <c r="N865" s="6" t="s">
        <v>121</v>
      </c>
      <c r="O865" t="s">
        <v>122</v>
      </c>
      <c r="P865" s="6" t="s">
        <v>200</v>
      </c>
      <c r="Q865" t="s">
        <v>275</v>
      </c>
      <c r="R865" t="s">
        <v>62</v>
      </c>
      <c r="S865" s="6">
        <v>713055</v>
      </c>
      <c r="T865" s="6" t="s">
        <v>3</v>
      </c>
      <c r="U865">
        <v>97</v>
      </c>
      <c r="V865" s="6">
        <v>48.4</v>
      </c>
      <c r="W865" s="6">
        <v>16.899999999999999</v>
      </c>
      <c r="X865" s="6">
        <v>97.1</v>
      </c>
      <c r="Y865" s="6">
        <v>162.4</v>
      </c>
      <c r="Z865" s="6" t="s">
        <v>112</v>
      </c>
      <c r="AA865" t="s">
        <v>337</v>
      </c>
      <c r="AB865" s="6" t="s">
        <v>90</v>
      </c>
      <c r="AC865" t="s">
        <v>137</v>
      </c>
      <c r="AD865" t="s">
        <v>67</v>
      </c>
      <c r="AE865">
        <v>10</v>
      </c>
      <c r="AF865">
        <v>0</v>
      </c>
      <c r="AG865">
        <v>0</v>
      </c>
      <c r="AH865" s="6">
        <v>57.9</v>
      </c>
      <c r="AI865" s="6">
        <v>0</v>
      </c>
      <c r="AJ865" s="6">
        <v>0.755</v>
      </c>
      <c r="AK865" s="6">
        <v>0.75800000000000001</v>
      </c>
      <c r="AL865" s="8">
        <v>10758.41</v>
      </c>
      <c r="AM865" s="6" t="s">
        <v>114</v>
      </c>
      <c r="AN865" s="6">
        <v>1</v>
      </c>
      <c r="AO865" s="6">
        <v>1</v>
      </c>
      <c r="AP865" s="6">
        <v>0</v>
      </c>
      <c r="AQ865" s="6">
        <v>1</v>
      </c>
      <c r="AR865" s="6">
        <v>0</v>
      </c>
      <c r="AS865" s="6">
        <v>1</v>
      </c>
      <c r="AT865" s="6">
        <v>0</v>
      </c>
      <c r="AU865" s="6">
        <v>2.17</v>
      </c>
      <c r="AV865" s="6">
        <v>1.5</v>
      </c>
      <c r="AW865" s="6">
        <v>136.09</v>
      </c>
      <c r="AX865" s="6">
        <v>22.66</v>
      </c>
      <c r="AY865" s="6">
        <v>94.33</v>
      </c>
      <c r="AZ865" s="6">
        <v>8</v>
      </c>
      <c r="BA865" s="6">
        <v>21.8</v>
      </c>
    </row>
    <row r="866" spans="1:53" x14ac:dyDescent="0.3">
      <c r="A866" s="6">
        <v>478557676</v>
      </c>
      <c r="B866" s="6">
        <v>439902</v>
      </c>
      <c r="C866" s="6">
        <v>2935113</v>
      </c>
      <c r="D866" s="6">
        <v>9815</v>
      </c>
      <c r="E866" s="6" t="s">
        <v>142</v>
      </c>
      <c r="F866" s="6">
        <v>53146</v>
      </c>
      <c r="G866" s="6" t="s">
        <v>207</v>
      </c>
      <c r="H866" s="10">
        <v>45858</v>
      </c>
      <c r="I866" s="10">
        <v>45858</v>
      </c>
      <c r="J866" s="4">
        <v>45858.614583333336</v>
      </c>
      <c r="K866" s="4">
        <v>45858.810381944444</v>
      </c>
      <c r="L866" s="11">
        <v>45858.903437499997</v>
      </c>
      <c r="M866" s="10">
        <v>45858</v>
      </c>
      <c r="N866" s="6" t="s">
        <v>70</v>
      </c>
      <c r="O866" t="s">
        <v>71</v>
      </c>
      <c r="P866" s="6" t="s">
        <v>103</v>
      </c>
      <c r="Q866" t="s">
        <v>104</v>
      </c>
      <c r="R866" t="s">
        <v>73</v>
      </c>
      <c r="S866" s="6">
        <v>732275</v>
      </c>
      <c r="T866" s="6" t="s">
        <v>1</v>
      </c>
      <c r="U866">
        <v>168</v>
      </c>
      <c r="V866" s="6">
        <v>19.600000000000001</v>
      </c>
      <c r="W866" s="6">
        <v>34.9</v>
      </c>
      <c r="X866" s="6">
        <v>154.9</v>
      </c>
      <c r="Y866" s="6">
        <v>209.4</v>
      </c>
      <c r="Z866" s="6" t="s">
        <v>63</v>
      </c>
      <c r="AA866" t="s">
        <v>678</v>
      </c>
      <c r="AB866" s="6" t="s">
        <v>90</v>
      </c>
      <c r="AC866" t="s">
        <v>91</v>
      </c>
      <c r="AD866" t="s">
        <v>206</v>
      </c>
      <c r="AE866">
        <v>134</v>
      </c>
      <c r="AF866">
        <v>214</v>
      </c>
      <c r="AG866">
        <v>1.2</v>
      </c>
      <c r="AH866" s="6">
        <v>54.9</v>
      </c>
      <c r="AI866" s="6">
        <v>0</v>
      </c>
      <c r="AJ866" s="6">
        <v>0.55200000000000005</v>
      </c>
      <c r="AK866" s="6">
        <v>0.65600000000000003</v>
      </c>
      <c r="AL866" s="8">
        <v>3634.72</v>
      </c>
      <c r="AM866" s="6" t="s">
        <v>68</v>
      </c>
      <c r="AN866" s="6">
        <v>1</v>
      </c>
      <c r="AO866" s="6">
        <v>0</v>
      </c>
      <c r="AP866" s="6">
        <v>1</v>
      </c>
      <c r="AQ866" s="6">
        <v>0</v>
      </c>
      <c r="AR866" s="6">
        <v>1</v>
      </c>
      <c r="AS866" s="6">
        <v>0</v>
      </c>
      <c r="AT866" s="6">
        <v>1</v>
      </c>
      <c r="AU866" s="6">
        <v>1.84</v>
      </c>
      <c r="AV866" s="6">
        <v>1.23</v>
      </c>
      <c r="AW866" s="6">
        <v>141.57</v>
      </c>
      <c r="AX866" s="6">
        <v>42.62</v>
      </c>
      <c r="AY866" s="6">
        <v>105.69</v>
      </c>
      <c r="AZ866" s="6">
        <v>45.7</v>
      </c>
      <c r="BA866" s="6">
        <v>48.8</v>
      </c>
    </row>
    <row r="867" spans="1:53" x14ac:dyDescent="0.3">
      <c r="A867" s="6">
        <v>760191749</v>
      </c>
      <c r="B867" s="6">
        <v>733052</v>
      </c>
      <c r="C867" s="6">
        <v>2642635</v>
      </c>
      <c r="D867" s="6">
        <v>8989</v>
      </c>
      <c r="E867" s="6" t="s">
        <v>84</v>
      </c>
      <c r="F867" s="6">
        <v>55024</v>
      </c>
      <c r="G867" s="6" t="s">
        <v>77</v>
      </c>
      <c r="H867" s="10">
        <v>46005</v>
      </c>
      <c r="I867" s="10">
        <v>46005</v>
      </c>
      <c r="J867" s="4">
        <v>46005.836805555555</v>
      </c>
      <c r="K867" s="4">
        <v>46006.315821759257</v>
      </c>
      <c r="L867" s="11">
        <v>46006.308877314812</v>
      </c>
      <c r="M867" s="10">
        <v>46006</v>
      </c>
      <c r="N867" s="6" t="s">
        <v>116</v>
      </c>
      <c r="O867" t="s">
        <v>251</v>
      </c>
      <c r="P867" s="6" t="s">
        <v>116</v>
      </c>
      <c r="Q867" t="s">
        <v>251</v>
      </c>
      <c r="R867" t="s">
        <v>123</v>
      </c>
      <c r="S867" s="6">
        <v>748114</v>
      </c>
      <c r="T867" s="6" t="s">
        <v>140</v>
      </c>
      <c r="U867">
        <v>570</v>
      </c>
      <c r="V867" s="6">
        <v>32.6</v>
      </c>
      <c r="W867" s="6">
        <v>31.5</v>
      </c>
      <c r="X867" s="6">
        <v>577.79999999999995</v>
      </c>
      <c r="Y867" s="6">
        <v>641.9</v>
      </c>
      <c r="Z867" s="6" t="s">
        <v>2</v>
      </c>
      <c r="AA867" t="s">
        <v>837</v>
      </c>
      <c r="AB867" s="6" t="s">
        <v>65</v>
      </c>
      <c r="AC867" t="s">
        <v>91</v>
      </c>
      <c r="AD867" t="s">
        <v>67</v>
      </c>
      <c r="AE867">
        <v>-10</v>
      </c>
      <c r="AF867">
        <v>0</v>
      </c>
      <c r="AG867">
        <v>0.6</v>
      </c>
      <c r="AH867" s="6">
        <v>58</v>
      </c>
      <c r="AI867" s="6">
        <v>0</v>
      </c>
      <c r="AJ867" s="6">
        <v>0.65600000000000003</v>
      </c>
      <c r="AK867" s="6">
        <v>0.61799999999999999</v>
      </c>
      <c r="AL867" s="8">
        <v>4556.41</v>
      </c>
      <c r="AM867" s="6" t="s">
        <v>68</v>
      </c>
      <c r="AN867" s="6">
        <v>1</v>
      </c>
      <c r="AO867" s="6">
        <v>1</v>
      </c>
      <c r="AP867" s="6">
        <v>0</v>
      </c>
      <c r="AQ867" s="6">
        <v>1</v>
      </c>
      <c r="AR867" s="6">
        <v>0</v>
      </c>
      <c r="AS867" s="6">
        <v>1</v>
      </c>
      <c r="AT867" s="6">
        <v>0</v>
      </c>
      <c r="AU867" s="6">
        <v>2.4500000000000002</v>
      </c>
      <c r="AV867" s="6">
        <v>1.8</v>
      </c>
      <c r="AW867" s="6">
        <v>556.25</v>
      </c>
      <c r="AX867" s="6">
        <v>91.34</v>
      </c>
      <c r="AY867" s="6">
        <v>439.13</v>
      </c>
      <c r="AZ867" s="6">
        <v>11.9</v>
      </c>
      <c r="BA867" s="6">
        <v>30</v>
      </c>
    </row>
    <row r="868" spans="1:53" x14ac:dyDescent="0.3">
      <c r="A868" s="6">
        <v>567013808</v>
      </c>
      <c r="B868" s="6">
        <v>688508</v>
      </c>
      <c r="C868" s="6">
        <v>8930103</v>
      </c>
      <c r="D868" s="6">
        <v>3047</v>
      </c>
      <c r="E868" s="6" t="s">
        <v>225</v>
      </c>
      <c r="F868" s="6">
        <v>50793</v>
      </c>
      <c r="G868" s="6" t="s">
        <v>115</v>
      </c>
      <c r="H868" s="10">
        <v>45723</v>
      </c>
      <c r="I868" s="10">
        <v>45723</v>
      </c>
      <c r="J868" s="4">
        <v>45723.46875</v>
      </c>
      <c r="K868" s="4">
        <v>45723.534247685187</v>
      </c>
      <c r="L868" s="11">
        <v>45723.642581018517</v>
      </c>
      <c r="M868" s="10">
        <v>45723</v>
      </c>
      <c r="N868" s="6" t="s">
        <v>134</v>
      </c>
      <c r="O868" t="s">
        <v>282</v>
      </c>
      <c r="P868" s="6" t="s">
        <v>93</v>
      </c>
      <c r="Q868" t="s">
        <v>217</v>
      </c>
      <c r="R868" t="s">
        <v>73</v>
      </c>
      <c r="S868" s="6">
        <v>720278</v>
      </c>
      <c r="T868" s="6" t="s">
        <v>3</v>
      </c>
      <c r="U868">
        <v>59</v>
      </c>
      <c r="V868" s="6">
        <v>31.7</v>
      </c>
      <c r="W868" s="6">
        <v>18</v>
      </c>
      <c r="X868" s="6">
        <v>56.3</v>
      </c>
      <c r="Y868" s="6">
        <v>106</v>
      </c>
      <c r="Z868" s="6" t="s">
        <v>80</v>
      </c>
      <c r="AA868" t="s">
        <v>838</v>
      </c>
      <c r="AB868" s="6" t="s">
        <v>75</v>
      </c>
      <c r="AC868" t="s">
        <v>154</v>
      </c>
      <c r="AD868" t="s">
        <v>206</v>
      </c>
      <c r="AE868">
        <v>156</v>
      </c>
      <c r="AF868">
        <v>201</v>
      </c>
      <c r="AG868">
        <v>0</v>
      </c>
      <c r="AH868" s="6">
        <v>47.6</v>
      </c>
      <c r="AI868" s="6">
        <v>0</v>
      </c>
      <c r="AJ868" s="6">
        <v>0.67400000000000004</v>
      </c>
      <c r="AK868" s="6">
        <v>0.39300000000000002</v>
      </c>
      <c r="AL868" s="8">
        <v>5146.87</v>
      </c>
      <c r="AM868" s="6" t="s">
        <v>68</v>
      </c>
      <c r="AN868" s="6">
        <v>1</v>
      </c>
      <c r="AO868" s="6">
        <v>0</v>
      </c>
      <c r="AP868" s="6">
        <v>1</v>
      </c>
      <c r="AQ868" s="6">
        <v>0</v>
      </c>
      <c r="AR868" s="6">
        <v>1</v>
      </c>
      <c r="AS868" s="6">
        <v>0</v>
      </c>
      <c r="AT868" s="6">
        <v>1</v>
      </c>
      <c r="AU868" s="6">
        <v>2</v>
      </c>
      <c r="AV868" s="6">
        <v>1.43</v>
      </c>
      <c r="AW868" s="6">
        <v>80.62</v>
      </c>
      <c r="AX868" s="6">
        <v>17.03</v>
      </c>
      <c r="AY868" s="6">
        <v>62.49</v>
      </c>
      <c r="AZ868" s="6">
        <v>4</v>
      </c>
      <c r="BA868" s="6">
        <v>60.1</v>
      </c>
    </row>
    <row r="869" spans="1:53" x14ac:dyDescent="0.3">
      <c r="A869" s="6">
        <v>394801573</v>
      </c>
      <c r="B869" s="6">
        <v>217301</v>
      </c>
      <c r="C869" s="6">
        <v>5453786</v>
      </c>
      <c r="D869" s="6">
        <v>5548</v>
      </c>
      <c r="E869" s="6" t="s">
        <v>142</v>
      </c>
      <c r="F869" s="6">
        <v>59793</v>
      </c>
      <c r="G869" s="6" t="s">
        <v>115</v>
      </c>
      <c r="H869" s="10">
        <v>45922</v>
      </c>
      <c r="I869" s="10">
        <v>45922</v>
      </c>
      <c r="J869" s="4">
        <v>45922.340277777781</v>
      </c>
      <c r="K869" s="4">
        <v>45923.035486111112</v>
      </c>
      <c r="L869" s="11">
        <v>45923.022986111115</v>
      </c>
      <c r="M869" s="10">
        <v>45923</v>
      </c>
      <c r="N869" s="6" t="s">
        <v>86</v>
      </c>
      <c r="O869" t="s">
        <v>243</v>
      </c>
      <c r="P869" s="6" t="s">
        <v>170</v>
      </c>
      <c r="Q869" t="s">
        <v>183</v>
      </c>
      <c r="R869" t="s">
        <v>62</v>
      </c>
      <c r="S869" s="6">
        <v>743829</v>
      </c>
      <c r="T869" s="6" t="s">
        <v>140</v>
      </c>
      <c r="U869">
        <v>709</v>
      </c>
      <c r="V869" s="6">
        <v>38.700000000000003</v>
      </c>
      <c r="W869" s="6">
        <v>20</v>
      </c>
      <c r="X869" s="6">
        <v>704.1</v>
      </c>
      <c r="Y869" s="6">
        <v>762.8</v>
      </c>
      <c r="Z869" s="6" t="s">
        <v>112</v>
      </c>
      <c r="AA869" t="s">
        <v>839</v>
      </c>
      <c r="AB869" s="6" t="s">
        <v>97</v>
      </c>
      <c r="AC869" t="s">
        <v>83</v>
      </c>
      <c r="AD869" t="s">
        <v>67</v>
      </c>
      <c r="AE869">
        <v>-18</v>
      </c>
      <c r="AF869">
        <v>0</v>
      </c>
      <c r="AG869">
        <v>0</v>
      </c>
      <c r="AH869" s="6">
        <v>54</v>
      </c>
      <c r="AI869" s="6">
        <v>0</v>
      </c>
      <c r="AJ869" s="6">
        <v>0.72699999999999998</v>
      </c>
      <c r="AK869" s="6">
        <v>0.66</v>
      </c>
      <c r="AL869" s="8">
        <v>98346.91</v>
      </c>
      <c r="AM869" s="6" t="s">
        <v>155</v>
      </c>
      <c r="AN869" s="6">
        <v>1</v>
      </c>
      <c r="AO869" s="6">
        <v>1</v>
      </c>
      <c r="AP869" s="6">
        <v>0</v>
      </c>
      <c r="AQ869" s="6">
        <v>1</v>
      </c>
      <c r="AR869" s="6">
        <v>0</v>
      </c>
      <c r="AS869" s="6">
        <v>1</v>
      </c>
      <c r="AT869" s="6">
        <v>0</v>
      </c>
      <c r="AU869" s="6">
        <v>2.39</v>
      </c>
      <c r="AV869" s="6">
        <v>1.67</v>
      </c>
      <c r="AW869" s="6">
        <v>586.84</v>
      </c>
      <c r="AX869" s="6">
        <v>110.36</v>
      </c>
      <c r="AY869" s="6">
        <v>468.87</v>
      </c>
      <c r="AZ869" s="6">
        <v>13</v>
      </c>
      <c r="BA869" s="6">
        <v>37.9</v>
      </c>
    </row>
    <row r="870" spans="1:53" x14ac:dyDescent="0.3">
      <c r="A870" s="6">
        <v>786624943</v>
      </c>
      <c r="B870" s="6">
        <v>263032</v>
      </c>
      <c r="C870" s="6">
        <v>4191175</v>
      </c>
      <c r="D870" s="6">
        <v>6486</v>
      </c>
      <c r="E870" s="6" t="s">
        <v>225</v>
      </c>
      <c r="F870" s="6">
        <v>55756</v>
      </c>
      <c r="G870" s="6" t="s">
        <v>102</v>
      </c>
      <c r="H870" s="10">
        <v>45954</v>
      </c>
      <c r="I870" s="10">
        <v>45954</v>
      </c>
      <c r="J870" s="4">
        <v>45954.347222222219</v>
      </c>
      <c r="K870" s="4">
        <v>45954.712326388886</v>
      </c>
      <c r="L870" s="11">
        <v>45954.697743055556</v>
      </c>
      <c r="M870" s="10">
        <v>45954</v>
      </c>
      <c r="N870" s="6" t="s">
        <v>132</v>
      </c>
      <c r="O870" t="s">
        <v>133</v>
      </c>
      <c r="P870" s="6" t="s">
        <v>78</v>
      </c>
      <c r="Q870" t="s">
        <v>222</v>
      </c>
      <c r="R870" t="s">
        <v>88</v>
      </c>
      <c r="S870" s="6">
        <v>751495</v>
      </c>
      <c r="T870" s="6" t="s">
        <v>111</v>
      </c>
      <c r="U870">
        <v>422</v>
      </c>
      <c r="V870" s="6">
        <v>3.9</v>
      </c>
      <c r="W870" s="6">
        <v>28.5</v>
      </c>
      <c r="X870" s="6">
        <v>426.5</v>
      </c>
      <c r="Y870" s="6">
        <v>458.9</v>
      </c>
      <c r="Z870" s="6" t="s">
        <v>215</v>
      </c>
      <c r="AA870" t="s">
        <v>840</v>
      </c>
      <c r="AB870" s="6" t="s">
        <v>97</v>
      </c>
      <c r="AC870" t="s">
        <v>154</v>
      </c>
      <c r="AD870" t="s">
        <v>67</v>
      </c>
      <c r="AE870">
        <v>-21</v>
      </c>
      <c r="AF870">
        <v>64</v>
      </c>
      <c r="AG870">
        <v>0</v>
      </c>
      <c r="AH870" s="6">
        <v>44.5</v>
      </c>
      <c r="AI870" s="6">
        <v>0</v>
      </c>
      <c r="AJ870" s="6">
        <v>0.47499999999999998</v>
      </c>
      <c r="AK870" s="6">
        <v>0.92200000000000004</v>
      </c>
      <c r="AL870" s="8">
        <v>10990.21</v>
      </c>
      <c r="AM870" s="6" t="s">
        <v>114</v>
      </c>
      <c r="AN870" s="6">
        <v>1</v>
      </c>
      <c r="AO870" s="6">
        <v>1</v>
      </c>
      <c r="AP870" s="6">
        <v>0</v>
      </c>
      <c r="AQ870" s="6">
        <v>1</v>
      </c>
      <c r="AR870" s="6">
        <v>0</v>
      </c>
      <c r="AS870" s="6">
        <v>1</v>
      </c>
      <c r="AT870" s="6">
        <v>0</v>
      </c>
      <c r="AU870" s="6">
        <v>2.67</v>
      </c>
      <c r="AV870" s="6">
        <v>1.89</v>
      </c>
      <c r="AW870" s="6">
        <v>322.27999999999997</v>
      </c>
      <c r="AX870" s="6">
        <v>67.209999999999994</v>
      </c>
      <c r="AY870" s="6">
        <v>254.8</v>
      </c>
      <c r="AZ870" s="6">
        <v>13.2</v>
      </c>
      <c r="BA870" s="6">
        <v>25.3</v>
      </c>
    </row>
    <row r="871" spans="1:53" x14ac:dyDescent="0.3">
      <c r="A871" s="6">
        <v>949842840</v>
      </c>
      <c r="B871" s="6">
        <v>847581</v>
      </c>
      <c r="C871" s="6">
        <v>3919694</v>
      </c>
      <c r="D871" s="6">
        <v>9050</v>
      </c>
      <c r="E871" s="6" t="s">
        <v>185</v>
      </c>
      <c r="F871" s="6">
        <v>54414</v>
      </c>
      <c r="G871" s="6" t="s">
        <v>127</v>
      </c>
      <c r="H871" s="10">
        <v>45905</v>
      </c>
      <c r="I871" s="10">
        <v>45905</v>
      </c>
      <c r="J871" s="4">
        <v>45905.697916666664</v>
      </c>
      <c r="K871" s="4">
        <v>45905.90729166667</v>
      </c>
      <c r="L871" s="11">
        <v>45905.878819444442</v>
      </c>
      <c r="M871" s="10">
        <v>45905</v>
      </c>
      <c r="N871" s="6" t="s">
        <v>109</v>
      </c>
      <c r="O871" t="s">
        <v>193</v>
      </c>
      <c r="P871" s="6" t="s">
        <v>150</v>
      </c>
      <c r="Q871" t="s">
        <v>265</v>
      </c>
      <c r="R871" t="s">
        <v>73</v>
      </c>
      <c r="S871" s="6">
        <v>703172</v>
      </c>
      <c r="T871" s="6" t="s">
        <v>1</v>
      </c>
      <c r="U871">
        <v>230</v>
      </c>
      <c r="V871" s="6">
        <v>50.7</v>
      </c>
      <c r="W871" s="6">
        <v>29.6</v>
      </c>
      <c r="X871" s="6">
        <v>226.2</v>
      </c>
      <c r="Y871" s="6">
        <v>306.5</v>
      </c>
      <c r="Z871" s="6" t="s">
        <v>63</v>
      </c>
      <c r="AA871" t="s">
        <v>841</v>
      </c>
      <c r="AB871" s="6" t="s">
        <v>90</v>
      </c>
      <c r="AC871" t="s">
        <v>154</v>
      </c>
      <c r="AD871" t="s">
        <v>67</v>
      </c>
      <c r="AE871">
        <v>-41</v>
      </c>
      <c r="AF871">
        <v>0</v>
      </c>
      <c r="AG871">
        <v>0</v>
      </c>
      <c r="AH871" s="6">
        <v>68</v>
      </c>
      <c r="AI871" s="6">
        <v>0</v>
      </c>
      <c r="AJ871" s="6">
        <v>0.57699999999999996</v>
      </c>
      <c r="AK871" s="6">
        <v>0.79100000000000004</v>
      </c>
      <c r="AL871" s="8">
        <v>13311.66</v>
      </c>
      <c r="AM871" s="6" t="s">
        <v>114</v>
      </c>
      <c r="AN871" s="6">
        <v>1</v>
      </c>
      <c r="AO871" s="6">
        <v>1</v>
      </c>
      <c r="AP871" s="6">
        <v>0</v>
      </c>
      <c r="AQ871" s="6">
        <v>1</v>
      </c>
      <c r="AR871" s="6">
        <v>0</v>
      </c>
      <c r="AS871" s="6">
        <v>1</v>
      </c>
      <c r="AT871" s="6">
        <v>0</v>
      </c>
      <c r="AU871" s="6">
        <v>2.09</v>
      </c>
      <c r="AV871" s="6">
        <v>1.51</v>
      </c>
      <c r="AW871" s="6">
        <v>217.63</v>
      </c>
      <c r="AX871" s="6">
        <v>53.4</v>
      </c>
      <c r="AY871" s="6">
        <v>185.66</v>
      </c>
      <c r="AZ871" s="6">
        <v>12.5</v>
      </c>
      <c r="BA871" s="6">
        <v>22.3</v>
      </c>
    </row>
    <row r="872" spans="1:53" x14ac:dyDescent="0.3">
      <c r="A872" s="6">
        <v>161587757</v>
      </c>
      <c r="B872" s="6">
        <v>217301</v>
      </c>
      <c r="C872" s="6">
        <v>5453786</v>
      </c>
      <c r="D872" s="6">
        <v>5548</v>
      </c>
      <c r="E872" s="6" t="s">
        <v>142</v>
      </c>
      <c r="F872" s="6">
        <v>51110</v>
      </c>
      <c r="G872" s="6" t="s">
        <v>175</v>
      </c>
      <c r="H872" s="10">
        <v>45879</v>
      </c>
      <c r="I872" s="10">
        <v>45879</v>
      </c>
      <c r="J872" s="4">
        <v>45879.489583333336</v>
      </c>
      <c r="K872" s="4">
        <v>45879.832037037035</v>
      </c>
      <c r="L872" s="11">
        <v>45879.969537037039</v>
      </c>
      <c r="M872" s="10">
        <v>45879</v>
      </c>
      <c r="N872" s="6" t="s">
        <v>129</v>
      </c>
      <c r="O872" t="s">
        <v>241</v>
      </c>
      <c r="P872" s="6" t="s">
        <v>200</v>
      </c>
      <c r="Q872" t="s">
        <v>275</v>
      </c>
      <c r="R872" t="s">
        <v>62</v>
      </c>
      <c r="S872" s="6">
        <v>797689</v>
      </c>
      <c r="T872" s="6" t="s">
        <v>111</v>
      </c>
      <c r="U872">
        <v>462</v>
      </c>
      <c r="V872" s="6">
        <v>16</v>
      </c>
      <c r="W872" s="6">
        <v>20.100000000000001</v>
      </c>
      <c r="X872" s="6">
        <v>451.1</v>
      </c>
      <c r="Y872" s="6">
        <v>487.2</v>
      </c>
      <c r="Z872" s="6" t="s">
        <v>112</v>
      </c>
      <c r="AA872" t="s">
        <v>614</v>
      </c>
      <c r="AB872" s="6" t="s">
        <v>75</v>
      </c>
      <c r="AC872" t="s">
        <v>91</v>
      </c>
      <c r="AD872" t="s">
        <v>206</v>
      </c>
      <c r="AE872">
        <v>198</v>
      </c>
      <c r="AF872">
        <v>220</v>
      </c>
      <c r="AG872">
        <v>0</v>
      </c>
      <c r="AH872" s="6">
        <v>63.8</v>
      </c>
      <c r="AI872" s="6">
        <v>0</v>
      </c>
      <c r="AJ872" s="6">
        <v>0.78</v>
      </c>
      <c r="AK872" s="6">
        <v>0.754</v>
      </c>
      <c r="AL872" s="8">
        <v>5425.34</v>
      </c>
      <c r="AM872" s="6" t="s">
        <v>68</v>
      </c>
      <c r="AN872" s="6">
        <v>1</v>
      </c>
      <c r="AO872" s="6">
        <v>0</v>
      </c>
      <c r="AP872" s="6">
        <v>1</v>
      </c>
      <c r="AQ872" s="6">
        <v>0</v>
      </c>
      <c r="AR872" s="6">
        <v>1</v>
      </c>
      <c r="AS872" s="6">
        <v>0</v>
      </c>
      <c r="AT872" s="6">
        <v>1</v>
      </c>
      <c r="AU872" s="6">
        <v>2.21</v>
      </c>
      <c r="AV872" s="6">
        <v>1.75</v>
      </c>
      <c r="AW872" s="6">
        <v>314.37</v>
      </c>
      <c r="AX872" s="6">
        <v>89.23</v>
      </c>
      <c r="AY872" s="6">
        <v>325.26</v>
      </c>
      <c r="AZ872" s="6">
        <v>13</v>
      </c>
      <c r="BA872" s="6">
        <v>45.9</v>
      </c>
    </row>
    <row r="873" spans="1:53" x14ac:dyDescent="0.3">
      <c r="A873" s="6">
        <v>180574838</v>
      </c>
      <c r="B873" s="6">
        <v>961722</v>
      </c>
      <c r="C873" s="6">
        <v>5449324</v>
      </c>
      <c r="D873" s="6">
        <v>7019</v>
      </c>
      <c r="E873" s="6" t="s">
        <v>106</v>
      </c>
      <c r="F873" s="6">
        <v>55672</v>
      </c>
      <c r="G873" s="6" t="s">
        <v>127</v>
      </c>
      <c r="H873" s="10">
        <v>45864</v>
      </c>
      <c r="I873" s="10">
        <v>45864</v>
      </c>
      <c r="J873" s="4">
        <v>45864.527777777781</v>
      </c>
      <c r="K873" s="4">
        <v>45864.856736111113</v>
      </c>
      <c r="L873" s="11">
        <v>45864.853958333333</v>
      </c>
      <c r="M873" s="10">
        <v>45864</v>
      </c>
      <c r="N873" s="6" t="s">
        <v>86</v>
      </c>
      <c r="O873" t="s">
        <v>87</v>
      </c>
      <c r="P873" s="6" t="s">
        <v>170</v>
      </c>
      <c r="Q873" t="s">
        <v>183</v>
      </c>
      <c r="R873" t="s">
        <v>62</v>
      </c>
      <c r="S873" s="6">
        <v>743829</v>
      </c>
      <c r="T873" s="6" t="s">
        <v>111</v>
      </c>
      <c r="U873">
        <v>407</v>
      </c>
      <c r="V873" s="6">
        <v>27.1</v>
      </c>
      <c r="W873" s="6">
        <v>27.7</v>
      </c>
      <c r="X873" s="6">
        <v>409.5</v>
      </c>
      <c r="Y873" s="6">
        <v>464.3</v>
      </c>
      <c r="Z873" s="6" t="s">
        <v>2</v>
      </c>
      <c r="AA873" t="s">
        <v>842</v>
      </c>
      <c r="AB873" s="6" t="s">
        <v>75</v>
      </c>
      <c r="AC873" t="s">
        <v>76</v>
      </c>
      <c r="AD873" t="s">
        <v>67</v>
      </c>
      <c r="AE873">
        <v>-4</v>
      </c>
      <c r="AF873">
        <v>0</v>
      </c>
      <c r="AG873">
        <v>0</v>
      </c>
      <c r="AH873" s="6">
        <v>69.599999999999994</v>
      </c>
      <c r="AI873" s="6">
        <v>0</v>
      </c>
      <c r="AJ873" s="6">
        <v>0.56399999999999995</v>
      </c>
      <c r="AK873" s="6">
        <v>0.754</v>
      </c>
      <c r="AL873" s="8">
        <v>2019.09</v>
      </c>
      <c r="AM873" s="6" t="s">
        <v>68</v>
      </c>
      <c r="AN873" s="6">
        <v>1</v>
      </c>
      <c r="AO873" s="6">
        <v>1</v>
      </c>
      <c r="AP873" s="6">
        <v>0</v>
      </c>
      <c r="AQ873" s="6">
        <v>1</v>
      </c>
      <c r="AR873" s="6">
        <v>0</v>
      </c>
      <c r="AS873" s="6">
        <v>1</v>
      </c>
      <c r="AT873" s="6">
        <v>0</v>
      </c>
      <c r="AU873" s="6">
        <v>2.23</v>
      </c>
      <c r="AV873" s="6">
        <v>1.66</v>
      </c>
      <c r="AW873" s="6">
        <v>417.62</v>
      </c>
      <c r="AX873" s="6">
        <v>94.93</v>
      </c>
      <c r="AY873" s="6">
        <v>302.23</v>
      </c>
      <c r="AZ873" s="6">
        <v>12.7</v>
      </c>
      <c r="BA873" s="6">
        <v>0</v>
      </c>
    </row>
    <row r="874" spans="1:53" x14ac:dyDescent="0.3">
      <c r="A874" s="6">
        <v>820678212</v>
      </c>
      <c r="B874" s="6">
        <v>426858</v>
      </c>
      <c r="C874" s="6">
        <v>6049101</v>
      </c>
      <c r="D874" s="6">
        <v>4446</v>
      </c>
      <c r="E874" s="6" t="s">
        <v>101</v>
      </c>
      <c r="F874" s="6">
        <v>54053</v>
      </c>
      <c r="G874" s="6" t="s">
        <v>115</v>
      </c>
      <c r="H874" s="10">
        <v>45972</v>
      </c>
      <c r="I874" s="10">
        <v>45972</v>
      </c>
      <c r="J874" s="4">
        <v>45972.722222222219</v>
      </c>
      <c r="K874" s="4">
        <v>45972.784722222219</v>
      </c>
      <c r="L874" s="11">
        <v>45972.763194444444</v>
      </c>
      <c r="M874" s="10">
        <v>45972</v>
      </c>
      <c r="N874" s="6" t="s">
        <v>78</v>
      </c>
      <c r="O874" t="s">
        <v>222</v>
      </c>
      <c r="P874" s="6" t="s">
        <v>129</v>
      </c>
      <c r="Q874" t="s">
        <v>241</v>
      </c>
      <c r="R874" t="s">
        <v>123</v>
      </c>
      <c r="S874" s="6">
        <v>751815</v>
      </c>
      <c r="T874" s="6" t="s">
        <v>3</v>
      </c>
      <c r="U874">
        <v>29</v>
      </c>
      <c r="V874" s="6">
        <v>19.3</v>
      </c>
      <c r="W874" s="6">
        <v>5.9</v>
      </c>
      <c r="X874" s="6">
        <v>19.899999999999999</v>
      </c>
      <c r="Y874" s="6">
        <v>45.1</v>
      </c>
      <c r="Z874" s="6" t="s">
        <v>112</v>
      </c>
      <c r="AA874" t="s">
        <v>497</v>
      </c>
      <c r="AB874" s="6" t="s">
        <v>90</v>
      </c>
      <c r="AC874" t="s">
        <v>66</v>
      </c>
      <c r="AD874" t="s">
        <v>67</v>
      </c>
      <c r="AE874">
        <v>-31</v>
      </c>
      <c r="AF874">
        <v>0</v>
      </c>
      <c r="AG874">
        <v>0</v>
      </c>
      <c r="AH874" s="6">
        <v>41.3</v>
      </c>
      <c r="AI874" s="6">
        <v>0</v>
      </c>
      <c r="AJ874" s="6">
        <v>0.58599999999999997</v>
      </c>
      <c r="AK874" s="6">
        <v>0.875</v>
      </c>
      <c r="AL874" s="8">
        <v>18067.71</v>
      </c>
      <c r="AM874" s="6" t="s">
        <v>114</v>
      </c>
      <c r="AN874" s="6">
        <v>1</v>
      </c>
      <c r="AO874" s="6">
        <v>1</v>
      </c>
      <c r="AP874" s="6">
        <v>0</v>
      </c>
      <c r="AQ874" s="6">
        <v>1</v>
      </c>
      <c r="AR874" s="6">
        <v>0</v>
      </c>
      <c r="AS874" s="6">
        <v>1</v>
      </c>
      <c r="AT874" s="6">
        <v>0</v>
      </c>
      <c r="AU874" s="6">
        <v>2.39</v>
      </c>
      <c r="AV874" s="6">
        <v>1.48</v>
      </c>
      <c r="AW874" s="6">
        <v>33.130000000000003</v>
      </c>
      <c r="AX874" s="6">
        <v>7.59</v>
      </c>
      <c r="AY874" s="6">
        <v>32.35</v>
      </c>
      <c r="AZ874" s="6">
        <v>24.9</v>
      </c>
      <c r="BA874" s="6">
        <v>6.4</v>
      </c>
    </row>
    <row r="875" spans="1:53" x14ac:dyDescent="0.3">
      <c r="A875" s="6">
        <v>784523874</v>
      </c>
      <c r="B875" s="6">
        <v>343962</v>
      </c>
      <c r="C875" s="6">
        <v>5672073</v>
      </c>
      <c r="D875" s="6">
        <v>7396</v>
      </c>
      <c r="E875" s="6" t="s">
        <v>92</v>
      </c>
      <c r="F875" s="6">
        <v>53937</v>
      </c>
      <c r="G875" s="6" t="s">
        <v>164</v>
      </c>
      <c r="H875" s="10">
        <v>45957</v>
      </c>
      <c r="I875" s="10">
        <v>45957</v>
      </c>
      <c r="J875" s="4">
        <v>45957.663194444445</v>
      </c>
      <c r="K875" s="4">
        <v>45957.945891203701</v>
      </c>
      <c r="L875" s="11">
        <v>45957.926446759258</v>
      </c>
      <c r="M875" s="10">
        <v>45957</v>
      </c>
      <c r="N875" s="6" t="s">
        <v>70</v>
      </c>
      <c r="O875" t="s">
        <v>152</v>
      </c>
      <c r="P875" s="6" t="s">
        <v>200</v>
      </c>
      <c r="Q875" t="s">
        <v>201</v>
      </c>
      <c r="R875" t="s">
        <v>62</v>
      </c>
      <c r="S875" s="6">
        <v>763246</v>
      </c>
      <c r="T875" s="6" t="s">
        <v>1</v>
      </c>
      <c r="U875">
        <v>289</v>
      </c>
      <c r="V875" s="6">
        <v>14</v>
      </c>
      <c r="W875" s="6">
        <v>4.0999999999999996</v>
      </c>
      <c r="X875" s="6">
        <v>288.60000000000002</v>
      </c>
      <c r="Y875" s="6">
        <v>306.7</v>
      </c>
      <c r="Z875" s="6" t="s">
        <v>80</v>
      </c>
      <c r="AA875" t="s">
        <v>493</v>
      </c>
      <c r="AB875" s="6" t="s">
        <v>90</v>
      </c>
      <c r="AC875" t="s">
        <v>83</v>
      </c>
      <c r="AD875" t="s">
        <v>67</v>
      </c>
      <c r="AE875">
        <v>-28</v>
      </c>
      <c r="AF875">
        <v>0</v>
      </c>
      <c r="AG875">
        <v>0</v>
      </c>
      <c r="AH875" s="6">
        <v>28.7</v>
      </c>
      <c r="AI875" s="6">
        <v>0</v>
      </c>
      <c r="AJ875" s="6">
        <v>0.58899999999999997</v>
      </c>
      <c r="AK875" s="6">
        <v>0.68600000000000005</v>
      </c>
      <c r="AL875" s="8">
        <v>2447.38</v>
      </c>
      <c r="AM875" s="6" t="s">
        <v>68</v>
      </c>
      <c r="AN875" s="6">
        <v>1</v>
      </c>
      <c r="AO875" s="6">
        <v>1</v>
      </c>
      <c r="AP875" s="6">
        <v>0</v>
      </c>
      <c r="AQ875" s="6">
        <v>1</v>
      </c>
      <c r="AR875" s="6">
        <v>0</v>
      </c>
      <c r="AS875" s="6">
        <v>1</v>
      </c>
      <c r="AT875" s="6">
        <v>0</v>
      </c>
      <c r="AU875" s="6">
        <v>2.2200000000000002</v>
      </c>
      <c r="AV875" s="6">
        <v>1.52</v>
      </c>
      <c r="AW875" s="6">
        <v>205.08</v>
      </c>
      <c r="AX875" s="6">
        <v>38.65</v>
      </c>
      <c r="AY875" s="6">
        <v>183.7</v>
      </c>
      <c r="AZ875" s="6">
        <v>13.7</v>
      </c>
      <c r="BA875" s="6">
        <v>42.9</v>
      </c>
    </row>
    <row r="876" spans="1:53" x14ac:dyDescent="0.3">
      <c r="A876" s="6">
        <v>536164913</v>
      </c>
      <c r="B876" s="6">
        <v>705397</v>
      </c>
      <c r="C876" s="6">
        <v>5449368</v>
      </c>
      <c r="D876" s="6">
        <v>5859</v>
      </c>
      <c r="E876" s="6" t="s">
        <v>84</v>
      </c>
      <c r="F876" s="6">
        <v>53963</v>
      </c>
      <c r="G876" s="6" t="s">
        <v>77</v>
      </c>
      <c r="H876" s="10">
        <v>45702</v>
      </c>
      <c r="I876" s="10">
        <v>45702</v>
      </c>
      <c r="J876" s="4">
        <v>45702.854166666664</v>
      </c>
      <c r="K876" s="4">
        <v>45703.155150462961</v>
      </c>
      <c r="L876" s="11">
        <v>45703.156539351854</v>
      </c>
      <c r="M876" s="10">
        <v>45703</v>
      </c>
      <c r="N876" s="6" t="s">
        <v>134</v>
      </c>
      <c r="O876" t="s">
        <v>248</v>
      </c>
      <c r="P876" s="6" t="s">
        <v>200</v>
      </c>
      <c r="Q876" t="s">
        <v>275</v>
      </c>
      <c r="R876" t="s">
        <v>62</v>
      </c>
      <c r="S876" s="6">
        <v>727770</v>
      </c>
      <c r="T876" s="6" t="s">
        <v>111</v>
      </c>
      <c r="U876">
        <v>361</v>
      </c>
      <c r="V876" s="6">
        <v>38.9</v>
      </c>
      <c r="W876" s="6">
        <v>22</v>
      </c>
      <c r="X876" s="6">
        <v>362.9</v>
      </c>
      <c r="Y876" s="6">
        <v>423.8</v>
      </c>
      <c r="Z876" s="6" t="s">
        <v>2</v>
      </c>
      <c r="AA876" t="s">
        <v>693</v>
      </c>
      <c r="AB876" s="6" t="s">
        <v>65</v>
      </c>
      <c r="AC876" t="s">
        <v>154</v>
      </c>
      <c r="AD876" t="s">
        <v>67</v>
      </c>
      <c r="AE876">
        <v>2</v>
      </c>
      <c r="AF876">
        <v>0</v>
      </c>
      <c r="AG876">
        <v>0</v>
      </c>
      <c r="AH876" s="6">
        <v>56.8</v>
      </c>
      <c r="AI876" s="6">
        <v>0</v>
      </c>
      <c r="AJ876" s="6">
        <v>0.69599999999999995</v>
      </c>
      <c r="AK876" s="6">
        <v>0.32100000000000001</v>
      </c>
      <c r="AL876" s="8">
        <v>3194.79</v>
      </c>
      <c r="AM876" s="6" t="s">
        <v>68</v>
      </c>
      <c r="AN876" s="6">
        <v>1</v>
      </c>
      <c r="AO876" s="6">
        <v>1</v>
      </c>
      <c r="AP876" s="6">
        <v>0</v>
      </c>
      <c r="AQ876" s="6">
        <v>1</v>
      </c>
      <c r="AR876" s="6">
        <v>0</v>
      </c>
      <c r="AS876" s="6">
        <v>1</v>
      </c>
      <c r="AT876" s="6">
        <v>0</v>
      </c>
      <c r="AU876" s="6">
        <v>2.16</v>
      </c>
      <c r="AV876" s="6">
        <v>1.58</v>
      </c>
      <c r="AW876" s="6">
        <v>280.85000000000002</v>
      </c>
      <c r="AX876" s="6">
        <v>92.71</v>
      </c>
      <c r="AY876" s="6">
        <v>257.3</v>
      </c>
      <c r="AZ876" s="6">
        <v>11.4</v>
      </c>
      <c r="BA876" s="6">
        <v>34.5</v>
      </c>
    </row>
    <row r="877" spans="1:53" x14ac:dyDescent="0.3">
      <c r="A877" s="6">
        <v>490102359</v>
      </c>
      <c r="B877" s="6">
        <v>245051</v>
      </c>
      <c r="C877" s="6">
        <v>1739653</v>
      </c>
      <c r="D877" s="6">
        <v>4763</v>
      </c>
      <c r="E877" s="6" t="s">
        <v>185</v>
      </c>
      <c r="F877" s="6">
        <v>54942</v>
      </c>
      <c r="G877" s="6" t="s">
        <v>69</v>
      </c>
      <c r="H877" s="10">
        <v>45967</v>
      </c>
      <c r="I877" s="10">
        <v>45967</v>
      </c>
      <c r="J877" s="4">
        <v>45967.541666666664</v>
      </c>
      <c r="K877" s="4">
        <v>45967.853495370371</v>
      </c>
      <c r="L877" s="11">
        <v>45967.836828703701</v>
      </c>
      <c r="M877" s="10">
        <v>45967</v>
      </c>
      <c r="N877" s="6" t="s">
        <v>70</v>
      </c>
      <c r="O877" t="s">
        <v>152</v>
      </c>
      <c r="P877" s="6" t="s">
        <v>121</v>
      </c>
      <c r="Q877" t="s">
        <v>237</v>
      </c>
      <c r="R877" t="s">
        <v>123</v>
      </c>
      <c r="S877" s="6">
        <v>737287</v>
      </c>
      <c r="T877" s="6" t="s">
        <v>1</v>
      </c>
      <c r="U877">
        <v>313</v>
      </c>
      <c r="V877" s="6">
        <v>33.4</v>
      </c>
      <c r="W877" s="6">
        <v>24.8</v>
      </c>
      <c r="X877" s="6">
        <v>311.3</v>
      </c>
      <c r="Y877" s="6">
        <v>369.5</v>
      </c>
      <c r="Z877" s="6" t="s">
        <v>63</v>
      </c>
      <c r="AA877" t="s">
        <v>843</v>
      </c>
      <c r="AB877" s="6" t="s">
        <v>75</v>
      </c>
      <c r="AC877" t="s">
        <v>137</v>
      </c>
      <c r="AD877" t="s">
        <v>67</v>
      </c>
      <c r="AE877">
        <v>-24</v>
      </c>
      <c r="AF877">
        <v>0</v>
      </c>
      <c r="AG877">
        <v>0</v>
      </c>
      <c r="AH877" s="6">
        <v>58.5</v>
      </c>
      <c r="AI877" s="6">
        <v>0</v>
      </c>
      <c r="AJ877" s="6">
        <v>0.66500000000000004</v>
      </c>
      <c r="AK877" s="6">
        <v>0.754</v>
      </c>
      <c r="AL877" s="8">
        <v>1408.29</v>
      </c>
      <c r="AM877" s="6" t="s">
        <v>68</v>
      </c>
      <c r="AN877" s="6">
        <v>1</v>
      </c>
      <c r="AO877" s="6">
        <v>1</v>
      </c>
      <c r="AP877" s="6">
        <v>0</v>
      </c>
      <c r="AQ877" s="6">
        <v>1</v>
      </c>
      <c r="AR877" s="6">
        <v>0</v>
      </c>
      <c r="AS877" s="6">
        <v>1</v>
      </c>
      <c r="AT877" s="6">
        <v>0</v>
      </c>
      <c r="AU877" s="6">
        <v>1.92</v>
      </c>
      <c r="AV877" s="6">
        <v>1.19</v>
      </c>
      <c r="AW877" s="6">
        <v>274.25</v>
      </c>
      <c r="AX877" s="6">
        <v>67.27</v>
      </c>
      <c r="AY877" s="6">
        <v>182.04</v>
      </c>
      <c r="AZ877" s="6">
        <v>12.9</v>
      </c>
      <c r="BA877" s="6">
        <v>71.3</v>
      </c>
    </row>
    <row r="878" spans="1:53" x14ac:dyDescent="0.3">
      <c r="A878" s="6">
        <v>650921917</v>
      </c>
      <c r="B878" s="6">
        <v>996865</v>
      </c>
      <c r="C878" s="6">
        <v>2022698</v>
      </c>
      <c r="D878" s="6">
        <v>6463</v>
      </c>
      <c r="E878" s="6" t="s">
        <v>126</v>
      </c>
      <c r="F878" s="6">
        <v>55897</v>
      </c>
      <c r="G878" s="6" t="s">
        <v>69</v>
      </c>
      <c r="H878" s="10">
        <v>45809</v>
      </c>
      <c r="I878" s="10">
        <v>45809</v>
      </c>
      <c r="J878" s="4">
        <v>45809.645833333336</v>
      </c>
      <c r="K878" s="4">
        <v>45809.901886574073</v>
      </c>
      <c r="L878" s="11">
        <v>45809.890775462962</v>
      </c>
      <c r="M878" s="10">
        <v>45809</v>
      </c>
      <c r="N878" s="6" t="s">
        <v>176</v>
      </c>
      <c r="O878" t="s">
        <v>292</v>
      </c>
      <c r="P878" s="6" t="s">
        <v>176</v>
      </c>
      <c r="Q878" t="s">
        <v>292</v>
      </c>
      <c r="R878" t="s">
        <v>88</v>
      </c>
      <c r="S878" s="6">
        <v>745653</v>
      </c>
      <c r="T878" s="6" t="s">
        <v>111</v>
      </c>
      <c r="U878">
        <v>317</v>
      </c>
      <c r="V878" s="6">
        <v>17.399999999999999</v>
      </c>
      <c r="W878" s="6">
        <v>25.2</v>
      </c>
      <c r="X878" s="6">
        <v>315.39999999999998</v>
      </c>
      <c r="Y878" s="6">
        <v>358</v>
      </c>
      <c r="Z878" s="6" t="s">
        <v>63</v>
      </c>
      <c r="AA878" t="s">
        <v>677</v>
      </c>
      <c r="AB878" s="6" t="s">
        <v>90</v>
      </c>
      <c r="AC878" t="s">
        <v>91</v>
      </c>
      <c r="AD878" t="s">
        <v>67</v>
      </c>
      <c r="AE878">
        <v>-16</v>
      </c>
      <c r="AF878">
        <v>0</v>
      </c>
      <c r="AG878">
        <v>0</v>
      </c>
      <c r="AH878" s="6">
        <v>52.7</v>
      </c>
      <c r="AI878" s="6">
        <v>0</v>
      </c>
      <c r="AJ878" s="6">
        <v>0.9</v>
      </c>
      <c r="AK878" s="6">
        <v>0.71799999999999997</v>
      </c>
      <c r="AL878" s="8">
        <v>10420.6</v>
      </c>
      <c r="AM878" s="6" t="s">
        <v>114</v>
      </c>
      <c r="AN878" s="6">
        <v>1</v>
      </c>
      <c r="AO878" s="6">
        <v>1</v>
      </c>
      <c r="AP878" s="6">
        <v>0</v>
      </c>
      <c r="AQ878" s="6">
        <v>1</v>
      </c>
      <c r="AR878" s="6">
        <v>0</v>
      </c>
      <c r="AS878" s="6">
        <v>1</v>
      </c>
      <c r="AT878" s="6">
        <v>0</v>
      </c>
      <c r="AU878" s="6">
        <v>2.19</v>
      </c>
      <c r="AV878" s="6">
        <v>1.72</v>
      </c>
      <c r="AW878" s="6">
        <v>289.86</v>
      </c>
      <c r="AX878" s="6">
        <v>51.9</v>
      </c>
      <c r="AY878" s="6">
        <v>205.3</v>
      </c>
      <c r="AZ878" s="6">
        <v>8.8000000000000007</v>
      </c>
      <c r="BA878" s="6">
        <v>17.5</v>
      </c>
    </row>
    <row r="879" spans="1:53" x14ac:dyDescent="0.3">
      <c r="A879" s="6">
        <v>960170255</v>
      </c>
      <c r="B879" s="6">
        <v>903035</v>
      </c>
      <c r="C879" s="6">
        <v>7110622</v>
      </c>
      <c r="D879" s="6">
        <v>3200</v>
      </c>
      <c r="E879" s="6" t="s">
        <v>92</v>
      </c>
      <c r="F879" s="6">
        <v>58974</v>
      </c>
      <c r="G879" s="6" t="s">
        <v>235</v>
      </c>
      <c r="H879" s="10">
        <v>45750</v>
      </c>
      <c r="I879" s="10">
        <v>45750</v>
      </c>
      <c r="J879" s="4">
        <v>45750.347222222219</v>
      </c>
      <c r="K879" s="4">
        <v>45750.46465277778</v>
      </c>
      <c r="L879" s="11">
        <v>45750.438958333332</v>
      </c>
      <c r="M879" s="10">
        <v>45750</v>
      </c>
      <c r="N879" s="6" t="s">
        <v>200</v>
      </c>
      <c r="O879" t="s">
        <v>161</v>
      </c>
      <c r="P879" s="6" t="s">
        <v>200</v>
      </c>
      <c r="Q879" t="s">
        <v>161</v>
      </c>
      <c r="R879" t="s">
        <v>62</v>
      </c>
      <c r="S879" s="6">
        <v>725966</v>
      </c>
      <c r="T879" s="6" t="s">
        <v>3</v>
      </c>
      <c r="U879">
        <v>106</v>
      </c>
      <c r="V879" s="6">
        <v>29.5</v>
      </c>
      <c r="W879" s="6">
        <v>23.1</v>
      </c>
      <c r="X879" s="6">
        <v>115.3</v>
      </c>
      <c r="Y879" s="6">
        <v>167.9</v>
      </c>
      <c r="Z879" s="6" t="s">
        <v>2</v>
      </c>
      <c r="AA879" t="s">
        <v>844</v>
      </c>
      <c r="AB879" s="6" t="s">
        <v>97</v>
      </c>
      <c r="AC879" t="s">
        <v>137</v>
      </c>
      <c r="AD879" t="s">
        <v>67</v>
      </c>
      <c r="AE879">
        <v>-37</v>
      </c>
      <c r="AF879">
        <v>0</v>
      </c>
      <c r="AG879">
        <v>0</v>
      </c>
      <c r="AH879" s="6">
        <v>27.9</v>
      </c>
      <c r="AI879" s="6">
        <v>0</v>
      </c>
      <c r="AJ879" s="6">
        <v>0.46700000000000003</v>
      </c>
      <c r="AK879" s="6">
        <v>0.66</v>
      </c>
      <c r="AL879" s="8">
        <v>5345.04</v>
      </c>
      <c r="AM879" s="6" t="s">
        <v>68</v>
      </c>
      <c r="AN879" s="6">
        <v>1</v>
      </c>
      <c r="AO879" s="6">
        <v>1</v>
      </c>
      <c r="AP879" s="6">
        <v>0</v>
      </c>
      <c r="AQ879" s="6">
        <v>1</v>
      </c>
      <c r="AR879" s="6">
        <v>0</v>
      </c>
      <c r="AS879" s="6">
        <v>1</v>
      </c>
      <c r="AT879" s="6">
        <v>0</v>
      </c>
      <c r="AU879" s="6">
        <v>2.56</v>
      </c>
      <c r="AV879" s="6">
        <v>1.53</v>
      </c>
      <c r="AW879" s="6">
        <v>143.27000000000001</v>
      </c>
      <c r="AX879" s="6">
        <v>36.299999999999997</v>
      </c>
      <c r="AY879" s="6">
        <v>117.75</v>
      </c>
      <c r="AZ879" s="6">
        <v>26.8</v>
      </c>
      <c r="BA879" s="6">
        <v>6.3</v>
      </c>
    </row>
    <row r="880" spans="1:53" x14ac:dyDescent="0.3">
      <c r="A880" s="6">
        <v>905196831</v>
      </c>
      <c r="B880" s="6">
        <v>719176</v>
      </c>
      <c r="C880" s="6">
        <v>2130789</v>
      </c>
      <c r="D880" s="6">
        <v>6311</v>
      </c>
      <c r="E880" s="6" t="s">
        <v>211</v>
      </c>
      <c r="F880" s="6">
        <v>51116</v>
      </c>
      <c r="G880" s="6" t="s">
        <v>102</v>
      </c>
      <c r="H880" s="10">
        <v>45975</v>
      </c>
      <c r="I880" s="10">
        <v>45975</v>
      </c>
      <c r="J880" s="4">
        <v>45975.708333333336</v>
      </c>
      <c r="K880" s="4">
        <v>45976.065196759257</v>
      </c>
      <c r="L880" s="11">
        <v>45976.173530092594</v>
      </c>
      <c r="M880" s="10">
        <v>45976</v>
      </c>
      <c r="N880" s="6" t="s">
        <v>200</v>
      </c>
      <c r="O880" t="s">
        <v>201</v>
      </c>
      <c r="P880" s="6" t="s">
        <v>200</v>
      </c>
      <c r="Q880" t="s">
        <v>161</v>
      </c>
      <c r="R880" t="s">
        <v>62</v>
      </c>
      <c r="S880" s="6">
        <v>725966</v>
      </c>
      <c r="T880" s="6" t="s">
        <v>111</v>
      </c>
      <c r="U880">
        <v>310</v>
      </c>
      <c r="V880" s="6">
        <v>59.8</v>
      </c>
      <c r="W880" s="6">
        <v>3.1</v>
      </c>
      <c r="X880" s="6">
        <v>319.39999999999998</v>
      </c>
      <c r="Y880" s="6">
        <v>382.3</v>
      </c>
      <c r="Z880" s="6" t="s">
        <v>63</v>
      </c>
      <c r="AA880" t="s">
        <v>821</v>
      </c>
      <c r="AB880" s="6" t="s">
        <v>90</v>
      </c>
      <c r="AC880" t="s">
        <v>154</v>
      </c>
      <c r="AD880" t="s">
        <v>206</v>
      </c>
      <c r="AE880">
        <v>156</v>
      </c>
      <c r="AF880">
        <v>177</v>
      </c>
      <c r="AG880">
        <v>0</v>
      </c>
      <c r="AH880" s="6">
        <v>21.8</v>
      </c>
      <c r="AI880" s="6">
        <v>0</v>
      </c>
      <c r="AJ880" s="6">
        <v>0.68200000000000005</v>
      </c>
      <c r="AK880" s="6">
        <v>0.57699999999999996</v>
      </c>
      <c r="AL880" s="8">
        <v>5521.03</v>
      </c>
      <c r="AM880" s="6" t="s">
        <v>68</v>
      </c>
      <c r="AN880" s="6">
        <v>1</v>
      </c>
      <c r="AO880" s="6">
        <v>0</v>
      </c>
      <c r="AP880" s="6">
        <v>1</v>
      </c>
      <c r="AQ880" s="6">
        <v>0</v>
      </c>
      <c r="AR880" s="6">
        <v>1</v>
      </c>
      <c r="AS880" s="6">
        <v>0</v>
      </c>
      <c r="AT880" s="6">
        <v>1</v>
      </c>
      <c r="AU880" s="6">
        <v>2.21</v>
      </c>
      <c r="AV880" s="6">
        <v>1.58</v>
      </c>
      <c r="AW880" s="6">
        <v>343.07</v>
      </c>
      <c r="AX880" s="6">
        <v>82.2</v>
      </c>
      <c r="AY880" s="6">
        <v>215.66</v>
      </c>
      <c r="AZ880" s="6">
        <v>17</v>
      </c>
      <c r="BA880" s="6">
        <v>46.4</v>
      </c>
    </row>
    <row r="881" spans="1:53" x14ac:dyDescent="0.3">
      <c r="A881" s="6">
        <v>829511584</v>
      </c>
      <c r="B881" s="6">
        <v>623481</v>
      </c>
      <c r="C881" s="6">
        <v>2737893</v>
      </c>
      <c r="D881" s="6">
        <v>4627</v>
      </c>
      <c r="E881" s="6" t="s">
        <v>101</v>
      </c>
      <c r="F881" s="6">
        <v>51750</v>
      </c>
      <c r="G881" s="6" t="s">
        <v>127</v>
      </c>
      <c r="H881" s="10">
        <v>45815</v>
      </c>
      <c r="I881" s="10">
        <v>45815</v>
      </c>
      <c r="J881" s="4">
        <v>45815.871527777781</v>
      </c>
      <c r="K881" s="4">
        <v>45816.034039351849</v>
      </c>
      <c r="L881" s="11">
        <v>45816.008344907408</v>
      </c>
      <c r="M881" s="10">
        <v>45816</v>
      </c>
      <c r="N881" s="6" t="s">
        <v>150</v>
      </c>
      <c r="O881" t="s">
        <v>151</v>
      </c>
      <c r="P881" s="6" t="s">
        <v>86</v>
      </c>
      <c r="Q881" t="s">
        <v>87</v>
      </c>
      <c r="R881" t="s">
        <v>88</v>
      </c>
      <c r="S881" s="6">
        <v>741347</v>
      </c>
      <c r="T881" s="6" t="s">
        <v>1</v>
      </c>
      <c r="U881">
        <v>154</v>
      </c>
      <c r="V881" s="6">
        <v>25.3</v>
      </c>
      <c r="W881" s="6">
        <v>35.6</v>
      </c>
      <c r="X881" s="6">
        <v>148.5</v>
      </c>
      <c r="Y881" s="6">
        <v>209.4</v>
      </c>
      <c r="Z881" s="6" t="s">
        <v>63</v>
      </c>
      <c r="AA881" t="s">
        <v>546</v>
      </c>
      <c r="AB881" s="6" t="s">
        <v>65</v>
      </c>
      <c r="AC881" t="s">
        <v>76</v>
      </c>
      <c r="AD881" t="s">
        <v>67</v>
      </c>
      <c r="AE881">
        <v>-37</v>
      </c>
      <c r="AF881">
        <v>0</v>
      </c>
      <c r="AG881">
        <v>0</v>
      </c>
      <c r="AH881" s="6">
        <v>52.2</v>
      </c>
      <c r="AI881" s="6">
        <v>0</v>
      </c>
      <c r="AJ881" s="6">
        <v>0.89900000000000002</v>
      </c>
      <c r="AK881" s="6">
        <v>0.374</v>
      </c>
      <c r="AL881" s="8">
        <v>10847.92</v>
      </c>
      <c r="AM881" s="6" t="s">
        <v>114</v>
      </c>
      <c r="AN881" s="6">
        <v>1</v>
      </c>
      <c r="AO881" s="6">
        <v>1</v>
      </c>
      <c r="AP881" s="6">
        <v>0</v>
      </c>
      <c r="AQ881" s="6">
        <v>1</v>
      </c>
      <c r="AR881" s="6">
        <v>0</v>
      </c>
      <c r="AS881" s="6">
        <v>1</v>
      </c>
      <c r="AT881" s="6">
        <v>0</v>
      </c>
      <c r="AU881" s="6">
        <v>1.97</v>
      </c>
      <c r="AV881" s="6">
        <v>1.57</v>
      </c>
      <c r="AW881" s="6">
        <v>169.76</v>
      </c>
      <c r="AX881" s="6">
        <v>22.94</v>
      </c>
      <c r="AY881" s="6">
        <v>139.01</v>
      </c>
      <c r="AZ881" s="6">
        <v>22.3</v>
      </c>
      <c r="BA881" s="6">
        <v>70.7</v>
      </c>
    </row>
    <row r="882" spans="1:53" x14ac:dyDescent="0.3">
      <c r="A882" s="6">
        <v>271784435</v>
      </c>
      <c r="B882" s="6">
        <v>358607</v>
      </c>
      <c r="C882" s="6">
        <v>5727085</v>
      </c>
      <c r="D882" s="6">
        <v>6864</v>
      </c>
      <c r="E882" s="6" t="s">
        <v>84</v>
      </c>
      <c r="F882" s="6">
        <v>54027</v>
      </c>
      <c r="G882" s="6" t="s">
        <v>164</v>
      </c>
      <c r="H882" s="10">
        <v>45953</v>
      </c>
      <c r="I882" s="10">
        <v>45953</v>
      </c>
      <c r="J882" s="4">
        <v>45953.53125</v>
      </c>
      <c r="K882" s="4">
        <v>45953.60429398148</v>
      </c>
      <c r="L882" s="11">
        <v>45953.582766203705</v>
      </c>
      <c r="M882" s="10">
        <v>45953</v>
      </c>
      <c r="N882" s="6" t="s">
        <v>103</v>
      </c>
      <c r="O882" t="s">
        <v>104</v>
      </c>
      <c r="P882" s="6" t="s">
        <v>134</v>
      </c>
      <c r="Q882" t="s">
        <v>248</v>
      </c>
      <c r="R882" t="s">
        <v>73</v>
      </c>
      <c r="S882" s="6">
        <v>763999</v>
      </c>
      <c r="T882" s="6" t="s">
        <v>1</v>
      </c>
      <c r="U882">
        <v>115</v>
      </c>
      <c r="V882" s="6">
        <v>12.8</v>
      </c>
      <c r="W882" s="6">
        <v>31.4</v>
      </c>
      <c r="X882" s="6">
        <v>111.4</v>
      </c>
      <c r="Y882" s="6">
        <v>155.6</v>
      </c>
      <c r="Z882" s="6" t="s">
        <v>63</v>
      </c>
      <c r="AA882" t="s">
        <v>845</v>
      </c>
      <c r="AB882" s="6" t="s">
        <v>75</v>
      </c>
      <c r="AC882" t="s">
        <v>137</v>
      </c>
      <c r="AD882" t="s">
        <v>67</v>
      </c>
      <c r="AE882">
        <v>-31</v>
      </c>
      <c r="AF882">
        <v>0</v>
      </c>
      <c r="AG882">
        <v>0</v>
      </c>
      <c r="AH882" s="6">
        <v>34.299999999999997</v>
      </c>
      <c r="AI882" s="6">
        <v>0</v>
      </c>
      <c r="AJ882" s="6">
        <v>0.40300000000000002</v>
      </c>
      <c r="AK882" s="6">
        <v>0.52</v>
      </c>
      <c r="AL882" s="8">
        <v>9187.65</v>
      </c>
      <c r="AM882" s="6" t="s">
        <v>114</v>
      </c>
      <c r="AN882" s="6">
        <v>1</v>
      </c>
      <c r="AO882" s="6">
        <v>1</v>
      </c>
      <c r="AP882" s="6">
        <v>0</v>
      </c>
      <c r="AQ882" s="6">
        <v>1</v>
      </c>
      <c r="AR882" s="6">
        <v>0</v>
      </c>
      <c r="AS882" s="6">
        <v>1</v>
      </c>
      <c r="AT882" s="6">
        <v>0</v>
      </c>
      <c r="AU882" s="6">
        <v>2.13</v>
      </c>
      <c r="AV882" s="6">
        <v>1.58</v>
      </c>
      <c r="AW882" s="6">
        <v>116.11</v>
      </c>
      <c r="AX882" s="6">
        <v>15.93</v>
      </c>
      <c r="AY882" s="6">
        <v>111.2</v>
      </c>
      <c r="AZ882" s="6">
        <v>7.3</v>
      </c>
      <c r="BA882" s="6">
        <v>40.5</v>
      </c>
    </row>
    <row r="883" spans="1:53" x14ac:dyDescent="0.3">
      <c r="A883" s="6">
        <v>133436988</v>
      </c>
      <c r="B883" s="6">
        <v>813536</v>
      </c>
      <c r="C883" s="6">
        <v>3500715</v>
      </c>
      <c r="D883" s="6">
        <v>5737</v>
      </c>
      <c r="E883" s="6" t="s">
        <v>57</v>
      </c>
      <c r="F883" s="6">
        <v>55745</v>
      </c>
      <c r="G883" s="6" t="s">
        <v>107</v>
      </c>
      <c r="H883" s="10">
        <v>45754</v>
      </c>
      <c r="I883" s="10">
        <v>45754</v>
      </c>
      <c r="J883" s="4">
        <v>45754.631944444445</v>
      </c>
      <c r="K883" s="4">
        <v>45754.867037037038</v>
      </c>
      <c r="L883" s="11">
        <v>45754.842731481483</v>
      </c>
      <c r="M883" s="10">
        <v>45754</v>
      </c>
      <c r="N883" s="6" t="s">
        <v>70</v>
      </c>
      <c r="O883" t="s">
        <v>322</v>
      </c>
      <c r="P883" s="6" t="s">
        <v>134</v>
      </c>
      <c r="Q883" t="s">
        <v>172</v>
      </c>
      <c r="R883" t="s">
        <v>73</v>
      </c>
      <c r="S883" s="6">
        <v>751684</v>
      </c>
      <c r="T883" s="6" t="s">
        <v>1</v>
      </c>
      <c r="U883">
        <v>256</v>
      </c>
      <c r="V883" s="6">
        <v>15.1</v>
      </c>
      <c r="W883" s="6">
        <v>29.3</v>
      </c>
      <c r="X883" s="6">
        <v>252.8</v>
      </c>
      <c r="Y883" s="6">
        <v>297.2</v>
      </c>
      <c r="Z883" s="6" t="s">
        <v>2</v>
      </c>
      <c r="AA883" t="s">
        <v>581</v>
      </c>
      <c r="AB883" s="6" t="s">
        <v>90</v>
      </c>
      <c r="AC883" t="s">
        <v>83</v>
      </c>
      <c r="AD883" t="s">
        <v>67</v>
      </c>
      <c r="AE883">
        <v>-35</v>
      </c>
      <c r="AF883">
        <v>0</v>
      </c>
      <c r="AG883">
        <v>0</v>
      </c>
      <c r="AH883" s="6">
        <v>60.9</v>
      </c>
      <c r="AI883" s="6">
        <v>0</v>
      </c>
      <c r="AJ883" s="6">
        <v>0.71199999999999997</v>
      </c>
      <c r="AK883" s="6">
        <v>0.56000000000000005</v>
      </c>
      <c r="AL883" s="8">
        <v>4606.04</v>
      </c>
      <c r="AM883" s="6" t="s">
        <v>68</v>
      </c>
      <c r="AN883" s="6">
        <v>1</v>
      </c>
      <c r="AO883" s="6">
        <v>1</v>
      </c>
      <c r="AP883" s="6">
        <v>0</v>
      </c>
      <c r="AQ883" s="6">
        <v>1</v>
      </c>
      <c r="AR883" s="6">
        <v>0</v>
      </c>
      <c r="AS883" s="6">
        <v>1</v>
      </c>
      <c r="AT883" s="6">
        <v>0</v>
      </c>
      <c r="AU883" s="6">
        <v>2.36</v>
      </c>
      <c r="AV883" s="6">
        <v>1.72</v>
      </c>
      <c r="AW883" s="6">
        <v>221.88</v>
      </c>
      <c r="AX883" s="6">
        <v>31.31</v>
      </c>
      <c r="AY883" s="6">
        <v>151.69999999999999</v>
      </c>
      <c r="AZ883" s="6">
        <v>6.9</v>
      </c>
      <c r="BA883" s="6">
        <v>42.8</v>
      </c>
    </row>
    <row r="884" spans="1:53" x14ac:dyDescent="0.3">
      <c r="A884" s="6">
        <v>253308283</v>
      </c>
      <c r="B884" s="6">
        <v>581741</v>
      </c>
      <c r="C884" s="6">
        <v>3790237</v>
      </c>
      <c r="D884" s="6">
        <v>1995</v>
      </c>
      <c r="E884" s="6" t="s">
        <v>126</v>
      </c>
      <c r="F884" s="6">
        <v>55064</v>
      </c>
      <c r="G884" s="6" t="s">
        <v>69</v>
      </c>
      <c r="H884" s="10">
        <v>45659</v>
      </c>
      <c r="I884" s="10">
        <v>45659</v>
      </c>
      <c r="J884" s="4">
        <v>45659.715277777781</v>
      </c>
      <c r="K884" s="4">
        <v>45659.986585648148</v>
      </c>
      <c r="L884" s="11">
        <v>45659.987280092595</v>
      </c>
      <c r="M884" s="10">
        <v>45659</v>
      </c>
      <c r="N884" s="6" t="s">
        <v>150</v>
      </c>
      <c r="O884" t="s">
        <v>159</v>
      </c>
      <c r="P884" s="6" t="s">
        <v>70</v>
      </c>
      <c r="Q884" t="s">
        <v>322</v>
      </c>
      <c r="R884" t="s">
        <v>73</v>
      </c>
      <c r="S884" s="6">
        <v>700860</v>
      </c>
      <c r="T884" s="6" t="s">
        <v>1</v>
      </c>
      <c r="U884">
        <v>287</v>
      </c>
      <c r="V884" s="6">
        <v>11.9</v>
      </c>
      <c r="W884" s="6">
        <v>16.7</v>
      </c>
      <c r="X884" s="6">
        <v>286.8</v>
      </c>
      <c r="Y884" s="6">
        <v>315.39999999999998</v>
      </c>
      <c r="Z884" s="6" t="s">
        <v>2</v>
      </c>
      <c r="AA884" t="s">
        <v>846</v>
      </c>
      <c r="AB884" s="6" t="s">
        <v>90</v>
      </c>
      <c r="AC884" t="s">
        <v>137</v>
      </c>
      <c r="AD884" t="s">
        <v>67</v>
      </c>
      <c r="AE884">
        <v>1</v>
      </c>
      <c r="AF884">
        <v>0</v>
      </c>
      <c r="AG884">
        <v>0</v>
      </c>
      <c r="AH884" s="6">
        <v>36.9</v>
      </c>
      <c r="AI884" s="6">
        <v>0</v>
      </c>
      <c r="AJ884" s="6">
        <v>0.51800000000000002</v>
      </c>
      <c r="AK884" s="6">
        <v>0.84699999999999998</v>
      </c>
      <c r="AL884" s="8">
        <v>3729.33</v>
      </c>
      <c r="AM884" s="6" t="s">
        <v>68</v>
      </c>
      <c r="AN884" s="6">
        <v>1</v>
      </c>
      <c r="AO884" s="6">
        <v>1</v>
      </c>
      <c r="AP884" s="6">
        <v>0</v>
      </c>
      <c r="AQ884" s="6">
        <v>1</v>
      </c>
      <c r="AR884" s="6">
        <v>0</v>
      </c>
      <c r="AS884" s="6">
        <v>1</v>
      </c>
      <c r="AT884" s="6">
        <v>0</v>
      </c>
      <c r="AU884" s="6">
        <v>2.48</v>
      </c>
      <c r="AV884" s="6">
        <v>1.98</v>
      </c>
      <c r="AW884" s="6">
        <v>249.9</v>
      </c>
      <c r="AX884" s="6">
        <v>57.48</v>
      </c>
      <c r="AY884" s="6">
        <v>176.67</v>
      </c>
      <c r="AZ884" s="6">
        <v>17.5</v>
      </c>
      <c r="BA884" s="6">
        <v>27.7</v>
      </c>
    </row>
    <row r="885" spans="1:53" x14ac:dyDescent="0.3">
      <c r="A885" s="6">
        <v>752376434</v>
      </c>
      <c r="B885" s="6">
        <v>766563</v>
      </c>
      <c r="C885" s="6">
        <v>9910817</v>
      </c>
      <c r="D885" s="6">
        <v>1391</v>
      </c>
      <c r="E885" s="6" t="s">
        <v>185</v>
      </c>
      <c r="F885" s="6">
        <v>59679</v>
      </c>
      <c r="G885" s="6" t="s">
        <v>127</v>
      </c>
      <c r="H885" s="10">
        <v>45838</v>
      </c>
      <c r="I885" s="10">
        <v>45838</v>
      </c>
      <c r="J885" s="4">
        <v>45838.145833333336</v>
      </c>
      <c r="K885" s="4">
        <v>45838.788217592592</v>
      </c>
      <c r="L885" s="11">
        <v>45838.755578703705</v>
      </c>
      <c r="M885" s="10">
        <v>45838</v>
      </c>
      <c r="N885" s="6" t="s">
        <v>170</v>
      </c>
      <c r="O885" t="s">
        <v>183</v>
      </c>
      <c r="P885" s="6" t="s">
        <v>121</v>
      </c>
      <c r="Q885" t="s">
        <v>179</v>
      </c>
      <c r="R885" t="s">
        <v>123</v>
      </c>
      <c r="S885" s="6">
        <v>739953</v>
      </c>
      <c r="T885" s="6" t="s">
        <v>140</v>
      </c>
      <c r="U885">
        <v>727</v>
      </c>
      <c r="V885" s="6">
        <v>9.1</v>
      </c>
      <c r="W885" s="6">
        <v>31.6</v>
      </c>
      <c r="X885" s="6">
        <v>726.5</v>
      </c>
      <c r="Y885" s="6">
        <v>767.2</v>
      </c>
      <c r="Z885" s="6" t="s">
        <v>80</v>
      </c>
      <c r="AA885" t="s">
        <v>847</v>
      </c>
      <c r="AB885" s="6" t="s">
        <v>82</v>
      </c>
      <c r="AC885" t="s">
        <v>83</v>
      </c>
      <c r="AD885" t="s">
        <v>67</v>
      </c>
      <c r="AE885">
        <v>-47</v>
      </c>
      <c r="AF885">
        <v>0</v>
      </c>
      <c r="AG885">
        <v>0</v>
      </c>
      <c r="AH885" s="6">
        <v>44</v>
      </c>
      <c r="AI885" s="6">
        <v>0</v>
      </c>
      <c r="AJ885" s="6">
        <v>0.74099999999999999</v>
      </c>
      <c r="AK885" s="6">
        <v>0.73599999999999999</v>
      </c>
      <c r="AL885" s="8">
        <v>10347.049999999999</v>
      </c>
      <c r="AM885" s="6" t="s">
        <v>114</v>
      </c>
      <c r="AN885" s="6">
        <v>1</v>
      </c>
      <c r="AO885" s="6">
        <v>1</v>
      </c>
      <c r="AP885" s="6">
        <v>0</v>
      </c>
      <c r="AQ885" s="6">
        <v>1</v>
      </c>
      <c r="AR885" s="6">
        <v>0</v>
      </c>
      <c r="AS885" s="6">
        <v>1</v>
      </c>
      <c r="AT885" s="6">
        <v>0</v>
      </c>
      <c r="AU885" s="6">
        <v>2.09</v>
      </c>
      <c r="AV885" s="6">
        <v>1.58</v>
      </c>
      <c r="AW885" s="6">
        <v>599.5</v>
      </c>
      <c r="AX885" s="6">
        <v>142.16999999999999</v>
      </c>
      <c r="AY885" s="6">
        <v>455.6</v>
      </c>
      <c r="AZ885" s="6">
        <v>10</v>
      </c>
      <c r="BA885" s="6">
        <v>21</v>
      </c>
    </row>
    <row r="886" spans="1:53" x14ac:dyDescent="0.3">
      <c r="A886" s="6">
        <v>828092377</v>
      </c>
      <c r="B886" s="6">
        <v>217301</v>
      </c>
      <c r="C886" s="6">
        <v>5453786</v>
      </c>
      <c r="D886" s="6">
        <v>5548</v>
      </c>
      <c r="E886" s="6" t="s">
        <v>142</v>
      </c>
      <c r="F886" s="6">
        <v>55938</v>
      </c>
      <c r="G886" s="6" t="s">
        <v>207</v>
      </c>
      <c r="H886" s="10">
        <v>45694</v>
      </c>
      <c r="I886" s="10">
        <v>45694</v>
      </c>
      <c r="J886" s="4">
        <v>45694.569444444445</v>
      </c>
      <c r="K886" s="4">
        <v>45694.812256944446</v>
      </c>
      <c r="L886" s="11">
        <v>45694.803923611114</v>
      </c>
      <c r="M886" s="10">
        <v>45694</v>
      </c>
      <c r="N886" s="6" t="s">
        <v>86</v>
      </c>
      <c r="O886" t="s">
        <v>243</v>
      </c>
      <c r="P886" s="6" t="s">
        <v>109</v>
      </c>
      <c r="Q886" t="s">
        <v>110</v>
      </c>
      <c r="R886" t="s">
        <v>88</v>
      </c>
      <c r="S886" s="6">
        <v>795199</v>
      </c>
      <c r="T886" s="6" t="s">
        <v>1</v>
      </c>
      <c r="U886">
        <v>304</v>
      </c>
      <c r="V886" s="6">
        <v>18.7</v>
      </c>
      <c r="W886" s="6">
        <v>11.1</v>
      </c>
      <c r="X886" s="6">
        <v>314.3</v>
      </c>
      <c r="Y886" s="6">
        <v>344.1</v>
      </c>
      <c r="Z886" s="6" t="s">
        <v>112</v>
      </c>
      <c r="AA886" t="s">
        <v>801</v>
      </c>
      <c r="AB886" s="6" t="s">
        <v>75</v>
      </c>
      <c r="AC886" t="s">
        <v>137</v>
      </c>
      <c r="AD886" t="s">
        <v>67</v>
      </c>
      <c r="AE886">
        <v>-12</v>
      </c>
      <c r="AF886">
        <v>0</v>
      </c>
      <c r="AG886">
        <v>0.7</v>
      </c>
      <c r="AH886" s="6">
        <v>7.2</v>
      </c>
      <c r="AI886" s="6">
        <v>0</v>
      </c>
      <c r="AJ886" s="6">
        <v>0.77700000000000002</v>
      </c>
      <c r="AK886" s="6">
        <v>0.753</v>
      </c>
      <c r="AL886" s="8">
        <v>118689.86</v>
      </c>
      <c r="AM886" s="6" t="s">
        <v>155</v>
      </c>
      <c r="AN886" s="6">
        <v>1</v>
      </c>
      <c r="AO886" s="6">
        <v>1</v>
      </c>
      <c r="AP886" s="6">
        <v>0</v>
      </c>
      <c r="AQ886" s="6">
        <v>1</v>
      </c>
      <c r="AR886" s="6">
        <v>0</v>
      </c>
      <c r="AS886" s="6">
        <v>1</v>
      </c>
      <c r="AT886" s="6">
        <v>0</v>
      </c>
      <c r="AU886" s="6">
        <v>2.56</v>
      </c>
      <c r="AV886" s="6">
        <v>2.0299999999999998</v>
      </c>
      <c r="AW886" s="6">
        <v>279.49</v>
      </c>
      <c r="AX886" s="6">
        <v>64.31</v>
      </c>
      <c r="AY886" s="6">
        <v>184.77</v>
      </c>
      <c r="AZ886" s="6">
        <v>13</v>
      </c>
      <c r="BA886" s="6">
        <v>38.6</v>
      </c>
    </row>
    <row r="887" spans="1:53" x14ac:dyDescent="0.3">
      <c r="A887" s="6">
        <v>938927341</v>
      </c>
      <c r="B887" s="6">
        <v>197251</v>
      </c>
      <c r="C887" s="6">
        <v>4078418</v>
      </c>
      <c r="D887" s="6">
        <v>2585</v>
      </c>
      <c r="E887" s="6" t="s">
        <v>106</v>
      </c>
      <c r="F887" s="6">
        <v>53397</v>
      </c>
      <c r="G887" s="6" t="s">
        <v>203</v>
      </c>
      <c r="H887" s="10">
        <v>45933</v>
      </c>
      <c r="I887" s="10">
        <v>45933</v>
      </c>
      <c r="J887" s="4">
        <v>45933.388888888891</v>
      </c>
      <c r="K887" s="4">
        <v>45933.704988425925</v>
      </c>
      <c r="L887" s="11">
        <v>45933.689016203702</v>
      </c>
      <c r="M887" s="10">
        <v>45933</v>
      </c>
      <c r="N887" s="6" t="s">
        <v>176</v>
      </c>
      <c r="O887" t="s">
        <v>316</v>
      </c>
      <c r="P887" s="6" t="s">
        <v>121</v>
      </c>
      <c r="Q887" t="s">
        <v>179</v>
      </c>
      <c r="R887" t="s">
        <v>123</v>
      </c>
      <c r="S887" s="6">
        <v>711247</v>
      </c>
      <c r="T887" s="6" t="s">
        <v>111</v>
      </c>
      <c r="U887">
        <v>425</v>
      </c>
      <c r="V887" s="6">
        <v>18.600000000000001</v>
      </c>
      <c r="W887" s="6">
        <v>23</v>
      </c>
      <c r="X887" s="6">
        <v>423.9</v>
      </c>
      <c r="Y887" s="6">
        <v>465.5</v>
      </c>
      <c r="Z887" s="6" t="s">
        <v>63</v>
      </c>
      <c r="AA887" t="s">
        <v>476</v>
      </c>
      <c r="AB887" s="6" t="s">
        <v>97</v>
      </c>
      <c r="AC887" t="s">
        <v>154</v>
      </c>
      <c r="AD887" t="s">
        <v>67</v>
      </c>
      <c r="AE887">
        <v>-23</v>
      </c>
      <c r="AF887">
        <v>0</v>
      </c>
      <c r="AG887">
        <v>0</v>
      </c>
      <c r="AH887" s="6">
        <v>82.5</v>
      </c>
      <c r="AI887" s="6">
        <v>0</v>
      </c>
      <c r="AJ887" s="6">
        <v>0.745</v>
      </c>
      <c r="AK887" s="6">
        <v>0.72599999999999998</v>
      </c>
      <c r="AL887" s="8">
        <v>3701.86</v>
      </c>
      <c r="AM887" s="6" t="s">
        <v>68</v>
      </c>
      <c r="AN887" s="6">
        <v>1</v>
      </c>
      <c r="AO887" s="6">
        <v>1</v>
      </c>
      <c r="AP887" s="6">
        <v>0</v>
      </c>
      <c r="AQ887" s="6">
        <v>1</v>
      </c>
      <c r="AR887" s="6">
        <v>0</v>
      </c>
      <c r="AS887" s="6">
        <v>1</v>
      </c>
      <c r="AT887" s="6">
        <v>0</v>
      </c>
      <c r="AU887" s="6">
        <v>2.2000000000000002</v>
      </c>
      <c r="AV887" s="6">
        <v>1.61</v>
      </c>
      <c r="AW887" s="6">
        <v>358.91</v>
      </c>
      <c r="AX887" s="6">
        <v>81.760000000000005</v>
      </c>
      <c r="AY887" s="6">
        <v>224.83</v>
      </c>
      <c r="AZ887" s="6">
        <v>11.9</v>
      </c>
      <c r="BA887" s="6">
        <v>24.3</v>
      </c>
    </row>
    <row r="888" spans="1:53" x14ac:dyDescent="0.3">
      <c r="A888" s="6">
        <v>570484488</v>
      </c>
      <c r="B888" s="6">
        <v>728038</v>
      </c>
      <c r="C888" s="6">
        <v>1463060</v>
      </c>
      <c r="D888" s="6">
        <v>7287</v>
      </c>
      <c r="E888" s="6" t="s">
        <v>57</v>
      </c>
      <c r="F888" s="6">
        <v>58265</v>
      </c>
      <c r="G888" s="6" t="s">
        <v>146</v>
      </c>
      <c r="H888" s="10">
        <v>45758</v>
      </c>
      <c r="I888" s="10">
        <v>45758</v>
      </c>
      <c r="J888" s="4">
        <v>45758.8125</v>
      </c>
      <c r="K888" s="4">
        <v>45759.000914351855</v>
      </c>
      <c r="L888" s="11">
        <v>45759.009942129633</v>
      </c>
      <c r="M888" s="10">
        <v>45759</v>
      </c>
      <c r="N888" s="6" t="s">
        <v>70</v>
      </c>
      <c r="O888" t="s">
        <v>71</v>
      </c>
      <c r="P888" s="6" t="s">
        <v>129</v>
      </c>
      <c r="Q888" t="s">
        <v>162</v>
      </c>
      <c r="R888" t="s">
        <v>123</v>
      </c>
      <c r="S888" s="6">
        <v>731760</v>
      </c>
      <c r="T888" s="6" t="s">
        <v>1</v>
      </c>
      <c r="U888">
        <v>240</v>
      </c>
      <c r="V888" s="6">
        <v>32.799999999999997</v>
      </c>
      <c r="W888" s="6">
        <v>25</v>
      </c>
      <c r="X888" s="6">
        <v>233.8</v>
      </c>
      <c r="Y888" s="6">
        <v>291.60000000000002</v>
      </c>
      <c r="Z888" s="6" t="s">
        <v>63</v>
      </c>
      <c r="AA888" t="s">
        <v>848</v>
      </c>
      <c r="AB888" s="6" t="s">
        <v>65</v>
      </c>
      <c r="AC888" t="s">
        <v>154</v>
      </c>
      <c r="AD888" t="s">
        <v>67</v>
      </c>
      <c r="AE888">
        <v>13</v>
      </c>
      <c r="AF888">
        <v>0</v>
      </c>
      <c r="AG888">
        <v>0</v>
      </c>
      <c r="AH888" s="6">
        <v>72.599999999999994</v>
      </c>
      <c r="AI888" s="6">
        <v>0</v>
      </c>
      <c r="AJ888" s="6">
        <v>0.61899999999999999</v>
      </c>
      <c r="AK888" s="6">
        <v>0.58099999999999996</v>
      </c>
      <c r="AL888" s="8">
        <v>4876.33</v>
      </c>
      <c r="AM888" s="6" t="s">
        <v>68</v>
      </c>
      <c r="AN888" s="6">
        <v>1</v>
      </c>
      <c r="AO888" s="6">
        <v>1</v>
      </c>
      <c r="AP888" s="6">
        <v>0</v>
      </c>
      <c r="AQ888" s="6">
        <v>1</v>
      </c>
      <c r="AR888" s="6">
        <v>0</v>
      </c>
      <c r="AS888" s="6">
        <v>1</v>
      </c>
      <c r="AT888" s="6">
        <v>0</v>
      </c>
      <c r="AU888" s="6">
        <v>2.15</v>
      </c>
      <c r="AV888" s="6">
        <v>1.56</v>
      </c>
      <c r="AW888" s="6">
        <v>185.95</v>
      </c>
      <c r="AX888" s="6">
        <v>39.15</v>
      </c>
      <c r="AY888" s="6">
        <v>172.76</v>
      </c>
      <c r="AZ888" s="6">
        <v>13.6</v>
      </c>
      <c r="BA888" s="6">
        <v>40</v>
      </c>
    </row>
    <row r="889" spans="1:53" x14ac:dyDescent="0.3">
      <c r="A889" s="6">
        <v>137365109</v>
      </c>
      <c r="B889" s="6">
        <v>623481</v>
      </c>
      <c r="C889" s="6">
        <v>2737893</v>
      </c>
      <c r="D889" s="6">
        <v>4627</v>
      </c>
      <c r="E889" s="6" t="s">
        <v>101</v>
      </c>
      <c r="F889" s="6">
        <v>51359</v>
      </c>
      <c r="G889" s="6" t="s">
        <v>127</v>
      </c>
      <c r="H889" s="10">
        <v>45819</v>
      </c>
      <c r="I889" s="10">
        <v>45819</v>
      </c>
      <c r="J889" s="4">
        <v>45819.708333333336</v>
      </c>
      <c r="K889" s="4">
        <v>45819.853796296295</v>
      </c>
      <c r="L889" s="11">
        <v>45819.853101851855</v>
      </c>
      <c r="M889" s="10">
        <v>45819</v>
      </c>
      <c r="N889" s="6" t="s">
        <v>116</v>
      </c>
      <c r="O889" t="s">
        <v>212</v>
      </c>
      <c r="P889" s="6" t="s">
        <v>132</v>
      </c>
      <c r="Q889" t="s">
        <v>328</v>
      </c>
      <c r="R889" t="s">
        <v>62</v>
      </c>
      <c r="S889" s="6">
        <v>773308</v>
      </c>
      <c r="T889" s="6" t="s">
        <v>3</v>
      </c>
      <c r="U889">
        <v>96</v>
      </c>
      <c r="V889" s="6">
        <v>12.6</v>
      </c>
      <c r="W889" s="6">
        <v>22</v>
      </c>
      <c r="X889" s="6">
        <v>92.5</v>
      </c>
      <c r="Y889" s="6">
        <v>127.1</v>
      </c>
      <c r="Z889" s="6" t="s">
        <v>63</v>
      </c>
      <c r="AA889" t="s">
        <v>769</v>
      </c>
      <c r="AB889" s="6" t="s">
        <v>90</v>
      </c>
      <c r="AC889" t="s">
        <v>125</v>
      </c>
      <c r="AD889" t="s">
        <v>67</v>
      </c>
      <c r="AE889">
        <v>-1</v>
      </c>
      <c r="AF889">
        <v>0</v>
      </c>
      <c r="AG889">
        <v>0</v>
      </c>
      <c r="AH889" s="6">
        <v>21.1</v>
      </c>
      <c r="AI889" s="6">
        <v>0</v>
      </c>
      <c r="AJ889" s="6">
        <v>0.56399999999999995</v>
      </c>
      <c r="AK889" s="6">
        <v>0.63900000000000001</v>
      </c>
      <c r="AL889" s="8">
        <v>1901.41</v>
      </c>
      <c r="AM889" s="6" t="s">
        <v>68</v>
      </c>
      <c r="AN889" s="6">
        <v>1</v>
      </c>
      <c r="AO889" s="6">
        <v>1</v>
      </c>
      <c r="AP889" s="6">
        <v>0</v>
      </c>
      <c r="AQ889" s="6">
        <v>1</v>
      </c>
      <c r="AR889" s="6">
        <v>0</v>
      </c>
      <c r="AS889" s="6">
        <v>1</v>
      </c>
      <c r="AT889" s="6">
        <v>0</v>
      </c>
      <c r="AU889" s="6">
        <v>2.2000000000000002</v>
      </c>
      <c r="AV889" s="6">
        <v>1.65</v>
      </c>
      <c r="AW889" s="6">
        <v>97.89</v>
      </c>
      <c r="AX889" s="6">
        <v>15.26</v>
      </c>
      <c r="AY889" s="6">
        <v>77.38</v>
      </c>
      <c r="AZ889" s="6">
        <v>22.3</v>
      </c>
      <c r="BA889" s="6">
        <v>66.599999999999994</v>
      </c>
    </row>
    <row r="890" spans="1:53" x14ac:dyDescent="0.3">
      <c r="A890" s="6">
        <v>235538456</v>
      </c>
      <c r="B890" s="6">
        <v>854639</v>
      </c>
      <c r="C890" s="6">
        <v>7417985</v>
      </c>
      <c r="D890" s="6">
        <v>3811</v>
      </c>
      <c r="E890" s="6" t="s">
        <v>142</v>
      </c>
      <c r="F890" s="6">
        <v>59283</v>
      </c>
      <c r="G890" s="6" t="s">
        <v>115</v>
      </c>
      <c r="H890" s="10">
        <v>45689</v>
      </c>
      <c r="I890" s="10">
        <v>45689</v>
      </c>
      <c r="J890" s="4">
        <v>45689.326388888891</v>
      </c>
      <c r="K890" s="4">
        <v>45689.388888888891</v>
      </c>
      <c r="L890" s="11">
        <v>45689.357638888891</v>
      </c>
      <c r="M890" s="10">
        <v>45689</v>
      </c>
      <c r="N890" s="6" t="s">
        <v>93</v>
      </c>
      <c r="O890" t="s">
        <v>144</v>
      </c>
      <c r="P890" s="6" t="s">
        <v>176</v>
      </c>
      <c r="Q890" t="s">
        <v>227</v>
      </c>
      <c r="R890" t="s">
        <v>88</v>
      </c>
      <c r="S890" s="6">
        <v>763525</v>
      </c>
      <c r="T890" s="6" t="s">
        <v>3</v>
      </c>
      <c r="U890">
        <v>46</v>
      </c>
      <c r="V890" s="6">
        <v>58.2</v>
      </c>
      <c r="W890" s="6">
        <v>11.2</v>
      </c>
      <c r="X890" s="6">
        <v>48.2</v>
      </c>
      <c r="Y890" s="6">
        <v>117.6</v>
      </c>
      <c r="Z890" s="6" t="s">
        <v>63</v>
      </c>
      <c r="AA890" t="s">
        <v>558</v>
      </c>
      <c r="AB890" s="6" t="s">
        <v>97</v>
      </c>
      <c r="AC890" t="s">
        <v>76</v>
      </c>
      <c r="AD890" t="s">
        <v>67</v>
      </c>
      <c r="AE890">
        <v>-45</v>
      </c>
      <c r="AF890">
        <v>0</v>
      </c>
      <c r="AG890">
        <v>0</v>
      </c>
      <c r="AH890" s="6">
        <v>12</v>
      </c>
      <c r="AI890" s="6">
        <v>0</v>
      </c>
      <c r="AJ890" s="6">
        <v>0.42799999999999999</v>
      </c>
      <c r="AK890" s="6">
        <v>0.46800000000000003</v>
      </c>
      <c r="AL890" s="8">
        <v>3504.36</v>
      </c>
      <c r="AM890" s="6" t="s">
        <v>68</v>
      </c>
      <c r="AN890" s="6">
        <v>1</v>
      </c>
      <c r="AO890" s="6">
        <v>1</v>
      </c>
      <c r="AP890" s="6">
        <v>0</v>
      </c>
      <c r="AQ890" s="6">
        <v>1</v>
      </c>
      <c r="AR890" s="6">
        <v>0</v>
      </c>
      <c r="AS890" s="6">
        <v>1</v>
      </c>
      <c r="AT890" s="6">
        <v>0</v>
      </c>
      <c r="AU890" s="6">
        <v>1.9</v>
      </c>
      <c r="AV890" s="6">
        <v>1.18</v>
      </c>
      <c r="AW890" s="6">
        <v>73.709999999999994</v>
      </c>
      <c r="AX890" s="6">
        <v>24.85</v>
      </c>
      <c r="AY890" s="6">
        <v>74.099999999999994</v>
      </c>
      <c r="AZ890" s="6">
        <v>11.8</v>
      </c>
      <c r="BA890" s="6">
        <v>22.3</v>
      </c>
    </row>
    <row r="891" spans="1:53" x14ac:dyDescent="0.3">
      <c r="A891" s="6">
        <v>172191273</v>
      </c>
      <c r="B891" s="6">
        <v>220116</v>
      </c>
      <c r="C891" s="6">
        <v>6933742</v>
      </c>
      <c r="D891" s="6">
        <v>5218</v>
      </c>
      <c r="E891" s="6" t="s">
        <v>57</v>
      </c>
      <c r="F891" s="6">
        <v>54853</v>
      </c>
      <c r="G891" s="6" t="s">
        <v>203</v>
      </c>
      <c r="H891" s="10">
        <v>45762</v>
      </c>
      <c r="I891" s="10">
        <v>45762</v>
      </c>
      <c r="J891" s="4">
        <v>45762.302083333336</v>
      </c>
      <c r="K891" s="4">
        <v>45762.381886574076</v>
      </c>
      <c r="L891" s="11">
        <v>45762.36105324074</v>
      </c>
      <c r="M891" s="10">
        <v>45762</v>
      </c>
      <c r="N891" s="6" t="s">
        <v>59</v>
      </c>
      <c r="O891" t="s">
        <v>60</v>
      </c>
      <c r="P891" s="6" t="s">
        <v>170</v>
      </c>
      <c r="Q891" t="s">
        <v>183</v>
      </c>
      <c r="R891" t="s">
        <v>62</v>
      </c>
      <c r="S891" s="6">
        <v>778263</v>
      </c>
      <c r="T891" s="6" t="s">
        <v>3</v>
      </c>
      <c r="U891">
        <v>51</v>
      </c>
      <c r="V891" s="6">
        <v>5.0999999999999996</v>
      </c>
      <c r="W891" s="6">
        <v>18.2</v>
      </c>
      <c r="X891" s="6">
        <v>49.5</v>
      </c>
      <c r="Y891" s="6">
        <v>72.8</v>
      </c>
      <c r="Z891" s="6" t="s">
        <v>63</v>
      </c>
      <c r="AA891" t="s">
        <v>304</v>
      </c>
      <c r="AB891" s="6" t="s">
        <v>97</v>
      </c>
      <c r="AC891" t="s">
        <v>66</v>
      </c>
      <c r="AD891" t="s">
        <v>67</v>
      </c>
      <c r="AE891">
        <v>-30</v>
      </c>
      <c r="AF891">
        <v>0</v>
      </c>
      <c r="AG891">
        <v>0</v>
      </c>
      <c r="AH891" s="6">
        <v>37.299999999999997</v>
      </c>
      <c r="AI891" s="6">
        <v>0</v>
      </c>
      <c r="AJ891" s="6">
        <v>0.75700000000000001</v>
      </c>
      <c r="AK891" s="6">
        <v>0.63500000000000001</v>
      </c>
      <c r="AL891" s="8">
        <v>3454.75</v>
      </c>
      <c r="AM891" s="6" t="s">
        <v>68</v>
      </c>
      <c r="AN891" s="6">
        <v>1</v>
      </c>
      <c r="AO891" s="6">
        <v>1</v>
      </c>
      <c r="AP891" s="6">
        <v>0</v>
      </c>
      <c r="AQ891" s="6">
        <v>1</v>
      </c>
      <c r="AR891" s="6">
        <v>0</v>
      </c>
      <c r="AS891" s="6">
        <v>1</v>
      </c>
      <c r="AT891" s="6">
        <v>0</v>
      </c>
      <c r="AU891" s="6">
        <v>2.52</v>
      </c>
      <c r="AV891" s="6">
        <v>1.91</v>
      </c>
      <c r="AW891" s="6">
        <v>49.08</v>
      </c>
      <c r="AX891" s="6">
        <v>15.26</v>
      </c>
      <c r="AY891" s="6">
        <v>49.4</v>
      </c>
      <c r="AZ891" s="6">
        <v>31.9</v>
      </c>
      <c r="BA891" s="6">
        <v>41</v>
      </c>
    </row>
    <row r="892" spans="1:53" x14ac:dyDescent="0.3">
      <c r="A892" s="6">
        <v>353398109</v>
      </c>
      <c r="B892" s="6">
        <v>733052</v>
      </c>
      <c r="C892" s="6">
        <v>2642635</v>
      </c>
      <c r="D892" s="6">
        <v>8989</v>
      </c>
      <c r="E892" s="6" t="s">
        <v>84</v>
      </c>
      <c r="F892" s="6">
        <v>51941</v>
      </c>
      <c r="G892" s="6" t="s">
        <v>115</v>
      </c>
      <c r="H892" s="10">
        <v>45943</v>
      </c>
      <c r="I892" s="10">
        <v>45943</v>
      </c>
      <c r="J892" s="4">
        <v>45943.496527777781</v>
      </c>
      <c r="K892" s="4">
        <v>45943.787442129629</v>
      </c>
      <c r="L892" s="11">
        <v>45943.774942129632</v>
      </c>
      <c r="M892" s="10">
        <v>45943</v>
      </c>
      <c r="N892" s="6" t="s">
        <v>200</v>
      </c>
      <c r="O892" t="s">
        <v>161</v>
      </c>
      <c r="P892" s="6" t="s">
        <v>200</v>
      </c>
      <c r="Q892" t="s">
        <v>171</v>
      </c>
      <c r="R892" t="s">
        <v>62</v>
      </c>
      <c r="S892" s="6">
        <v>725966</v>
      </c>
      <c r="T892" s="6" t="s">
        <v>1</v>
      </c>
      <c r="U892">
        <v>299</v>
      </c>
      <c r="V892" s="6">
        <v>24.7</v>
      </c>
      <c r="W892" s="6">
        <v>11.4</v>
      </c>
      <c r="X892" s="6">
        <v>300.89999999999998</v>
      </c>
      <c r="Y892" s="6">
        <v>337</v>
      </c>
      <c r="Z892" s="6" t="s">
        <v>2</v>
      </c>
      <c r="AA892" t="s">
        <v>366</v>
      </c>
      <c r="AB892" s="6" t="s">
        <v>75</v>
      </c>
      <c r="AC892" t="s">
        <v>83</v>
      </c>
      <c r="AD892" t="s">
        <v>67</v>
      </c>
      <c r="AE892">
        <v>-18</v>
      </c>
      <c r="AF892">
        <v>0</v>
      </c>
      <c r="AG892">
        <v>0</v>
      </c>
      <c r="AH892" s="6">
        <v>65.099999999999994</v>
      </c>
      <c r="AI892" s="6">
        <v>0</v>
      </c>
      <c r="AJ892" s="6">
        <v>0.442</v>
      </c>
      <c r="AK892" s="6">
        <v>0.55500000000000005</v>
      </c>
      <c r="AL892" s="8">
        <v>5657.06</v>
      </c>
      <c r="AM892" s="6" t="s">
        <v>68</v>
      </c>
      <c r="AN892" s="6">
        <v>1</v>
      </c>
      <c r="AO892" s="6">
        <v>1</v>
      </c>
      <c r="AP892" s="6">
        <v>0</v>
      </c>
      <c r="AQ892" s="6">
        <v>1</v>
      </c>
      <c r="AR892" s="6">
        <v>0</v>
      </c>
      <c r="AS892" s="6">
        <v>1</v>
      </c>
      <c r="AT892" s="6">
        <v>0</v>
      </c>
      <c r="AU892" s="6">
        <v>2.4300000000000002</v>
      </c>
      <c r="AV892" s="6">
        <v>1.93</v>
      </c>
      <c r="AW892" s="6">
        <v>248.11</v>
      </c>
      <c r="AX892" s="6">
        <v>43.51</v>
      </c>
      <c r="AY892" s="6">
        <v>182.23</v>
      </c>
      <c r="AZ892" s="6">
        <v>11.9</v>
      </c>
      <c r="BA892" s="6">
        <v>23.2</v>
      </c>
    </row>
    <row r="893" spans="1:53" x14ac:dyDescent="0.3">
      <c r="A893" s="6">
        <v>935924516</v>
      </c>
      <c r="B893" s="6">
        <v>623481</v>
      </c>
      <c r="C893" s="6">
        <v>2737893</v>
      </c>
      <c r="D893" s="6">
        <v>4627</v>
      </c>
      <c r="E893" s="6" t="s">
        <v>101</v>
      </c>
      <c r="F893" s="6">
        <v>53148</v>
      </c>
      <c r="G893" s="6" t="s">
        <v>77</v>
      </c>
      <c r="H893" s="10">
        <v>45713</v>
      </c>
      <c r="I893" s="10">
        <v>45713</v>
      </c>
      <c r="J893" s="4">
        <v>45713.416666666664</v>
      </c>
      <c r="K893" s="4">
        <v>45713.664131944446</v>
      </c>
      <c r="L893" s="11">
        <v>45713.64329861111</v>
      </c>
      <c r="M893" s="10">
        <v>45713</v>
      </c>
      <c r="N893" s="6" t="s">
        <v>121</v>
      </c>
      <c r="O893" t="s">
        <v>122</v>
      </c>
      <c r="P893" s="6" t="s">
        <v>109</v>
      </c>
      <c r="Q893" t="s">
        <v>193</v>
      </c>
      <c r="R893" t="s">
        <v>88</v>
      </c>
      <c r="S893" s="6">
        <v>726712</v>
      </c>
      <c r="T893" s="6" t="s">
        <v>1</v>
      </c>
      <c r="U893">
        <v>298</v>
      </c>
      <c r="V893" s="6">
        <v>8.5</v>
      </c>
      <c r="W893" s="6">
        <v>18.899999999999999</v>
      </c>
      <c r="X893" s="6">
        <v>296.5</v>
      </c>
      <c r="Y893" s="6">
        <v>323.89999999999998</v>
      </c>
      <c r="Z893" s="6" t="s">
        <v>63</v>
      </c>
      <c r="AA893" t="s">
        <v>849</v>
      </c>
      <c r="AB893" s="6" t="s">
        <v>75</v>
      </c>
      <c r="AC893" t="s">
        <v>66</v>
      </c>
      <c r="AD893" t="s">
        <v>67</v>
      </c>
      <c r="AE893">
        <v>-30</v>
      </c>
      <c r="AF893">
        <v>0</v>
      </c>
      <c r="AG893">
        <v>0.2</v>
      </c>
      <c r="AH893" s="6">
        <v>38.5</v>
      </c>
      <c r="AI893" s="6">
        <v>0</v>
      </c>
      <c r="AJ893" s="6">
        <v>0.56899999999999995</v>
      </c>
      <c r="AK893" s="6">
        <v>0.873</v>
      </c>
      <c r="AL893" s="8">
        <v>912.17</v>
      </c>
      <c r="AM893" s="6" t="s">
        <v>68</v>
      </c>
      <c r="AN893" s="6">
        <v>1</v>
      </c>
      <c r="AO893" s="6">
        <v>1</v>
      </c>
      <c r="AP893" s="6">
        <v>0</v>
      </c>
      <c r="AQ893" s="6">
        <v>1</v>
      </c>
      <c r="AR893" s="6">
        <v>0</v>
      </c>
      <c r="AS893" s="6">
        <v>1</v>
      </c>
      <c r="AT893" s="6">
        <v>0</v>
      </c>
      <c r="AU893" s="6">
        <v>2.1</v>
      </c>
      <c r="AW893" s="6">
        <v>254.39</v>
      </c>
      <c r="AX893" s="6">
        <v>38.92</v>
      </c>
      <c r="AY893" s="6">
        <v>160.22</v>
      </c>
      <c r="AZ893" s="6">
        <v>22.3</v>
      </c>
      <c r="BA893" s="6">
        <v>64.099999999999994</v>
      </c>
    </row>
    <row r="894" spans="1:53" x14ac:dyDescent="0.3">
      <c r="A894" s="6">
        <v>792738367</v>
      </c>
      <c r="B894" s="6">
        <v>972064</v>
      </c>
      <c r="C894" s="6">
        <v>2818692</v>
      </c>
      <c r="D894" s="6">
        <v>8158</v>
      </c>
      <c r="E894" s="6" t="s">
        <v>84</v>
      </c>
      <c r="F894" s="6">
        <v>57933</v>
      </c>
      <c r="G894" s="6" t="s">
        <v>146</v>
      </c>
      <c r="H894" s="10">
        <v>45894</v>
      </c>
      <c r="I894" s="10">
        <v>45894</v>
      </c>
      <c r="J894" s="4">
        <v>45894.243055555555</v>
      </c>
      <c r="K894" s="4">
        <v>45894.713495370372</v>
      </c>
      <c r="L894" s="11">
        <v>45894.714884259258</v>
      </c>
      <c r="M894" s="10">
        <v>45894</v>
      </c>
      <c r="N894" s="6" t="s">
        <v>132</v>
      </c>
      <c r="O894" t="s">
        <v>181</v>
      </c>
      <c r="P894" s="6" t="s">
        <v>132</v>
      </c>
      <c r="Q894" t="s">
        <v>229</v>
      </c>
      <c r="R894" t="s">
        <v>62</v>
      </c>
      <c r="S894" s="6">
        <v>711807</v>
      </c>
      <c r="T894" s="6" t="s">
        <v>111</v>
      </c>
      <c r="U894">
        <v>514</v>
      </c>
      <c r="V894" s="6">
        <v>29.4</v>
      </c>
      <c r="W894" s="6">
        <v>1.5</v>
      </c>
      <c r="X894" s="6">
        <v>518.29999999999995</v>
      </c>
      <c r="Y894" s="6">
        <v>549.20000000000005</v>
      </c>
      <c r="Z894" s="6" t="s">
        <v>2</v>
      </c>
      <c r="AA894" t="s">
        <v>850</v>
      </c>
      <c r="AB894" s="6" t="s">
        <v>82</v>
      </c>
      <c r="AC894" t="s">
        <v>83</v>
      </c>
      <c r="AD894" t="s">
        <v>67</v>
      </c>
      <c r="AE894">
        <v>2</v>
      </c>
      <c r="AF894">
        <v>0</v>
      </c>
      <c r="AG894">
        <v>1.1000000000000001</v>
      </c>
      <c r="AH894" s="6">
        <v>44.3</v>
      </c>
      <c r="AI894" s="6">
        <v>0</v>
      </c>
      <c r="AJ894" s="6">
        <v>0.60199999999999998</v>
      </c>
      <c r="AK894" s="6">
        <v>0.73599999999999999</v>
      </c>
      <c r="AL894" s="8">
        <v>20019.580000000002</v>
      </c>
      <c r="AM894" s="6" t="s">
        <v>114</v>
      </c>
      <c r="AN894" s="6">
        <v>1</v>
      </c>
      <c r="AO894" s="6">
        <v>1</v>
      </c>
      <c r="AP894" s="6">
        <v>0</v>
      </c>
      <c r="AQ894" s="6">
        <v>1</v>
      </c>
      <c r="AR894" s="6">
        <v>0</v>
      </c>
      <c r="AS894" s="6">
        <v>1</v>
      </c>
      <c r="AT894" s="6">
        <v>0</v>
      </c>
      <c r="AU894" s="6">
        <v>2.25</v>
      </c>
      <c r="AV894" s="6">
        <v>1.31</v>
      </c>
      <c r="AW894" s="6">
        <v>370.95</v>
      </c>
      <c r="AX894" s="6">
        <v>79.66</v>
      </c>
      <c r="AY894" s="6">
        <v>275.45999999999998</v>
      </c>
      <c r="AZ894" s="6">
        <v>10</v>
      </c>
      <c r="BA894" s="6">
        <v>27.6</v>
      </c>
    </row>
    <row r="895" spans="1:53" x14ac:dyDescent="0.3">
      <c r="A895" s="6">
        <v>493342201</v>
      </c>
      <c r="B895" s="6">
        <v>779514</v>
      </c>
      <c r="C895" s="6">
        <v>5130808</v>
      </c>
      <c r="D895" s="6">
        <v>3731</v>
      </c>
      <c r="E895" s="6" t="s">
        <v>106</v>
      </c>
      <c r="F895" s="6">
        <v>59436</v>
      </c>
      <c r="G895" s="6" t="s">
        <v>69</v>
      </c>
      <c r="H895" s="10">
        <v>45992</v>
      </c>
      <c r="I895" s="10">
        <v>45992</v>
      </c>
      <c r="J895" s="4">
        <v>45992.552083333336</v>
      </c>
      <c r="K895" s="4">
        <v>45992.955104166664</v>
      </c>
      <c r="L895" s="11">
        <v>45992.945381944446</v>
      </c>
      <c r="M895" s="10">
        <v>45992</v>
      </c>
      <c r="N895" s="6" t="s">
        <v>116</v>
      </c>
      <c r="O895" t="s">
        <v>139</v>
      </c>
      <c r="P895" s="6" t="s">
        <v>78</v>
      </c>
      <c r="Q895" t="s">
        <v>79</v>
      </c>
      <c r="R895" t="s">
        <v>88</v>
      </c>
      <c r="S895" s="6">
        <v>769672</v>
      </c>
      <c r="T895" s="6" t="s">
        <v>111</v>
      </c>
      <c r="U895">
        <v>497</v>
      </c>
      <c r="V895" s="6">
        <v>17</v>
      </c>
      <c r="W895" s="6">
        <v>36.799999999999997</v>
      </c>
      <c r="X895" s="6">
        <v>496.5</v>
      </c>
      <c r="Y895" s="6">
        <v>550.29999999999995</v>
      </c>
      <c r="Z895" s="6" t="s">
        <v>63</v>
      </c>
      <c r="AA895" t="s">
        <v>851</v>
      </c>
      <c r="AB895" s="6" t="s">
        <v>75</v>
      </c>
      <c r="AC895" t="s">
        <v>83</v>
      </c>
      <c r="AD895" t="s">
        <v>67</v>
      </c>
      <c r="AE895">
        <v>-14</v>
      </c>
      <c r="AF895">
        <v>0</v>
      </c>
      <c r="AG895">
        <v>0</v>
      </c>
      <c r="AH895" s="6">
        <v>65.8</v>
      </c>
      <c r="AI895" s="6">
        <v>0</v>
      </c>
      <c r="AJ895" s="6">
        <v>0.68799999999999994</v>
      </c>
      <c r="AK895" s="6">
        <v>0.39200000000000002</v>
      </c>
      <c r="AL895" s="8">
        <v>1213.8900000000001</v>
      </c>
      <c r="AM895" s="6" t="s">
        <v>68</v>
      </c>
      <c r="AN895" s="6">
        <v>1</v>
      </c>
      <c r="AO895" s="6">
        <v>1</v>
      </c>
      <c r="AP895" s="6">
        <v>0</v>
      </c>
      <c r="AQ895" s="6">
        <v>1</v>
      </c>
      <c r="AR895" s="6">
        <v>0</v>
      </c>
      <c r="AS895" s="6">
        <v>1</v>
      </c>
      <c r="AT895" s="6">
        <v>0</v>
      </c>
      <c r="AU895" s="6">
        <v>2.12</v>
      </c>
      <c r="AV895" s="6">
        <v>1.26</v>
      </c>
      <c r="AW895" s="6">
        <v>386.8</v>
      </c>
      <c r="AX895" s="6">
        <v>58.23</v>
      </c>
      <c r="AY895" s="6">
        <v>329.84</v>
      </c>
      <c r="AZ895" s="6">
        <v>38.9</v>
      </c>
      <c r="BA895" s="6">
        <v>63.3</v>
      </c>
    </row>
    <row r="896" spans="1:53" x14ac:dyDescent="0.3">
      <c r="A896" s="6">
        <v>488856231</v>
      </c>
      <c r="B896" s="6">
        <v>891952</v>
      </c>
      <c r="C896" s="6">
        <v>3135534</v>
      </c>
      <c r="D896" s="6">
        <v>2218</v>
      </c>
      <c r="E896" s="6" t="s">
        <v>106</v>
      </c>
      <c r="F896" s="6">
        <v>51285</v>
      </c>
      <c r="G896" s="6" t="s">
        <v>149</v>
      </c>
      <c r="H896" s="10">
        <v>45906</v>
      </c>
      <c r="I896" s="10">
        <v>45906</v>
      </c>
      <c r="J896" s="4">
        <v>45906.458333333336</v>
      </c>
      <c r="K896" s="4">
        <v>45906.520833333336</v>
      </c>
      <c r="L896" s="11">
        <v>45906.62222222222</v>
      </c>
      <c r="M896" s="10">
        <v>45906</v>
      </c>
      <c r="N896" s="6" t="s">
        <v>121</v>
      </c>
      <c r="O896" t="s">
        <v>237</v>
      </c>
      <c r="P896" s="6" t="s">
        <v>59</v>
      </c>
      <c r="Q896" t="s">
        <v>167</v>
      </c>
      <c r="R896" t="s">
        <v>62</v>
      </c>
      <c r="S896" s="6">
        <v>702844</v>
      </c>
      <c r="T896" s="6" t="s">
        <v>3</v>
      </c>
      <c r="U896">
        <v>31</v>
      </c>
      <c r="V896" s="6">
        <v>25.7</v>
      </c>
      <c r="W896" s="6">
        <v>9.4</v>
      </c>
      <c r="X896" s="6">
        <v>23.7</v>
      </c>
      <c r="Y896" s="6">
        <v>58.8</v>
      </c>
      <c r="Z896" s="6" t="s">
        <v>112</v>
      </c>
      <c r="AA896" t="s">
        <v>788</v>
      </c>
      <c r="AB896" s="6" t="s">
        <v>75</v>
      </c>
      <c r="AC896" t="s">
        <v>76</v>
      </c>
      <c r="AD896" t="s">
        <v>206</v>
      </c>
      <c r="AE896">
        <v>146</v>
      </c>
      <c r="AF896">
        <v>273</v>
      </c>
      <c r="AG896">
        <v>0</v>
      </c>
      <c r="AH896" s="6">
        <v>30.2</v>
      </c>
      <c r="AI896" s="6">
        <v>0</v>
      </c>
      <c r="AJ896" s="6">
        <v>0.61499999999999999</v>
      </c>
      <c r="AK896" s="6">
        <v>0.75700000000000001</v>
      </c>
      <c r="AL896" s="8">
        <v>20665.54</v>
      </c>
      <c r="AM896" s="6" t="s">
        <v>114</v>
      </c>
      <c r="AN896" s="6">
        <v>1</v>
      </c>
      <c r="AO896" s="6">
        <v>0</v>
      </c>
      <c r="AP896" s="6">
        <v>1</v>
      </c>
      <c r="AQ896" s="6">
        <v>0</v>
      </c>
      <c r="AR896" s="6">
        <v>1</v>
      </c>
      <c r="AS896" s="6">
        <v>0</v>
      </c>
      <c r="AT896" s="6">
        <v>1</v>
      </c>
      <c r="AU896" s="6">
        <v>2.4500000000000002</v>
      </c>
      <c r="AV896" s="6">
        <v>1.55</v>
      </c>
      <c r="AW896" s="6">
        <v>43.06</v>
      </c>
      <c r="AX896" s="6">
        <v>7.02</v>
      </c>
      <c r="AY896" s="6">
        <v>41.24</v>
      </c>
      <c r="AZ896" s="6">
        <v>4.0999999999999996</v>
      </c>
      <c r="BA896" s="6">
        <v>54.4</v>
      </c>
    </row>
    <row r="897" spans="1:53" x14ac:dyDescent="0.3">
      <c r="A897" s="6">
        <v>511086777</v>
      </c>
      <c r="B897" s="6">
        <v>356702</v>
      </c>
      <c r="C897" s="6">
        <v>4426900</v>
      </c>
      <c r="D897" s="6">
        <v>1502</v>
      </c>
      <c r="E897" s="6" t="s">
        <v>84</v>
      </c>
      <c r="F897" s="6">
        <v>56474</v>
      </c>
      <c r="G897" s="6" t="s">
        <v>98</v>
      </c>
      <c r="H897" s="10">
        <v>45954</v>
      </c>
      <c r="I897" s="10">
        <v>45954</v>
      </c>
      <c r="J897" s="4">
        <v>45954.361111111109</v>
      </c>
      <c r="K897" s="4">
        <v>45954.638784722221</v>
      </c>
      <c r="L897" s="11">
        <v>45954.641562500001</v>
      </c>
      <c r="M897" s="10">
        <v>45954</v>
      </c>
      <c r="N897" s="6" t="s">
        <v>86</v>
      </c>
      <c r="O897" t="s">
        <v>268</v>
      </c>
      <c r="P897" s="6" t="s">
        <v>103</v>
      </c>
      <c r="Q897" t="s">
        <v>232</v>
      </c>
      <c r="R897" t="s">
        <v>73</v>
      </c>
      <c r="S897" s="6">
        <v>700025</v>
      </c>
      <c r="T897" s="6" t="s">
        <v>1</v>
      </c>
      <c r="U897">
        <v>282</v>
      </c>
      <c r="V897" s="6">
        <v>36.5</v>
      </c>
      <c r="W897" s="6">
        <v>29.8</v>
      </c>
      <c r="X897" s="6">
        <v>279.89999999999998</v>
      </c>
      <c r="Y897" s="6">
        <v>346.2</v>
      </c>
      <c r="Z897" s="6" t="s">
        <v>63</v>
      </c>
      <c r="AA897" t="s">
        <v>820</v>
      </c>
      <c r="AB897" s="6" t="s">
        <v>97</v>
      </c>
      <c r="AC897" t="s">
        <v>154</v>
      </c>
      <c r="AD897" t="s">
        <v>67</v>
      </c>
      <c r="AE897">
        <v>4</v>
      </c>
      <c r="AF897">
        <v>0</v>
      </c>
      <c r="AG897">
        <v>0</v>
      </c>
      <c r="AH897" s="6">
        <v>35.700000000000003</v>
      </c>
      <c r="AI897" s="6">
        <v>0</v>
      </c>
      <c r="AJ897" s="6">
        <v>0.55500000000000005</v>
      </c>
      <c r="AK897" s="6">
        <v>0.70499999999999996</v>
      </c>
      <c r="AL897" s="8">
        <v>1542.77</v>
      </c>
      <c r="AM897" s="6" t="s">
        <v>68</v>
      </c>
      <c r="AN897" s="6">
        <v>1</v>
      </c>
      <c r="AO897" s="6">
        <v>1</v>
      </c>
      <c r="AP897" s="6">
        <v>0</v>
      </c>
      <c r="AQ897" s="6">
        <v>1</v>
      </c>
      <c r="AR897" s="6">
        <v>0</v>
      </c>
      <c r="AS897" s="6">
        <v>1</v>
      </c>
      <c r="AT897" s="6">
        <v>0</v>
      </c>
      <c r="AU897" s="6">
        <v>2.08</v>
      </c>
      <c r="AV897" s="6">
        <v>1.43</v>
      </c>
      <c r="AW897" s="6">
        <v>235.13</v>
      </c>
      <c r="AX897" s="6">
        <v>50.42</v>
      </c>
      <c r="AY897" s="6">
        <v>247.79</v>
      </c>
      <c r="AZ897" s="6">
        <v>47.2</v>
      </c>
      <c r="BA897" s="6">
        <v>7.6</v>
      </c>
    </row>
    <row r="898" spans="1:53" x14ac:dyDescent="0.3">
      <c r="A898" s="6">
        <v>709074302</v>
      </c>
      <c r="B898" s="6">
        <v>391704</v>
      </c>
      <c r="C898" s="6">
        <v>7897151</v>
      </c>
      <c r="D898" s="6">
        <v>4556</v>
      </c>
      <c r="E898" s="6" t="s">
        <v>84</v>
      </c>
      <c r="F898" s="6">
        <v>50770</v>
      </c>
      <c r="G898" s="6" t="s">
        <v>207</v>
      </c>
      <c r="H898" s="10">
        <v>45697</v>
      </c>
      <c r="I898" s="10">
        <v>45697</v>
      </c>
      <c r="J898" s="4">
        <v>45697.704861111109</v>
      </c>
      <c r="K898" s="4">
        <v>45697.902453703704</v>
      </c>
      <c r="L898" s="11">
        <v>45697.871898148151</v>
      </c>
      <c r="M898" s="10">
        <v>45697</v>
      </c>
      <c r="N898" s="6" t="s">
        <v>78</v>
      </c>
      <c r="O898" t="s">
        <v>166</v>
      </c>
      <c r="P898" s="6" t="s">
        <v>70</v>
      </c>
      <c r="Q898" t="s">
        <v>71</v>
      </c>
      <c r="R898" t="s">
        <v>73</v>
      </c>
      <c r="S898" s="6">
        <v>747187</v>
      </c>
      <c r="T898" s="6" t="s">
        <v>1</v>
      </c>
      <c r="U898">
        <v>193</v>
      </c>
      <c r="V898" s="6">
        <v>13.6</v>
      </c>
      <c r="W898" s="6">
        <v>31</v>
      </c>
      <c r="X898" s="6">
        <v>206.3</v>
      </c>
      <c r="Y898" s="6">
        <v>250.9</v>
      </c>
      <c r="Z898" s="6" t="s">
        <v>215</v>
      </c>
      <c r="AA898" t="s">
        <v>712</v>
      </c>
      <c r="AB898" s="6" t="s">
        <v>90</v>
      </c>
      <c r="AC898" t="s">
        <v>91</v>
      </c>
      <c r="AD898" t="s">
        <v>67</v>
      </c>
      <c r="AE898">
        <v>-44</v>
      </c>
      <c r="AF898">
        <v>0</v>
      </c>
      <c r="AG898">
        <v>0</v>
      </c>
      <c r="AH898" s="6">
        <v>52</v>
      </c>
      <c r="AI898" s="6">
        <v>0</v>
      </c>
      <c r="AJ898" s="6">
        <v>0.55700000000000005</v>
      </c>
      <c r="AK898" s="6">
        <v>0.59199999999999997</v>
      </c>
      <c r="AL898" s="8">
        <v>3567.64</v>
      </c>
      <c r="AM898" s="6" t="s">
        <v>68</v>
      </c>
      <c r="AN898" s="6">
        <v>1</v>
      </c>
      <c r="AO898" s="6">
        <v>1</v>
      </c>
      <c r="AP898" s="6">
        <v>0</v>
      </c>
      <c r="AQ898" s="6">
        <v>1</v>
      </c>
      <c r="AR898" s="6">
        <v>0</v>
      </c>
      <c r="AS898" s="6">
        <v>1</v>
      </c>
      <c r="AT898" s="6">
        <v>0</v>
      </c>
      <c r="AU898" s="6">
        <v>2.41</v>
      </c>
      <c r="AV898" s="6">
        <v>1.62</v>
      </c>
      <c r="AW898" s="6">
        <v>230.73</v>
      </c>
      <c r="AX898" s="6">
        <v>32.28</v>
      </c>
      <c r="AY898" s="6">
        <v>132.78</v>
      </c>
      <c r="AZ898" s="6">
        <v>11.3</v>
      </c>
      <c r="BA898" s="6">
        <v>48.8</v>
      </c>
    </row>
    <row r="899" spans="1:53" x14ac:dyDescent="0.3">
      <c r="A899" s="6">
        <v>134773472</v>
      </c>
      <c r="B899" s="6">
        <v>472528</v>
      </c>
      <c r="C899" s="6">
        <v>4117625</v>
      </c>
      <c r="D899" s="6">
        <v>7278</v>
      </c>
      <c r="E899" s="6" t="s">
        <v>101</v>
      </c>
      <c r="F899" s="6">
        <v>51843</v>
      </c>
      <c r="G899" s="6" t="s">
        <v>127</v>
      </c>
      <c r="H899" s="10">
        <v>45749</v>
      </c>
      <c r="I899" s="10">
        <v>45749</v>
      </c>
      <c r="J899" s="4">
        <v>45749.826388888891</v>
      </c>
      <c r="K899" s="4">
        <v>45750.085335648146</v>
      </c>
      <c r="L899" s="11">
        <v>45750.068668981483</v>
      </c>
      <c r="M899" s="10">
        <v>45750</v>
      </c>
      <c r="N899" s="6" t="s">
        <v>121</v>
      </c>
      <c r="O899" t="s">
        <v>195</v>
      </c>
      <c r="P899" s="6" t="s">
        <v>121</v>
      </c>
      <c r="Q899" t="s">
        <v>122</v>
      </c>
      <c r="R899" t="s">
        <v>123</v>
      </c>
      <c r="S899" s="6">
        <v>742838</v>
      </c>
      <c r="T899" s="6" t="s">
        <v>1</v>
      </c>
      <c r="U899">
        <v>318</v>
      </c>
      <c r="V899" s="6">
        <v>4.9000000000000004</v>
      </c>
      <c r="W899" s="6">
        <v>22.6</v>
      </c>
      <c r="X899" s="6">
        <v>325.39999999999998</v>
      </c>
      <c r="Y899" s="6">
        <v>352.9</v>
      </c>
      <c r="Z899" s="6" t="s">
        <v>63</v>
      </c>
      <c r="AA899" t="s">
        <v>852</v>
      </c>
      <c r="AB899" s="6" t="s">
        <v>65</v>
      </c>
      <c r="AC899" t="s">
        <v>125</v>
      </c>
      <c r="AD899" t="s">
        <v>67</v>
      </c>
      <c r="AE899">
        <v>-24</v>
      </c>
      <c r="AF899">
        <v>0</v>
      </c>
      <c r="AG899">
        <v>0</v>
      </c>
      <c r="AH899" s="6">
        <v>55</v>
      </c>
      <c r="AI899" s="6">
        <v>0</v>
      </c>
      <c r="AJ899" s="6">
        <v>0.54100000000000004</v>
      </c>
      <c r="AK899" s="6">
        <v>0.90400000000000003</v>
      </c>
      <c r="AL899" s="8">
        <v>7590.25</v>
      </c>
      <c r="AM899" s="6" t="s">
        <v>114</v>
      </c>
      <c r="AN899" s="6">
        <v>1</v>
      </c>
      <c r="AO899" s="6">
        <v>1</v>
      </c>
      <c r="AP899" s="6">
        <v>0</v>
      </c>
      <c r="AQ899" s="6">
        <v>1</v>
      </c>
      <c r="AR899" s="6">
        <v>0</v>
      </c>
      <c r="AS899" s="6">
        <v>1</v>
      </c>
      <c r="AT899" s="6">
        <v>0</v>
      </c>
      <c r="AU899" s="6">
        <v>2.4</v>
      </c>
      <c r="AV899" s="6">
        <v>1.91</v>
      </c>
      <c r="AW899" s="6">
        <v>303.99</v>
      </c>
      <c r="AX899" s="6">
        <v>66.489999999999995</v>
      </c>
      <c r="AY899" s="6">
        <v>182.26</v>
      </c>
      <c r="AZ899" s="6">
        <v>20.5</v>
      </c>
      <c r="BA899" s="6">
        <v>69</v>
      </c>
    </row>
    <row r="900" spans="1:53" x14ac:dyDescent="0.3">
      <c r="A900" s="6">
        <v>749715626</v>
      </c>
      <c r="B900" s="6">
        <v>653306</v>
      </c>
      <c r="C900" s="6">
        <v>6188935</v>
      </c>
      <c r="D900" s="6">
        <v>7944</v>
      </c>
      <c r="E900" s="6" t="s">
        <v>84</v>
      </c>
      <c r="F900" s="6">
        <v>50073</v>
      </c>
      <c r="G900" s="6" t="s">
        <v>127</v>
      </c>
      <c r="H900" s="10">
        <v>45984</v>
      </c>
      <c r="I900" s="10">
        <v>45984</v>
      </c>
      <c r="J900" s="4">
        <v>45984.711805555555</v>
      </c>
      <c r="K900" s="4">
        <v>45984.774305555555</v>
      </c>
      <c r="L900" s="11">
        <v>45984.765277777777</v>
      </c>
      <c r="M900" s="10">
        <v>45984</v>
      </c>
      <c r="N900" s="6" t="s">
        <v>170</v>
      </c>
      <c r="O900" t="s">
        <v>189</v>
      </c>
      <c r="P900" s="6" t="s">
        <v>93</v>
      </c>
      <c r="Q900" t="s">
        <v>94</v>
      </c>
      <c r="R900" t="s">
        <v>73</v>
      </c>
      <c r="S900" s="6">
        <v>710819</v>
      </c>
      <c r="T900" s="6" t="s">
        <v>3</v>
      </c>
      <c r="U900">
        <v>62</v>
      </c>
      <c r="V900" s="6">
        <v>46.7</v>
      </c>
      <c r="W900" s="6">
        <v>6.4</v>
      </c>
      <c r="X900" s="6">
        <v>55</v>
      </c>
      <c r="Y900" s="6">
        <v>108.1</v>
      </c>
      <c r="Z900" s="6" t="s">
        <v>2</v>
      </c>
      <c r="AA900" t="s">
        <v>325</v>
      </c>
      <c r="AB900" s="6" t="s">
        <v>90</v>
      </c>
      <c r="AC900" t="s">
        <v>91</v>
      </c>
      <c r="AD900" t="s">
        <v>67</v>
      </c>
      <c r="AE900">
        <v>-13</v>
      </c>
      <c r="AF900">
        <v>0</v>
      </c>
      <c r="AG900">
        <v>0</v>
      </c>
      <c r="AH900" s="6">
        <v>32.200000000000003</v>
      </c>
      <c r="AI900" s="6">
        <v>0</v>
      </c>
      <c r="AJ900" s="6">
        <v>0.60899999999999999</v>
      </c>
      <c r="AK900" s="6">
        <v>0.70299999999999996</v>
      </c>
      <c r="AL900" s="8">
        <v>4709.8999999999996</v>
      </c>
      <c r="AM900" s="6" t="s">
        <v>68</v>
      </c>
      <c r="AN900" s="6">
        <v>1</v>
      </c>
      <c r="AO900" s="6">
        <v>1</v>
      </c>
      <c r="AP900" s="6">
        <v>0</v>
      </c>
      <c r="AQ900" s="6">
        <v>1</v>
      </c>
      <c r="AR900" s="6">
        <v>0</v>
      </c>
      <c r="AS900" s="6">
        <v>1</v>
      </c>
      <c r="AT900" s="6">
        <v>0</v>
      </c>
      <c r="AU900" s="6">
        <v>2.16</v>
      </c>
      <c r="AV900" s="6">
        <v>1.7</v>
      </c>
      <c r="AW900" s="6">
        <v>93.32</v>
      </c>
      <c r="AX900" s="6">
        <v>22.55</v>
      </c>
      <c r="AY900" s="6">
        <v>61.06</v>
      </c>
      <c r="AZ900" s="6">
        <v>23.9</v>
      </c>
      <c r="BA900" s="6">
        <v>66.8</v>
      </c>
    </row>
    <row r="901" spans="1:53" x14ac:dyDescent="0.3">
      <c r="A901" s="6">
        <v>264752975</v>
      </c>
      <c r="B901" s="6">
        <v>301629</v>
      </c>
      <c r="C901" s="6">
        <v>8633773</v>
      </c>
      <c r="D901" s="6">
        <v>7331</v>
      </c>
      <c r="E901" s="6" t="s">
        <v>84</v>
      </c>
      <c r="F901" s="6">
        <v>51660</v>
      </c>
      <c r="G901" s="6" t="s">
        <v>77</v>
      </c>
      <c r="H901" s="10">
        <v>45919</v>
      </c>
      <c r="I901" s="10">
        <v>45919</v>
      </c>
      <c r="J901" s="4">
        <v>45919.614583333336</v>
      </c>
      <c r="K901" s="4">
        <v>45919.684432870374</v>
      </c>
      <c r="L901" s="11">
        <v>45919.669849537036</v>
      </c>
      <c r="M901" s="10">
        <v>45919</v>
      </c>
      <c r="N901" s="6" t="s">
        <v>86</v>
      </c>
      <c r="O901" t="s">
        <v>108</v>
      </c>
      <c r="P901" s="6" t="s">
        <v>109</v>
      </c>
      <c r="Q901" t="s">
        <v>118</v>
      </c>
      <c r="R901" t="s">
        <v>88</v>
      </c>
      <c r="S901" s="6">
        <v>795199</v>
      </c>
      <c r="T901" s="6" t="s">
        <v>3</v>
      </c>
      <c r="U901">
        <v>69</v>
      </c>
      <c r="V901" s="6">
        <v>4.4000000000000004</v>
      </c>
      <c r="W901" s="6">
        <v>31.8</v>
      </c>
      <c r="X901" s="6">
        <v>79.7</v>
      </c>
      <c r="Y901" s="6">
        <v>115.9</v>
      </c>
      <c r="Z901" s="6" t="s">
        <v>112</v>
      </c>
      <c r="AA901" t="s">
        <v>853</v>
      </c>
      <c r="AB901" s="6" t="s">
        <v>90</v>
      </c>
      <c r="AC901" t="s">
        <v>154</v>
      </c>
      <c r="AD901" t="s">
        <v>67</v>
      </c>
      <c r="AE901">
        <v>-21</v>
      </c>
      <c r="AF901">
        <v>0</v>
      </c>
      <c r="AG901">
        <v>0</v>
      </c>
      <c r="AH901" s="6">
        <v>60.7</v>
      </c>
      <c r="AI901" s="6">
        <v>0</v>
      </c>
      <c r="AJ901" s="6">
        <v>0.69699999999999995</v>
      </c>
      <c r="AK901" s="6">
        <v>0.95099999999999996</v>
      </c>
      <c r="AL901" s="8">
        <v>2356.25</v>
      </c>
      <c r="AM901" s="6" t="s">
        <v>68</v>
      </c>
      <c r="AN901" s="6">
        <v>1</v>
      </c>
      <c r="AO901" s="6">
        <v>1</v>
      </c>
      <c r="AP901" s="6">
        <v>0</v>
      </c>
      <c r="AQ901" s="6">
        <v>1</v>
      </c>
      <c r="AR901" s="6">
        <v>0</v>
      </c>
      <c r="AS901" s="6">
        <v>1</v>
      </c>
      <c r="AT901" s="6">
        <v>0</v>
      </c>
      <c r="AU901" s="6">
        <v>2.3199999999999998</v>
      </c>
      <c r="AV901" s="6">
        <v>1.55</v>
      </c>
      <c r="AW901" s="6">
        <v>91.64</v>
      </c>
      <c r="AX901" s="6">
        <v>24.23</v>
      </c>
      <c r="AY901" s="6">
        <v>68.540000000000006</v>
      </c>
      <c r="AZ901" s="6">
        <v>63.5</v>
      </c>
      <c r="BA901" s="6">
        <v>4.5999999999999996</v>
      </c>
    </row>
    <row r="902" spans="1:53" x14ac:dyDescent="0.3">
      <c r="A902" s="6">
        <v>829137330</v>
      </c>
      <c r="B902" s="6">
        <v>972064</v>
      </c>
      <c r="C902" s="6">
        <v>2818692</v>
      </c>
      <c r="D902" s="6">
        <v>8158</v>
      </c>
      <c r="E902" s="6" t="s">
        <v>84</v>
      </c>
      <c r="F902" s="6">
        <v>54349</v>
      </c>
      <c r="G902" s="6" t="s">
        <v>115</v>
      </c>
      <c r="H902" s="10">
        <v>45891</v>
      </c>
      <c r="I902" s="10">
        <v>45891</v>
      </c>
      <c r="J902" s="4">
        <v>45891.288194444445</v>
      </c>
      <c r="K902" s="4">
        <v>45892.066469907404</v>
      </c>
      <c r="L902" s="11">
        <v>45892.006747685184</v>
      </c>
      <c r="M902" s="10">
        <v>45892</v>
      </c>
      <c r="N902" s="6" t="s">
        <v>109</v>
      </c>
      <c r="O902" t="s">
        <v>118</v>
      </c>
      <c r="P902" s="6" t="s">
        <v>109</v>
      </c>
      <c r="Q902" t="s">
        <v>161</v>
      </c>
      <c r="R902" t="s">
        <v>88</v>
      </c>
      <c r="S902" s="6">
        <v>705397</v>
      </c>
      <c r="T902" s="6" t="s">
        <v>140</v>
      </c>
      <c r="U902">
        <v>781</v>
      </c>
      <c r="V902" s="6">
        <v>21.2</v>
      </c>
      <c r="W902" s="6">
        <v>26.6</v>
      </c>
      <c r="X902" s="6">
        <v>781.8</v>
      </c>
      <c r="Y902" s="6">
        <v>829.6</v>
      </c>
      <c r="Z902" s="6" t="s">
        <v>2</v>
      </c>
      <c r="AA902" t="s">
        <v>854</v>
      </c>
      <c r="AB902" s="6" t="s">
        <v>97</v>
      </c>
      <c r="AC902" t="s">
        <v>154</v>
      </c>
      <c r="AD902" t="s">
        <v>67</v>
      </c>
      <c r="AE902">
        <v>-86</v>
      </c>
      <c r="AF902">
        <v>0</v>
      </c>
      <c r="AG902">
        <v>0</v>
      </c>
      <c r="AH902" s="6">
        <v>57.3</v>
      </c>
      <c r="AI902" s="6">
        <v>0</v>
      </c>
      <c r="AJ902" s="6">
        <v>0.92600000000000005</v>
      </c>
      <c r="AK902" s="6">
        <v>0.67900000000000005</v>
      </c>
      <c r="AL902" s="8">
        <v>13505.32</v>
      </c>
      <c r="AM902" s="6" t="s">
        <v>114</v>
      </c>
      <c r="AN902" s="6">
        <v>1</v>
      </c>
      <c r="AO902" s="6">
        <v>1</v>
      </c>
      <c r="AP902" s="6">
        <v>0</v>
      </c>
      <c r="AQ902" s="6">
        <v>1</v>
      </c>
      <c r="AR902" s="6">
        <v>0</v>
      </c>
      <c r="AS902" s="6">
        <v>1</v>
      </c>
      <c r="AT902" s="6">
        <v>0</v>
      </c>
      <c r="AU902" s="6">
        <v>2.5</v>
      </c>
      <c r="AV902" s="6">
        <v>1.89</v>
      </c>
      <c r="AW902" s="6">
        <v>753.61</v>
      </c>
      <c r="AX902" s="6">
        <v>143.12</v>
      </c>
      <c r="AY902" s="6">
        <v>559.1</v>
      </c>
      <c r="AZ902" s="6">
        <v>10</v>
      </c>
      <c r="BA902" s="6">
        <v>33.200000000000003</v>
      </c>
    </row>
    <row r="903" spans="1:53" x14ac:dyDescent="0.3">
      <c r="A903" s="6">
        <v>583100677</v>
      </c>
      <c r="B903" s="6">
        <v>955662</v>
      </c>
      <c r="C903" s="6">
        <v>8315831</v>
      </c>
      <c r="D903" s="6">
        <v>9445</v>
      </c>
      <c r="E903" s="6" t="s">
        <v>84</v>
      </c>
      <c r="F903" s="6">
        <v>57102</v>
      </c>
      <c r="G903" s="6" t="s">
        <v>235</v>
      </c>
      <c r="H903" s="10">
        <v>45900</v>
      </c>
      <c r="I903" s="10">
        <v>45900</v>
      </c>
      <c r="J903" s="4">
        <v>45900.381944444445</v>
      </c>
      <c r="K903" s="4">
        <v>45900.616759259261</v>
      </c>
      <c r="L903" s="11">
        <v>45900.791064814817</v>
      </c>
      <c r="M903" s="10">
        <v>45900</v>
      </c>
      <c r="N903" s="6" t="s">
        <v>200</v>
      </c>
      <c r="O903" t="s">
        <v>161</v>
      </c>
      <c r="P903" s="6" t="s">
        <v>86</v>
      </c>
      <c r="Q903" t="s">
        <v>87</v>
      </c>
      <c r="R903" t="s">
        <v>88</v>
      </c>
      <c r="S903" s="6">
        <v>775527</v>
      </c>
      <c r="T903" s="6" t="s">
        <v>111</v>
      </c>
      <c r="U903">
        <v>363</v>
      </c>
      <c r="V903" s="6">
        <v>-23</v>
      </c>
      <c r="W903" s="6">
        <v>21.8</v>
      </c>
      <c r="X903" s="6">
        <v>360.1</v>
      </c>
      <c r="Y903" s="6">
        <v>381.9</v>
      </c>
      <c r="Z903" s="6" t="s">
        <v>80</v>
      </c>
      <c r="AA903" t="s">
        <v>855</v>
      </c>
      <c r="AB903" s="6" t="s">
        <v>97</v>
      </c>
      <c r="AC903" t="s">
        <v>91</v>
      </c>
      <c r="AD903" t="s">
        <v>188</v>
      </c>
      <c r="AE903">
        <v>251</v>
      </c>
      <c r="AF903">
        <v>41</v>
      </c>
      <c r="AG903">
        <v>3.2</v>
      </c>
      <c r="AH903" s="6">
        <v>63</v>
      </c>
      <c r="AI903" s="6">
        <v>0</v>
      </c>
      <c r="AJ903" s="6">
        <v>0.57399999999999995</v>
      </c>
      <c r="AK903" s="6">
        <v>0.64500000000000002</v>
      </c>
      <c r="AL903" s="8">
        <v>14720.54</v>
      </c>
      <c r="AM903" s="6" t="s">
        <v>114</v>
      </c>
      <c r="AN903" s="6">
        <v>1</v>
      </c>
      <c r="AO903" s="6">
        <v>0</v>
      </c>
      <c r="AP903" s="6">
        <v>1</v>
      </c>
      <c r="AQ903" s="6">
        <v>0</v>
      </c>
      <c r="AR903" s="6">
        <v>1</v>
      </c>
      <c r="AS903" s="6">
        <v>0</v>
      </c>
      <c r="AT903" s="6">
        <v>1</v>
      </c>
      <c r="AU903" s="6">
        <v>2.12</v>
      </c>
      <c r="AV903" s="6">
        <v>1.53</v>
      </c>
      <c r="AW903" s="6">
        <v>320.67</v>
      </c>
      <c r="AX903" s="6">
        <v>70.430000000000007</v>
      </c>
      <c r="AY903" s="6">
        <v>254.31</v>
      </c>
      <c r="AZ903" s="6">
        <v>18.100000000000001</v>
      </c>
      <c r="BA903" s="6">
        <v>29.5</v>
      </c>
    </row>
    <row r="904" spans="1:53" x14ac:dyDescent="0.3">
      <c r="A904" s="6">
        <v>498320110</v>
      </c>
      <c r="B904" s="6">
        <v>996865</v>
      </c>
      <c r="C904" s="6">
        <v>2022698</v>
      </c>
      <c r="D904" s="6">
        <v>6463</v>
      </c>
      <c r="E904" s="6" t="s">
        <v>126</v>
      </c>
      <c r="F904" s="6">
        <v>58000</v>
      </c>
      <c r="G904" s="6" t="s">
        <v>115</v>
      </c>
      <c r="H904" s="10">
        <v>45809</v>
      </c>
      <c r="I904" s="10">
        <v>45809</v>
      </c>
      <c r="J904" s="4">
        <v>45809.326388888891</v>
      </c>
      <c r="K904" s="4">
        <v>45809.451793981483</v>
      </c>
      <c r="L904" s="11">
        <v>45809.446932870371</v>
      </c>
      <c r="M904" s="10">
        <v>45809</v>
      </c>
      <c r="N904" s="6" t="s">
        <v>134</v>
      </c>
      <c r="O904" t="s">
        <v>282</v>
      </c>
      <c r="P904" s="6" t="s">
        <v>134</v>
      </c>
      <c r="Q904" t="s">
        <v>248</v>
      </c>
      <c r="R904" t="s">
        <v>73</v>
      </c>
      <c r="S904" s="6">
        <v>752322</v>
      </c>
      <c r="T904" s="6" t="s">
        <v>1</v>
      </c>
      <c r="U904">
        <v>121</v>
      </c>
      <c r="V904" s="6">
        <v>20.2</v>
      </c>
      <c r="W904" s="6">
        <v>2.2000000000000002</v>
      </c>
      <c r="X904" s="6">
        <v>119.3</v>
      </c>
      <c r="Y904" s="6">
        <v>141.69999999999999</v>
      </c>
      <c r="Z904" s="6" t="s">
        <v>63</v>
      </c>
      <c r="AA904" t="s">
        <v>856</v>
      </c>
      <c r="AB904" s="6" t="s">
        <v>97</v>
      </c>
      <c r="AC904" t="s">
        <v>91</v>
      </c>
      <c r="AD904" t="s">
        <v>67</v>
      </c>
      <c r="AE904">
        <v>-7</v>
      </c>
      <c r="AF904">
        <v>0</v>
      </c>
      <c r="AG904">
        <v>0</v>
      </c>
      <c r="AH904" s="6">
        <v>45.2</v>
      </c>
      <c r="AI904" s="6">
        <v>0</v>
      </c>
      <c r="AJ904" s="6">
        <v>0.85099999999999998</v>
      </c>
      <c r="AK904" s="6">
        <v>0.33500000000000002</v>
      </c>
      <c r="AL904" s="8">
        <v>3189.08</v>
      </c>
      <c r="AM904" s="6" t="s">
        <v>68</v>
      </c>
      <c r="AN904" s="6">
        <v>1</v>
      </c>
      <c r="AO904" s="6">
        <v>1</v>
      </c>
      <c r="AP904" s="6">
        <v>0</v>
      </c>
      <c r="AQ904" s="6">
        <v>1</v>
      </c>
      <c r="AR904" s="6">
        <v>0</v>
      </c>
      <c r="AS904" s="6">
        <v>1</v>
      </c>
      <c r="AT904" s="6">
        <v>0</v>
      </c>
      <c r="AU904" s="6">
        <v>2.23</v>
      </c>
      <c r="AV904" s="6">
        <v>1.41</v>
      </c>
      <c r="AW904" s="6">
        <v>101.92</v>
      </c>
      <c r="AX904" s="6">
        <v>22.57</v>
      </c>
      <c r="AY904" s="6">
        <v>99.39</v>
      </c>
      <c r="AZ904" s="6">
        <v>8.8000000000000007</v>
      </c>
      <c r="BA904" s="6">
        <v>31.7</v>
      </c>
    </row>
    <row r="905" spans="1:53" x14ac:dyDescent="0.3">
      <c r="A905" s="6">
        <v>499446327</v>
      </c>
      <c r="B905" s="6">
        <v>198246</v>
      </c>
      <c r="C905" s="6">
        <v>9626108</v>
      </c>
      <c r="D905" s="6">
        <v>5555</v>
      </c>
      <c r="E905" s="6" t="s">
        <v>57</v>
      </c>
      <c r="F905" s="6">
        <v>59011</v>
      </c>
      <c r="G905" s="6" t="s">
        <v>77</v>
      </c>
      <c r="H905" s="10">
        <v>45674</v>
      </c>
      <c r="I905" s="10">
        <v>45674</v>
      </c>
      <c r="J905" s="4">
        <v>45674.715277777781</v>
      </c>
      <c r="K905" s="4">
        <v>45674.880787037036</v>
      </c>
      <c r="L905" s="11">
        <v>45674.853009259263</v>
      </c>
      <c r="M905" s="10">
        <v>45674</v>
      </c>
      <c r="N905" s="6" t="s">
        <v>170</v>
      </c>
      <c r="O905" t="s">
        <v>189</v>
      </c>
      <c r="P905" s="6" t="s">
        <v>150</v>
      </c>
      <c r="Q905" t="s">
        <v>159</v>
      </c>
      <c r="R905" t="s">
        <v>73</v>
      </c>
      <c r="S905" s="6">
        <v>741853</v>
      </c>
      <c r="T905" s="6" t="s">
        <v>1</v>
      </c>
      <c r="U905">
        <v>297</v>
      </c>
      <c r="V905" s="6">
        <v>3.4</v>
      </c>
      <c r="W905" s="6">
        <v>8</v>
      </c>
      <c r="X905" s="6">
        <v>297.3</v>
      </c>
      <c r="Y905" s="6">
        <v>308.7</v>
      </c>
      <c r="Z905" s="6" t="s">
        <v>80</v>
      </c>
      <c r="AA905" t="s">
        <v>857</v>
      </c>
      <c r="AB905" s="6" t="s">
        <v>90</v>
      </c>
      <c r="AC905" t="s">
        <v>154</v>
      </c>
      <c r="AD905" t="s">
        <v>67</v>
      </c>
      <c r="AE905">
        <v>-40</v>
      </c>
      <c r="AF905">
        <v>0</v>
      </c>
      <c r="AG905">
        <v>0</v>
      </c>
      <c r="AH905" s="6">
        <v>16.3</v>
      </c>
      <c r="AI905" s="6">
        <v>0</v>
      </c>
      <c r="AJ905" s="6">
        <v>0.49099999999999999</v>
      </c>
      <c r="AK905" s="6">
        <v>0.441</v>
      </c>
      <c r="AL905" s="8">
        <v>920.45</v>
      </c>
      <c r="AM905" s="6" t="s">
        <v>68</v>
      </c>
      <c r="AN905" s="6">
        <v>1</v>
      </c>
      <c r="AO905" s="6">
        <v>1</v>
      </c>
      <c r="AP905" s="6">
        <v>0</v>
      </c>
      <c r="AQ905" s="6">
        <v>1</v>
      </c>
      <c r="AR905" s="6">
        <v>0</v>
      </c>
      <c r="AS905" s="6">
        <v>1</v>
      </c>
      <c r="AT905" s="6">
        <v>0</v>
      </c>
      <c r="AU905" s="6">
        <v>1.88</v>
      </c>
      <c r="AV905" s="6">
        <v>1.48</v>
      </c>
      <c r="AW905" s="6">
        <v>247.93</v>
      </c>
      <c r="AX905" s="6">
        <v>36.299999999999997</v>
      </c>
      <c r="AY905" s="6">
        <v>211.75</v>
      </c>
      <c r="AZ905" s="6">
        <v>11.5</v>
      </c>
      <c r="BA905" s="6">
        <v>8.8000000000000007</v>
      </c>
    </row>
    <row r="906" spans="1:53" x14ac:dyDescent="0.3">
      <c r="A906" s="6">
        <v>576676179</v>
      </c>
      <c r="B906" s="6">
        <v>814825</v>
      </c>
      <c r="C906" s="6">
        <v>7817881</v>
      </c>
      <c r="D906" s="6">
        <v>9958</v>
      </c>
      <c r="E906" s="6" t="s">
        <v>84</v>
      </c>
      <c r="F906" s="6">
        <v>53818</v>
      </c>
      <c r="G906" s="6" t="s">
        <v>164</v>
      </c>
      <c r="H906" s="10">
        <v>45944</v>
      </c>
      <c r="I906" s="10">
        <v>45944</v>
      </c>
      <c r="J906" s="4">
        <v>45944.798611111109</v>
      </c>
      <c r="K906" s="4">
        <v>45945.118738425925</v>
      </c>
      <c r="L906" s="11">
        <v>45945.072905092595</v>
      </c>
      <c r="M906" s="10">
        <v>45945</v>
      </c>
      <c r="N906" s="6" t="s">
        <v>200</v>
      </c>
      <c r="O906" t="s">
        <v>275</v>
      </c>
      <c r="P906" s="6" t="s">
        <v>150</v>
      </c>
      <c r="Q906" t="s">
        <v>311</v>
      </c>
      <c r="R906" t="s">
        <v>73</v>
      </c>
      <c r="S906" s="6">
        <v>718526</v>
      </c>
      <c r="T906" s="6" t="s">
        <v>1</v>
      </c>
      <c r="U906">
        <v>277</v>
      </c>
      <c r="V906" s="6">
        <v>37.5</v>
      </c>
      <c r="W906" s="6">
        <v>2.4</v>
      </c>
      <c r="X906" s="6">
        <v>283.5</v>
      </c>
      <c r="Y906" s="6">
        <v>323.39999999999998</v>
      </c>
      <c r="Z906" s="6" t="s">
        <v>63</v>
      </c>
      <c r="AA906" t="s">
        <v>465</v>
      </c>
      <c r="AB906" s="6" t="s">
        <v>65</v>
      </c>
      <c r="AC906" t="s">
        <v>66</v>
      </c>
      <c r="AD906" t="s">
        <v>67</v>
      </c>
      <c r="AE906">
        <v>-66</v>
      </c>
      <c r="AF906">
        <v>0</v>
      </c>
      <c r="AG906">
        <v>0</v>
      </c>
      <c r="AH906" s="6">
        <v>48.2</v>
      </c>
      <c r="AI906" s="6">
        <v>0</v>
      </c>
      <c r="AJ906" s="6">
        <v>0.66700000000000004</v>
      </c>
      <c r="AK906" s="6">
        <v>0.45900000000000002</v>
      </c>
      <c r="AL906" s="8">
        <v>19815.25</v>
      </c>
      <c r="AM906" s="6" t="s">
        <v>114</v>
      </c>
      <c r="AN906" s="6">
        <v>1</v>
      </c>
      <c r="AO906" s="6">
        <v>1</v>
      </c>
      <c r="AP906" s="6">
        <v>0</v>
      </c>
      <c r="AQ906" s="6">
        <v>1</v>
      </c>
      <c r="AR906" s="6">
        <v>0</v>
      </c>
      <c r="AS906" s="6">
        <v>1</v>
      </c>
      <c r="AT906" s="6">
        <v>0</v>
      </c>
      <c r="AU906" s="6">
        <v>2.12</v>
      </c>
      <c r="AV906" s="6">
        <v>1.35</v>
      </c>
      <c r="AW906" s="6">
        <v>253.26</v>
      </c>
      <c r="AX906" s="6">
        <v>56.98</v>
      </c>
      <c r="AY906" s="6">
        <v>189.29</v>
      </c>
      <c r="AZ906" s="6">
        <v>11.6</v>
      </c>
      <c r="BA906" s="6">
        <v>19.7</v>
      </c>
    </row>
    <row r="907" spans="1:53" x14ac:dyDescent="0.3">
      <c r="A907" s="6">
        <v>919355714</v>
      </c>
      <c r="B907" s="6">
        <v>301629</v>
      </c>
      <c r="C907" s="6">
        <v>8633773</v>
      </c>
      <c r="D907" s="6">
        <v>7331</v>
      </c>
      <c r="E907" s="6" t="s">
        <v>84</v>
      </c>
      <c r="F907" s="6">
        <v>50331</v>
      </c>
      <c r="G907" s="6" t="s">
        <v>203</v>
      </c>
      <c r="H907" s="10">
        <v>45905</v>
      </c>
      <c r="I907" s="10">
        <v>45905</v>
      </c>
      <c r="J907" s="4">
        <v>45905.604166666664</v>
      </c>
      <c r="K907" s="4">
        <v>45905.942118055558</v>
      </c>
      <c r="L907" s="11">
        <v>45905.91920138889</v>
      </c>
      <c r="M907" s="10">
        <v>45905</v>
      </c>
      <c r="N907" s="6" t="s">
        <v>200</v>
      </c>
      <c r="O907" t="s">
        <v>171</v>
      </c>
      <c r="P907" s="6" t="s">
        <v>121</v>
      </c>
      <c r="Q907" t="s">
        <v>143</v>
      </c>
      <c r="R907" t="s">
        <v>123</v>
      </c>
      <c r="S907" s="6">
        <v>746616</v>
      </c>
      <c r="T907" s="6" t="s">
        <v>111</v>
      </c>
      <c r="U907">
        <v>322</v>
      </c>
      <c r="V907" s="6">
        <v>28.7</v>
      </c>
      <c r="W907" s="6">
        <v>28.4</v>
      </c>
      <c r="X907" s="6">
        <v>323.10000000000002</v>
      </c>
      <c r="Y907" s="6">
        <v>380.2</v>
      </c>
      <c r="Z907" s="6" t="s">
        <v>112</v>
      </c>
      <c r="AA907" t="s">
        <v>180</v>
      </c>
      <c r="AB907" s="6" t="s">
        <v>90</v>
      </c>
      <c r="AC907" t="s">
        <v>154</v>
      </c>
      <c r="AD907" t="s">
        <v>67</v>
      </c>
      <c r="AE907">
        <v>-33</v>
      </c>
      <c r="AF907">
        <v>0</v>
      </c>
      <c r="AG907">
        <v>0</v>
      </c>
      <c r="AH907" s="6">
        <v>38.9</v>
      </c>
      <c r="AI907" s="6">
        <v>0</v>
      </c>
      <c r="AJ907" s="6">
        <v>0.42299999999999999</v>
      </c>
      <c r="AK907" s="6">
        <v>0.84199999999999997</v>
      </c>
      <c r="AL907" s="8">
        <v>31305.53</v>
      </c>
      <c r="AM907" s="6" t="s">
        <v>155</v>
      </c>
      <c r="AN907" s="6">
        <v>1</v>
      </c>
      <c r="AO907" s="6">
        <v>1</v>
      </c>
      <c r="AP907" s="6">
        <v>0</v>
      </c>
      <c r="AQ907" s="6">
        <v>1</v>
      </c>
      <c r="AR907" s="6">
        <v>0</v>
      </c>
      <c r="AS907" s="6">
        <v>1</v>
      </c>
      <c r="AT907" s="6">
        <v>0</v>
      </c>
      <c r="AU907" s="6">
        <v>2.35</v>
      </c>
      <c r="AV907" s="6">
        <v>1.81</v>
      </c>
      <c r="AW907" s="6">
        <v>301.91000000000003</v>
      </c>
      <c r="AX907" s="6">
        <v>53.99</v>
      </c>
      <c r="AY907" s="6">
        <v>184.23</v>
      </c>
      <c r="AZ907" s="6">
        <v>63.5</v>
      </c>
      <c r="BA907" s="6">
        <v>4</v>
      </c>
    </row>
    <row r="908" spans="1:53" x14ac:dyDescent="0.3">
      <c r="A908" s="6">
        <v>182555101</v>
      </c>
      <c r="B908" s="6">
        <v>211579</v>
      </c>
      <c r="C908" s="6">
        <v>6866294</v>
      </c>
      <c r="D908" s="6">
        <v>2734</v>
      </c>
      <c r="E908" s="6" t="s">
        <v>225</v>
      </c>
      <c r="F908" s="6">
        <v>51421</v>
      </c>
      <c r="G908" s="6" t="s">
        <v>127</v>
      </c>
      <c r="H908" s="10">
        <v>45830</v>
      </c>
      <c r="I908" s="10">
        <v>45830</v>
      </c>
      <c r="J908" s="4">
        <v>45830.944444444445</v>
      </c>
      <c r="K908" s="4">
        <v>45831.163472222222</v>
      </c>
      <c r="L908" s="11">
        <v>45831.148194444446</v>
      </c>
      <c r="M908" s="10">
        <v>45831</v>
      </c>
      <c r="N908" s="6" t="s">
        <v>116</v>
      </c>
      <c r="O908" t="s">
        <v>117</v>
      </c>
      <c r="P908" s="6" t="s">
        <v>121</v>
      </c>
      <c r="Q908" t="s">
        <v>195</v>
      </c>
      <c r="R908" t="s">
        <v>123</v>
      </c>
      <c r="S908" s="6">
        <v>795786</v>
      </c>
      <c r="T908" s="6" t="s">
        <v>1</v>
      </c>
      <c r="U908">
        <v>272</v>
      </c>
      <c r="V908" s="6">
        <v>39.6</v>
      </c>
      <c r="W908" s="6">
        <v>36.5</v>
      </c>
      <c r="X908" s="6">
        <v>274</v>
      </c>
      <c r="Y908" s="6">
        <v>350.1</v>
      </c>
      <c r="Z908" s="6" t="s">
        <v>63</v>
      </c>
      <c r="AA908" t="s">
        <v>858</v>
      </c>
      <c r="AB908" s="6" t="s">
        <v>65</v>
      </c>
      <c r="AC908" t="s">
        <v>91</v>
      </c>
      <c r="AD908" t="s">
        <v>67</v>
      </c>
      <c r="AE908">
        <v>-22</v>
      </c>
      <c r="AF908">
        <v>0</v>
      </c>
      <c r="AG908">
        <v>1.6</v>
      </c>
      <c r="AH908" s="6">
        <v>23.5</v>
      </c>
      <c r="AI908" s="6">
        <v>0</v>
      </c>
      <c r="AJ908" s="6">
        <v>0.69199999999999995</v>
      </c>
      <c r="AK908" s="6">
        <v>0.53500000000000003</v>
      </c>
      <c r="AL908" s="8">
        <v>118101.48</v>
      </c>
      <c r="AM908" s="6" t="s">
        <v>155</v>
      </c>
      <c r="AN908" s="6">
        <v>1</v>
      </c>
      <c r="AO908" s="6">
        <v>1</v>
      </c>
      <c r="AP908" s="6">
        <v>0</v>
      </c>
      <c r="AQ908" s="6">
        <v>1</v>
      </c>
      <c r="AR908" s="6">
        <v>0</v>
      </c>
      <c r="AS908" s="6">
        <v>1</v>
      </c>
      <c r="AT908" s="6">
        <v>0</v>
      </c>
      <c r="AU908" s="6">
        <v>2.29</v>
      </c>
      <c r="AV908" s="6">
        <v>1.65</v>
      </c>
      <c r="AW908" s="6">
        <v>302.95</v>
      </c>
      <c r="AX908" s="6">
        <v>35.25</v>
      </c>
      <c r="AY908" s="6">
        <v>187.93</v>
      </c>
      <c r="AZ908" s="6">
        <v>9.3000000000000007</v>
      </c>
      <c r="BA908" s="6">
        <v>5.3</v>
      </c>
    </row>
    <row r="909" spans="1:53" x14ac:dyDescent="0.3">
      <c r="A909" s="6">
        <v>716243819</v>
      </c>
      <c r="B909" s="6">
        <v>660086</v>
      </c>
      <c r="C909" s="6">
        <v>6307805</v>
      </c>
      <c r="D909" s="6">
        <v>2028</v>
      </c>
      <c r="E909" s="6" t="s">
        <v>142</v>
      </c>
      <c r="F909" s="6">
        <v>57512</v>
      </c>
      <c r="G909" s="6" t="s">
        <v>164</v>
      </c>
      <c r="H909" s="10">
        <v>45986</v>
      </c>
      <c r="I909" s="10">
        <v>45986</v>
      </c>
      <c r="J909" s="4">
        <v>45986.71875</v>
      </c>
      <c r="K909" s="4">
        <v>45986.840833333335</v>
      </c>
      <c r="L909" s="11">
        <v>45986.826944444445</v>
      </c>
      <c r="M909" s="10">
        <v>45986</v>
      </c>
      <c r="N909" s="6" t="s">
        <v>134</v>
      </c>
      <c r="O909" t="s">
        <v>248</v>
      </c>
      <c r="P909" s="6" t="s">
        <v>176</v>
      </c>
      <c r="Q909" t="s">
        <v>355</v>
      </c>
      <c r="R909" t="s">
        <v>88</v>
      </c>
      <c r="S909" s="6">
        <v>773553</v>
      </c>
      <c r="T909" s="6" t="s">
        <v>3</v>
      </c>
      <c r="U909">
        <v>76</v>
      </c>
      <c r="V909" s="6">
        <v>42.8</v>
      </c>
      <c r="W909" s="6">
        <v>38.5</v>
      </c>
      <c r="X909" s="6">
        <v>83.3</v>
      </c>
      <c r="Y909" s="6">
        <v>164.6</v>
      </c>
      <c r="Z909" s="6" t="s">
        <v>2</v>
      </c>
      <c r="AA909" t="s">
        <v>267</v>
      </c>
      <c r="AB909" s="6" t="s">
        <v>90</v>
      </c>
      <c r="AC909" t="s">
        <v>66</v>
      </c>
      <c r="AD909" t="s">
        <v>67</v>
      </c>
      <c r="AE909">
        <v>-20</v>
      </c>
      <c r="AF909">
        <v>0</v>
      </c>
      <c r="AG909">
        <v>0</v>
      </c>
      <c r="AH909" s="6">
        <v>43.1</v>
      </c>
      <c r="AI909" s="6">
        <v>0</v>
      </c>
      <c r="AJ909" s="6">
        <v>0.77300000000000002</v>
      </c>
      <c r="AK909" s="6">
        <v>0.32100000000000001</v>
      </c>
      <c r="AL909" s="8">
        <v>105954.72</v>
      </c>
      <c r="AM909" s="6" t="s">
        <v>155</v>
      </c>
      <c r="AN909" s="6">
        <v>1</v>
      </c>
      <c r="AO909" s="6">
        <v>1</v>
      </c>
      <c r="AP909" s="6">
        <v>0</v>
      </c>
      <c r="AQ909" s="6">
        <v>1</v>
      </c>
      <c r="AR909" s="6">
        <v>0</v>
      </c>
      <c r="AS909" s="6">
        <v>1</v>
      </c>
      <c r="AT909" s="6">
        <v>0</v>
      </c>
      <c r="AU909" s="6">
        <v>2.0299999999999998</v>
      </c>
      <c r="AV909" s="6">
        <v>1.45</v>
      </c>
      <c r="AW909" s="6">
        <v>127.21</v>
      </c>
      <c r="AX909" s="6">
        <v>27.82</v>
      </c>
      <c r="AY909" s="6">
        <v>103.11</v>
      </c>
      <c r="AZ909" s="6">
        <v>15.8</v>
      </c>
      <c r="BA909" s="6">
        <v>10.5</v>
      </c>
    </row>
    <row r="910" spans="1:53" x14ac:dyDescent="0.3">
      <c r="A910" s="6">
        <v>247848992</v>
      </c>
      <c r="B910" s="6">
        <v>983794</v>
      </c>
      <c r="C910" s="6">
        <v>8688755</v>
      </c>
      <c r="D910" s="6">
        <v>1863</v>
      </c>
      <c r="E910" s="6" t="s">
        <v>57</v>
      </c>
      <c r="F910" s="6">
        <v>56890</v>
      </c>
      <c r="G910" s="6" t="s">
        <v>69</v>
      </c>
      <c r="H910" s="10">
        <v>45780</v>
      </c>
      <c r="I910" s="10">
        <v>45780</v>
      </c>
      <c r="J910" s="4">
        <v>45780.423611111109</v>
      </c>
      <c r="K910" s="4">
        <v>45780.738159722219</v>
      </c>
      <c r="L910" s="11">
        <v>45780.695798611108</v>
      </c>
      <c r="M910" s="10">
        <v>45780</v>
      </c>
      <c r="N910" s="6" t="s">
        <v>132</v>
      </c>
      <c r="O910" t="s">
        <v>181</v>
      </c>
      <c r="P910" s="6" t="s">
        <v>150</v>
      </c>
      <c r="Q910" t="s">
        <v>151</v>
      </c>
      <c r="R910" t="s">
        <v>73</v>
      </c>
      <c r="S910" s="6">
        <v>712046</v>
      </c>
      <c r="T910" s="6" t="s">
        <v>111</v>
      </c>
      <c r="U910">
        <v>384</v>
      </c>
      <c r="V910" s="6">
        <v>38.299999999999997</v>
      </c>
      <c r="W910" s="6">
        <v>17.8</v>
      </c>
      <c r="X910" s="6">
        <v>381.6</v>
      </c>
      <c r="Y910" s="6">
        <v>437.7</v>
      </c>
      <c r="Z910" s="6" t="s">
        <v>63</v>
      </c>
      <c r="AA910" t="s">
        <v>846</v>
      </c>
      <c r="AB910" s="6" t="s">
        <v>75</v>
      </c>
      <c r="AC910" t="s">
        <v>76</v>
      </c>
      <c r="AD910" t="s">
        <v>67</v>
      </c>
      <c r="AE910">
        <v>-61</v>
      </c>
      <c r="AF910">
        <v>0</v>
      </c>
      <c r="AG910">
        <v>0</v>
      </c>
      <c r="AH910" s="6">
        <v>49.8</v>
      </c>
      <c r="AI910" s="6">
        <v>0</v>
      </c>
      <c r="AJ910" s="6">
        <v>0.61</v>
      </c>
      <c r="AK910" s="6">
        <v>0.70799999999999996</v>
      </c>
      <c r="AL910" s="8">
        <v>3719.15</v>
      </c>
      <c r="AM910" s="6" t="s">
        <v>68</v>
      </c>
      <c r="AN910" s="6">
        <v>1</v>
      </c>
      <c r="AO910" s="6">
        <v>1</v>
      </c>
      <c r="AP910" s="6">
        <v>0</v>
      </c>
      <c r="AQ910" s="6">
        <v>1</v>
      </c>
      <c r="AR910" s="6">
        <v>0</v>
      </c>
      <c r="AS910" s="6">
        <v>1</v>
      </c>
      <c r="AT910" s="6">
        <v>0</v>
      </c>
      <c r="AU910" s="6">
        <v>1.9</v>
      </c>
      <c r="AV910" s="6">
        <v>1.45</v>
      </c>
      <c r="AW910" s="6">
        <v>367.05</v>
      </c>
      <c r="AX910" s="6">
        <v>54.19</v>
      </c>
      <c r="AY910" s="6">
        <v>262.77999999999997</v>
      </c>
      <c r="AZ910" s="6">
        <v>22.3</v>
      </c>
      <c r="BA910" s="6">
        <v>29.4</v>
      </c>
    </row>
    <row r="911" spans="1:53" x14ac:dyDescent="0.3">
      <c r="A911" s="6">
        <v>668503222</v>
      </c>
      <c r="B911" s="6">
        <v>287330</v>
      </c>
      <c r="C911" s="6">
        <v>4348276</v>
      </c>
      <c r="D911" s="6">
        <v>9338</v>
      </c>
      <c r="E911" s="6" t="s">
        <v>101</v>
      </c>
      <c r="F911" s="6">
        <v>54931</v>
      </c>
      <c r="G911" s="6" t="s">
        <v>107</v>
      </c>
      <c r="H911" s="10">
        <v>45765</v>
      </c>
      <c r="I911" s="10">
        <v>45765</v>
      </c>
      <c r="J911" s="4">
        <v>45765.430555555555</v>
      </c>
      <c r="K911" s="4">
        <v>45765.567731481482</v>
      </c>
      <c r="L911" s="11">
        <v>45765.558009259257</v>
      </c>
      <c r="M911" s="10">
        <v>45765</v>
      </c>
      <c r="N911" s="6" t="s">
        <v>134</v>
      </c>
      <c r="O911" t="s">
        <v>278</v>
      </c>
      <c r="P911" s="6" t="s">
        <v>86</v>
      </c>
      <c r="Q911" t="s">
        <v>268</v>
      </c>
      <c r="R911" t="s">
        <v>88</v>
      </c>
      <c r="S911" s="6">
        <v>750662</v>
      </c>
      <c r="T911" s="6" t="s">
        <v>1</v>
      </c>
      <c r="U911">
        <v>159</v>
      </c>
      <c r="V911" s="6">
        <v>16.5</v>
      </c>
      <c r="W911" s="6">
        <v>29.4</v>
      </c>
      <c r="X911" s="6">
        <v>160.80000000000001</v>
      </c>
      <c r="Y911" s="6">
        <v>206.7</v>
      </c>
      <c r="Z911" s="6" t="s">
        <v>2</v>
      </c>
      <c r="AA911" t="s">
        <v>590</v>
      </c>
      <c r="AB911" s="6" t="s">
        <v>75</v>
      </c>
      <c r="AC911" t="s">
        <v>154</v>
      </c>
      <c r="AD911" t="s">
        <v>67</v>
      </c>
      <c r="AE911">
        <v>-14</v>
      </c>
      <c r="AF911">
        <v>0</v>
      </c>
      <c r="AG911">
        <v>0</v>
      </c>
      <c r="AH911" s="6">
        <v>76.8</v>
      </c>
      <c r="AI911" s="6">
        <v>0</v>
      </c>
      <c r="AJ911" s="6">
        <v>0.78400000000000003</v>
      </c>
      <c r="AK911" s="6">
        <v>0.69799999999999995</v>
      </c>
      <c r="AL911" s="8">
        <v>2812.58</v>
      </c>
      <c r="AM911" s="6" t="s">
        <v>68</v>
      </c>
      <c r="AN911" s="6">
        <v>1</v>
      </c>
      <c r="AO911" s="6">
        <v>1</v>
      </c>
      <c r="AP911" s="6">
        <v>0</v>
      </c>
      <c r="AQ911" s="6">
        <v>1</v>
      </c>
      <c r="AR911" s="6">
        <v>0</v>
      </c>
      <c r="AS911" s="6">
        <v>1</v>
      </c>
      <c r="AT911" s="6">
        <v>0</v>
      </c>
      <c r="AU911" s="6">
        <v>2.74</v>
      </c>
      <c r="AV911" s="6">
        <v>1.89</v>
      </c>
      <c r="AW911" s="6">
        <v>143.69</v>
      </c>
      <c r="AX911" s="6">
        <v>42.66</v>
      </c>
      <c r="AY911" s="6">
        <v>111.13</v>
      </c>
      <c r="AZ911" s="6">
        <v>17.5</v>
      </c>
      <c r="BA911" s="6">
        <v>70.5</v>
      </c>
    </row>
    <row r="912" spans="1:53" x14ac:dyDescent="0.3">
      <c r="A912" s="6">
        <v>494009507</v>
      </c>
      <c r="B912" s="6">
        <v>482554</v>
      </c>
      <c r="C912" s="6">
        <v>1954280</v>
      </c>
      <c r="D912" s="6">
        <v>4561</v>
      </c>
      <c r="E912" s="6" t="s">
        <v>84</v>
      </c>
      <c r="F912" s="6">
        <v>59883</v>
      </c>
      <c r="G912" s="6" t="s">
        <v>127</v>
      </c>
      <c r="H912" s="10">
        <v>45976</v>
      </c>
      <c r="I912" s="10">
        <v>45976</v>
      </c>
      <c r="J912" s="4">
        <v>45976.21875</v>
      </c>
      <c r="K912" s="4">
        <v>45976.531087962961</v>
      </c>
      <c r="L912" s="11">
        <v>45976.534560185188</v>
      </c>
      <c r="M912" s="10">
        <v>45976</v>
      </c>
      <c r="N912" s="6" t="s">
        <v>132</v>
      </c>
      <c r="O912" t="s">
        <v>186</v>
      </c>
      <c r="P912" s="6" t="s">
        <v>103</v>
      </c>
      <c r="Q912" t="s">
        <v>285</v>
      </c>
      <c r="R912" t="s">
        <v>73</v>
      </c>
      <c r="S912" s="6">
        <v>771847</v>
      </c>
      <c r="T912" s="6" t="s">
        <v>1</v>
      </c>
      <c r="U912">
        <v>289</v>
      </c>
      <c r="V912" s="6">
        <v>24.3</v>
      </c>
      <c r="W912" s="6">
        <v>21.7</v>
      </c>
      <c r="X912" s="6">
        <v>291.60000000000002</v>
      </c>
      <c r="Y912" s="6">
        <v>337.6</v>
      </c>
      <c r="Z912" s="6" t="s">
        <v>80</v>
      </c>
      <c r="AA912" t="s">
        <v>859</v>
      </c>
      <c r="AB912" s="6" t="s">
        <v>82</v>
      </c>
      <c r="AC912" t="s">
        <v>76</v>
      </c>
      <c r="AD912" t="s">
        <v>67</v>
      </c>
      <c r="AE912">
        <v>5</v>
      </c>
      <c r="AF912">
        <v>0</v>
      </c>
      <c r="AG912">
        <v>0</v>
      </c>
      <c r="AH912" s="6">
        <v>26.3</v>
      </c>
      <c r="AI912" s="6">
        <v>0</v>
      </c>
      <c r="AJ912" s="6">
        <v>0.83699999999999997</v>
      </c>
      <c r="AK912" s="6">
        <v>0.747</v>
      </c>
      <c r="AL912" s="8">
        <v>1248.48</v>
      </c>
      <c r="AM912" s="6" t="s">
        <v>68</v>
      </c>
      <c r="AN912" s="6">
        <v>1</v>
      </c>
      <c r="AO912" s="6">
        <v>1</v>
      </c>
      <c r="AP912" s="6">
        <v>0</v>
      </c>
      <c r="AQ912" s="6">
        <v>1</v>
      </c>
      <c r="AR912" s="6">
        <v>0</v>
      </c>
      <c r="AS912" s="6">
        <v>1</v>
      </c>
      <c r="AT912" s="6">
        <v>0</v>
      </c>
      <c r="AU912" s="6">
        <v>2.1800000000000002</v>
      </c>
      <c r="AV912" s="6">
        <v>1.67</v>
      </c>
      <c r="AW912" s="6">
        <v>303.70999999999998</v>
      </c>
      <c r="AX912" s="6">
        <v>71.599999999999994</v>
      </c>
      <c r="AY912" s="6">
        <v>172.71</v>
      </c>
      <c r="AZ912" s="6">
        <v>16.100000000000001</v>
      </c>
      <c r="BA912" s="6">
        <v>25.9</v>
      </c>
    </row>
    <row r="913" spans="1:53" x14ac:dyDescent="0.3">
      <c r="A913" s="6">
        <v>527385805</v>
      </c>
      <c r="B913" s="6">
        <v>660086</v>
      </c>
      <c r="C913" s="6">
        <v>6307805</v>
      </c>
      <c r="D913" s="6">
        <v>2028</v>
      </c>
      <c r="E913" s="6" t="s">
        <v>142</v>
      </c>
      <c r="F913" s="6">
        <v>56025</v>
      </c>
      <c r="G913" s="6" t="s">
        <v>149</v>
      </c>
      <c r="H913" s="10">
        <v>45948</v>
      </c>
      <c r="I913" s="10">
        <v>45948</v>
      </c>
      <c r="J913" s="4">
        <v>45948.013888888891</v>
      </c>
      <c r="K913" s="4">
        <v>45948.221608796295</v>
      </c>
      <c r="L913" s="11">
        <v>45948.223692129628</v>
      </c>
      <c r="M913" s="10">
        <v>45948</v>
      </c>
      <c r="N913" s="6" t="s">
        <v>116</v>
      </c>
      <c r="O913" t="s">
        <v>139</v>
      </c>
      <c r="P913" s="6" t="s">
        <v>59</v>
      </c>
      <c r="Q913" t="s">
        <v>61</v>
      </c>
      <c r="R913" t="s">
        <v>62</v>
      </c>
      <c r="S913" s="6">
        <v>732749</v>
      </c>
      <c r="T913" s="6" t="s">
        <v>1</v>
      </c>
      <c r="U913">
        <v>255</v>
      </c>
      <c r="V913" s="6">
        <v>10</v>
      </c>
      <c r="W913" s="6">
        <v>9.1999999999999993</v>
      </c>
      <c r="X913" s="6">
        <v>255.8</v>
      </c>
      <c r="Y913" s="6">
        <v>275</v>
      </c>
      <c r="Z913" s="6" t="s">
        <v>2</v>
      </c>
      <c r="AA913" t="s">
        <v>535</v>
      </c>
      <c r="AB913" s="6" t="s">
        <v>82</v>
      </c>
      <c r="AC913" t="s">
        <v>76</v>
      </c>
      <c r="AD913" t="s">
        <v>67</v>
      </c>
      <c r="AE913">
        <v>3</v>
      </c>
      <c r="AF913">
        <v>0</v>
      </c>
      <c r="AG913">
        <v>0</v>
      </c>
      <c r="AH913" s="6">
        <v>60.2</v>
      </c>
      <c r="AI913" s="6">
        <v>0</v>
      </c>
      <c r="AJ913" s="6">
        <v>0.65200000000000002</v>
      </c>
      <c r="AK913" s="6">
        <v>0.58199999999999996</v>
      </c>
      <c r="AL913" s="8">
        <v>5221.7299999999996</v>
      </c>
      <c r="AM913" s="6" t="s">
        <v>68</v>
      </c>
      <c r="AN913" s="6">
        <v>1</v>
      </c>
      <c r="AO913" s="6">
        <v>1</v>
      </c>
      <c r="AP913" s="6">
        <v>0</v>
      </c>
      <c r="AQ913" s="6">
        <v>1</v>
      </c>
      <c r="AR913" s="6">
        <v>0</v>
      </c>
      <c r="AS913" s="6">
        <v>1</v>
      </c>
      <c r="AT913" s="6">
        <v>0</v>
      </c>
      <c r="AU913" s="6">
        <v>2.31</v>
      </c>
      <c r="AV913" s="6">
        <v>1.62</v>
      </c>
      <c r="AW913" s="6">
        <v>177.63</v>
      </c>
      <c r="AX913" s="6">
        <v>32.85</v>
      </c>
      <c r="AY913" s="6">
        <v>146.26</v>
      </c>
      <c r="AZ913" s="6">
        <v>15.8</v>
      </c>
      <c r="BA913" s="6">
        <v>12.6</v>
      </c>
    </row>
    <row r="914" spans="1:53" x14ac:dyDescent="0.3">
      <c r="A914" s="6">
        <v>437568796</v>
      </c>
      <c r="B914" s="6">
        <v>974628</v>
      </c>
      <c r="C914" s="6">
        <v>3641282</v>
      </c>
      <c r="D914" s="6">
        <v>6892</v>
      </c>
      <c r="E914" s="6" t="s">
        <v>57</v>
      </c>
      <c r="F914" s="6">
        <v>54408</v>
      </c>
      <c r="G914" s="6" t="s">
        <v>98</v>
      </c>
      <c r="H914" s="10">
        <v>45845</v>
      </c>
      <c r="I914" s="10">
        <v>45845</v>
      </c>
      <c r="J914" s="4">
        <v>45845.597222222219</v>
      </c>
      <c r="K914" s="4">
        <v>45845.835706018515</v>
      </c>
      <c r="L914" s="11">
        <v>45845.841956018521</v>
      </c>
      <c r="M914" s="10">
        <v>45845</v>
      </c>
      <c r="N914" s="6" t="s">
        <v>134</v>
      </c>
      <c r="O914" t="s">
        <v>282</v>
      </c>
      <c r="P914" s="6" t="s">
        <v>129</v>
      </c>
      <c r="Q914" t="s">
        <v>130</v>
      </c>
      <c r="R914" t="s">
        <v>123</v>
      </c>
      <c r="S914" s="6">
        <v>702410</v>
      </c>
      <c r="T914" s="6" t="s">
        <v>1</v>
      </c>
      <c r="U914">
        <v>222</v>
      </c>
      <c r="V914" s="6">
        <v>23.2</v>
      </c>
      <c r="W914" s="6">
        <v>14.6</v>
      </c>
      <c r="X914" s="6">
        <v>225</v>
      </c>
      <c r="Y914" s="6">
        <v>262.8</v>
      </c>
      <c r="Z914" s="6" t="s">
        <v>63</v>
      </c>
      <c r="AA914" t="s">
        <v>860</v>
      </c>
      <c r="AB914" s="6" t="s">
        <v>90</v>
      </c>
      <c r="AC914" t="s">
        <v>83</v>
      </c>
      <c r="AD914" t="s">
        <v>67</v>
      </c>
      <c r="AE914">
        <v>9</v>
      </c>
      <c r="AF914">
        <v>0</v>
      </c>
      <c r="AG914">
        <v>0</v>
      </c>
      <c r="AH914" s="6">
        <v>31.2</v>
      </c>
      <c r="AI914" s="6">
        <v>0</v>
      </c>
      <c r="AJ914" s="6">
        <v>0.61199999999999999</v>
      </c>
      <c r="AK914" s="6">
        <v>0.56699999999999995</v>
      </c>
      <c r="AL914" s="8">
        <v>1847.85</v>
      </c>
      <c r="AM914" s="6" t="s">
        <v>68</v>
      </c>
      <c r="AN914" s="6">
        <v>1</v>
      </c>
      <c r="AO914" s="6">
        <v>1</v>
      </c>
      <c r="AP914" s="6">
        <v>0</v>
      </c>
      <c r="AQ914" s="6">
        <v>1</v>
      </c>
      <c r="AR914" s="6">
        <v>0</v>
      </c>
      <c r="AS914" s="6">
        <v>1</v>
      </c>
      <c r="AT914" s="6">
        <v>0</v>
      </c>
      <c r="AU914" s="6">
        <v>2.2799999999999998</v>
      </c>
      <c r="AV914" s="6">
        <v>1.82</v>
      </c>
      <c r="AW914" s="6">
        <v>241.27</v>
      </c>
      <c r="AX914" s="6">
        <v>27.21</v>
      </c>
      <c r="AY914" s="6">
        <v>142.53</v>
      </c>
      <c r="AZ914" s="6">
        <v>1.4</v>
      </c>
      <c r="BA914" s="6">
        <v>1.8</v>
      </c>
    </row>
    <row r="915" spans="1:53" x14ac:dyDescent="0.3">
      <c r="A915" s="6">
        <v>797460535</v>
      </c>
      <c r="B915" s="6">
        <v>766563</v>
      </c>
      <c r="C915" s="6">
        <v>9910817</v>
      </c>
      <c r="D915" s="6">
        <v>1391</v>
      </c>
      <c r="E915" s="6" t="s">
        <v>185</v>
      </c>
      <c r="F915" s="6">
        <v>55113</v>
      </c>
      <c r="G915" s="6" t="s">
        <v>69</v>
      </c>
      <c r="H915" s="10">
        <v>45705</v>
      </c>
      <c r="I915" s="10">
        <v>45705</v>
      </c>
      <c r="J915" s="4">
        <v>45705.5625</v>
      </c>
      <c r="K915" s="4">
        <v>45705.791967592595</v>
      </c>
      <c r="L915" s="11">
        <v>45705.760717592595</v>
      </c>
      <c r="M915" s="10">
        <v>45705</v>
      </c>
      <c r="N915" s="6" t="s">
        <v>59</v>
      </c>
      <c r="O915" t="s">
        <v>85</v>
      </c>
      <c r="P915" s="6" t="s">
        <v>59</v>
      </c>
      <c r="Q915" t="s">
        <v>60</v>
      </c>
      <c r="R915" t="s">
        <v>62</v>
      </c>
      <c r="S915" s="6">
        <v>797593</v>
      </c>
      <c r="T915" s="6" t="s">
        <v>1</v>
      </c>
      <c r="U915">
        <v>236</v>
      </c>
      <c r="V915" s="6">
        <v>33.299999999999997</v>
      </c>
      <c r="W915" s="6">
        <v>3.5</v>
      </c>
      <c r="X915" s="6">
        <v>231.9</v>
      </c>
      <c r="Y915" s="6">
        <v>268.7</v>
      </c>
      <c r="Z915" s="6" t="s">
        <v>80</v>
      </c>
      <c r="AA915" t="s">
        <v>785</v>
      </c>
      <c r="AB915" s="6" t="s">
        <v>75</v>
      </c>
      <c r="AC915" t="s">
        <v>83</v>
      </c>
      <c r="AD915" t="s">
        <v>67</v>
      </c>
      <c r="AE915">
        <v>-45</v>
      </c>
      <c r="AF915">
        <v>0</v>
      </c>
      <c r="AG915">
        <v>0.4</v>
      </c>
      <c r="AH915" s="6">
        <v>70.900000000000006</v>
      </c>
      <c r="AI915" s="6">
        <v>0</v>
      </c>
      <c r="AJ915" s="6">
        <v>0.49099999999999999</v>
      </c>
      <c r="AK915" s="6">
        <v>0.32500000000000001</v>
      </c>
      <c r="AL915" s="8">
        <v>17731.52</v>
      </c>
      <c r="AM915" s="6" t="s">
        <v>114</v>
      </c>
      <c r="AN915" s="6">
        <v>1</v>
      </c>
      <c r="AO915" s="6">
        <v>1</v>
      </c>
      <c r="AP915" s="6">
        <v>0</v>
      </c>
      <c r="AQ915" s="6">
        <v>1</v>
      </c>
      <c r="AR915" s="6">
        <v>0</v>
      </c>
      <c r="AS915" s="6">
        <v>1</v>
      </c>
      <c r="AT915" s="6">
        <v>0</v>
      </c>
      <c r="AU915" s="6">
        <v>2.41</v>
      </c>
      <c r="AV915" s="6">
        <v>1.75</v>
      </c>
      <c r="AW915" s="6">
        <v>217.59</v>
      </c>
      <c r="AX915" s="6">
        <v>27</v>
      </c>
      <c r="AY915" s="6">
        <v>184.91</v>
      </c>
      <c r="AZ915" s="6">
        <v>10</v>
      </c>
      <c r="BA915" s="6">
        <v>24.6</v>
      </c>
    </row>
    <row r="916" spans="1:53" x14ac:dyDescent="0.3">
      <c r="A916" s="6">
        <v>399240862</v>
      </c>
      <c r="B916" s="6">
        <v>321231</v>
      </c>
      <c r="C916" s="6">
        <v>3646552</v>
      </c>
      <c r="D916" s="6">
        <v>5636</v>
      </c>
      <c r="E916" s="6" t="s">
        <v>84</v>
      </c>
      <c r="F916" s="6">
        <v>58419</v>
      </c>
      <c r="G916" s="6" t="s">
        <v>175</v>
      </c>
      <c r="H916" s="10">
        <v>45736</v>
      </c>
      <c r="I916" s="10">
        <v>45736</v>
      </c>
      <c r="J916" s="4">
        <v>45736.503472222219</v>
      </c>
      <c r="K916" s="4">
        <v>45736.631956018522</v>
      </c>
      <c r="L916" s="11">
        <v>45736.632650462961</v>
      </c>
      <c r="M916" s="10">
        <v>45736</v>
      </c>
      <c r="N916" s="6" t="s">
        <v>86</v>
      </c>
      <c r="O916" t="s">
        <v>108</v>
      </c>
      <c r="P916" s="6" t="s">
        <v>78</v>
      </c>
      <c r="Q916" t="s">
        <v>166</v>
      </c>
      <c r="R916" t="s">
        <v>88</v>
      </c>
      <c r="S916" s="6">
        <v>733902</v>
      </c>
      <c r="T916" s="6" t="s">
        <v>1</v>
      </c>
      <c r="U916">
        <v>124</v>
      </c>
      <c r="V916" s="6">
        <v>2.2999999999999998</v>
      </c>
      <c r="W916" s="6">
        <v>39.6</v>
      </c>
      <c r="X916" s="6">
        <v>129.9</v>
      </c>
      <c r="Y916" s="6">
        <v>171.8</v>
      </c>
      <c r="Z916" s="6" t="s">
        <v>63</v>
      </c>
      <c r="AA916" t="s">
        <v>861</v>
      </c>
      <c r="AB916" s="6" t="s">
        <v>75</v>
      </c>
      <c r="AC916" t="s">
        <v>137</v>
      </c>
      <c r="AD916" t="s">
        <v>67</v>
      </c>
      <c r="AE916">
        <v>1</v>
      </c>
      <c r="AF916">
        <v>0</v>
      </c>
      <c r="AG916">
        <v>0</v>
      </c>
      <c r="AH916" s="6">
        <v>35.4</v>
      </c>
      <c r="AI916" s="6">
        <v>0</v>
      </c>
      <c r="AJ916" s="6">
        <v>0.48399999999999999</v>
      </c>
      <c r="AK916" s="6">
        <v>0.50900000000000001</v>
      </c>
      <c r="AL916" s="8">
        <v>5129.04</v>
      </c>
      <c r="AM916" s="6" t="s">
        <v>68</v>
      </c>
      <c r="AN916" s="6">
        <v>1</v>
      </c>
      <c r="AO916" s="6">
        <v>1</v>
      </c>
      <c r="AP916" s="6">
        <v>0</v>
      </c>
      <c r="AQ916" s="6">
        <v>1</v>
      </c>
      <c r="AR916" s="6">
        <v>0</v>
      </c>
      <c r="AS916" s="6">
        <v>1</v>
      </c>
      <c r="AT916" s="6">
        <v>0</v>
      </c>
      <c r="AU916" s="6">
        <v>1.81</v>
      </c>
      <c r="AV916" s="6">
        <v>1.2</v>
      </c>
      <c r="AW916" s="6">
        <v>130.74</v>
      </c>
      <c r="AX916" s="6">
        <v>36</v>
      </c>
      <c r="AY916" s="6">
        <v>111.75</v>
      </c>
      <c r="AZ916" s="6">
        <v>37.799999999999997</v>
      </c>
      <c r="BA916" s="6">
        <v>10</v>
      </c>
    </row>
    <row r="917" spans="1:53" x14ac:dyDescent="0.3">
      <c r="A917" s="6">
        <v>368018471</v>
      </c>
      <c r="B917" s="6">
        <v>260263</v>
      </c>
      <c r="C917" s="6">
        <v>5674183</v>
      </c>
      <c r="D917" s="6">
        <v>5736</v>
      </c>
      <c r="E917" s="6" t="s">
        <v>185</v>
      </c>
      <c r="F917" s="6">
        <v>52881</v>
      </c>
      <c r="G917" s="6" t="s">
        <v>127</v>
      </c>
      <c r="H917" s="10">
        <v>45897</v>
      </c>
      <c r="I917" s="10">
        <v>45897</v>
      </c>
      <c r="J917" s="4">
        <v>45897.420138888891</v>
      </c>
      <c r="K917" s="4">
        <v>45897.618472222224</v>
      </c>
      <c r="L917" s="11">
        <v>45897.59138888889</v>
      </c>
      <c r="M917" s="10">
        <v>45897</v>
      </c>
      <c r="N917" s="6" t="s">
        <v>170</v>
      </c>
      <c r="O917" t="s">
        <v>171</v>
      </c>
      <c r="P917" s="6" t="s">
        <v>86</v>
      </c>
      <c r="Q917" t="s">
        <v>108</v>
      </c>
      <c r="R917" t="s">
        <v>88</v>
      </c>
      <c r="S917" s="6">
        <v>792123</v>
      </c>
      <c r="T917" s="6" t="s">
        <v>1</v>
      </c>
      <c r="U917">
        <v>206</v>
      </c>
      <c r="V917" s="6">
        <v>19.600000000000001</v>
      </c>
      <c r="W917" s="6">
        <v>28.4</v>
      </c>
      <c r="X917" s="6">
        <v>202.7</v>
      </c>
      <c r="Y917" s="6">
        <v>250.7</v>
      </c>
      <c r="Z917" s="6" t="s">
        <v>2</v>
      </c>
      <c r="AA917" t="s">
        <v>862</v>
      </c>
      <c r="AB917" s="6" t="s">
        <v>75</v>
      </c>
      <c r="AC917" t="s">
        <v>137</v>
      </c>
      <c r="AD917" t="s">
        <v>67</v>
      </c>
      <c r="AE917">
        <v>-39</v>
      </c>
      <c r="AF917">
        <v>0</v>
      </c>
      <c r="AG917">
        <v>0</v>
      </c>
      <c r="AH917" s="6">
        <v>42</v>
      </c>
      <c r="AI917" s="6">
        <v>0</v>
      </c>
      <c r="AJ917" s="6">
        <v>0.83399999999999996</v>
      </c>
      <c r="AK917" s="6">
        <v>0.71699999999999997</v>
      </c>
      <c r="AL917" s="8">
        <v>7440.56</v>
      </c>
      <c r="AM917" s="6" t="s">
        <v>68</v>
      </c>
      <c r="AN917" s="6">
        <v>1</v>
      </c>
      <c r="AO917" s="6">
        <v>1</v>
      </c>
      <c r="AP917" s="6">
        <v>0</v>
      </c>
      <c r="AQ917" s="6">
        <v>1</v>
      </c>
      <c r="AR917" s="6">
        <v>0</v>
      </c>
      <c r="AS917" s="6">
        <v>1</v>
      </c>
      <c r="AT917" s="6">
        <v>0</v>
      </c>
      <c r="AU917" s="6">
        <v>2.37</v>
      </c>
      <c r="AV917" s="6">
        <v>1.77</v>
      </c>
      <c r="AW917" s="6">
        <v>178.81</v>
      </c>
      <c r="AX917" s="6">
        <v>29.64</v>
      </c>
      <c r="AY917" s="6">
        <v>153.57</v>
      </c>
      <c r="AZ917" s="6">
        <v>30.8</v>
      </c>
      <c r="BA917" s="6">
        <v>24.1</v>
      </c>
    </row>
    <row r="918" spans="1:53" x14ac:dyDescent="0.3">
      <c r="A918" s="6">
        <v>221814525</v>
      </c>
      <c r="B918" s="6">
        <v>575435</v>
      </c>
      <c r="C918" s="6">
        <v>9436429</v>
      </c>
      <c r="D918" s="6">
        <v>7736</v>
      </c>
      <c r="E918" s="6" t="s">
        <v>225</v>
      </c>
      <c r="F918" s="6">
        <v>52865</v>
      </c>
      <c r="G918" s="6" t="s">
        <v>235</v>
      </c>
      <c r="H918" s="10">
        <v>45798</v>
      </c>
      <c r="I918" s="10">
        <v>45798</v>
      </c>
      <c r="J918" s="4">
        <v>45798.288194444445</v>
      </c>
      <c r="K918" s="4">
        <v>45798.366249999999</v>
      </c>
      <c r="L918" s="11">
        <v>45798.365555555552</v>
      </c>
      <c r="M918" s="10">
        <v>45798</v>
      </c>
      <c r="N918" s="6" t="s">
        <v>129</v>
      </c>
      <c r="O918" t="s">
        <v>156</v>
      </c>
      <c r="P918" s="6" t="s">
        <v>109</v>
      </c>
      <c r="Q918" t="s">
        <v>193</v>
      </c>
      <c r="R918" t="s">
        <v>88</v>
      </c>
      <c r="S918" s="6">
        <v>776304</v>
      </c>
      <c r="T918" s="6" t="s">
        <v>3</v>
      </c>
      <c r="U918">
        <v>37</v>
      </c>
      <c r="V918" s="6">
        <v>13.4</v>
      </c>
      <c r="W918" s="6">
        <v>32.799999999999997</v>
      </c>
      <c r="X918" s="6">
        <v>39.700000000000003</v>
      </c>
      <c r="Y918" s="6">
        <v>85.9</v>
      </c>
      <c r="Z918" s="6" t="s">
        <v>80</v>
      </c>
      <c r="AA918" t="s">
        <v>863</v>
      </c>
      <c r="AB918" s="6" t="s">
        <v>97</v>
      </c>
      <c r="AC918" t="s">
        <v>125</v>
      </c>
      <c r="AD918" t="s">
        <v>67</v>
      </c>
      <c r="AE918">
        <v>-1</v>
      </c>
      <c r="AF918">
        <v>0</v>
      </c>
      <c r="AG918">
        <v>0</v>
      </c>
      <c r="AH918" s="6">
        <v>42.2</v>
      </c>
      <c r="AI918" s="6">
        <v>0</v>
      </c>
      <c r="AJ918" s="6">
        <v>0.78800000000000003</v>
      </c>
      <c r="AK918" s="6">
        <v>0.72699999999999998</v>
      </c>
      <c r="AL918" s="8">
        <v>14067.45</v>
      </c>
      <c r="AM918" s="6" t="s">
        <v>114</v>
      </c>
      <c r="AN918" s="6">
        <v>1</v>
      </c>
      <c r="AO918" s="6">
        <v>1</v>
      </c>
      <c r="AP918" s="6">
        <v>0</v>
      </c>
      <c r="AQ918" s="6">
        <v>1</v>
      </c>
      <c r="AR918" s="6">
        <v>0</v>
      </c>
      <c r="AS918" s="6">
        <v>1</v>
      </c>
      <c r="AT918" s="6">
        <v>0</v>
      </c>
      <c r="AU918" s="6">
        <v>1.99</v>
      </c>
      <c r="AV918" s="6">
        <v>1.38</v>
      </c>
      <c r="AW918" s="6">
        <v>63.7</v>
      </c>
      <c r="AX918" s="6">
        <v>13.08</v>
      </c>
      <c r="AY918" s="6">
        <v>41.66</v>
      </c>
      <c r="AZ918" s="6">
        <v>17.2</v>
      </c>
      <c r="BA918" s="6">
        <v>31.1</v>
      </c>
    </row>
    <row r="919" spans="1:53" x14ac:dyDescent="0.3">
      <c r="A919" s="6">
        <v>127824235</v>
      </c>
      <c r="B919" s="6">
        <v>321231</v>
      </c>
      <c r="C919" s="6">
        <v>3646552</v>
      </c>
      <c r="D919" s="6">
        <v>5636</v>
      </c>
      <c r="E919" s="6" t="s">
        <v>84</v>
      </c>
      <c r="F919" s="6">
        <v>52575</v>
      </c>
      <c r="G919" s="6" t="s">
        <v>146</v>
      </c>
      <c r="H919" s="10">
        <v>45963</v>
      </c>
      <c r="I919" s="10">
        <v>45963</v>
      </c>
      <c r="J919" s="4">
        <v>45963.472222222219</v>
      </c>
      <c r="K919" s="4">
        <v>45963.799988425926</v>
      </c>
      <c r="L919" s="11">
        <v>45963.776377314818</v>
      </c>
      <c r="M919" s="10">
        <v>45963</v>
      </c>
      <c r="N919" s="6" t="s">
        <v>103</v>
      </c>
      <c r="O919" t="s">
        <v>204</v>
      </c>
      <c r="P919" s="6" t="s">
        <v>176</v>
      </c>
      <c r="Q919" t="s">
        <v>316</v>
      </c>
      <c r="R919" t="s">
        <v>88</v>
      </c>
      <c r="S919" s="6">
        <v>711537</v>
      </c>
      <c r="T919" s="6" t="s">
        <v>111</v>
      </c>
      <c r="U919">
        <v>337</v>
      </c>
      <c r="V919" s="6">
        <v>43.1</v>
      </c>
      <c r="W919" s="6">
        <v>25.4</v>
      </c>
      <c r="X919" s="6">
        <v>338.3</v>
      </c>
      <c r="Y919" s="6">
        <v>406.8</v>
      </c>
      <c r="Z919" s="6" t="s">
        <v>63</v>
      </c>
      <c r="AA919" t="s">
        <v>145</v>
      </c>
      <c r="AB919" s="6" t="s">
        <v>75</v>
      </c>
      <c r="AC919" t="s">
        <v>91</v>
      </c>
      <c r="AD919" t="s">
        <v>67</v>
      </c>
      <c r="AE919">
        <v>-34</v>
      </c>
      <c r="AF919">
        <v>0</v>
      </c>
      <c r="AG919">
        <v>0</v>
      </c>
      <c r="AH919" s="6">
        <v>61.7</v>
      </c>
      <c r="AI919" s="6">
        <v>0</v>
      </c>
      <c r="AJ919" s="6">
        <v>0.74199999999999999</v>
      </c>
      <c r="AK919" s="6">
        <v>0.55400000000000005</v>
      </c>
      <c r="AL919" s="8">
        <v>5868.29</v>
      </c>
      <c r="AM919" s="6" t="s">
        <v>68</v>
      </c>
      <c r="AN919" s="6">
        <v>1</v>
      </c>
      <c r="AO919" s="6">
        <v>1</v>
      </c>
      <c r="AP919" s="6">
        <v>0</v>
      </c>
      <c r="AQ919" s="6">
        <v>1</v>
      </c>
      <c r="AR919" s="6">
        <v>0</v>
      </c>
      <c r="AS919" s="6">
        <v>1</v>
      </c>
      <c r="AT919" s="6">
        <v>0</v>
      </c>
      <c r="AU919" s="6">
        <v>2.37</v>
      </c>
      <c r="AV919" s="6">
        <v>1.79</v>
      </c>
      <c r="AW919" s="6">
        <v>347.7</v>
      </c>
      <c r="AX919" s="6">
        <v>43.47</v>
      </c>
      <c r="AY919" s="6">
        <v>275.44</v>
      </c>
      <c r="AZ919" s="6">
        <v>37.799999999999997</v>
      </c>
      <c r="BA919" s="6">
        <v>16.3</v>
      </c>
    </row>
    <row r="920" spans="1:53" x14ac:dyDescent="0.3">
      <c r="A920" s="6">
        <v>889924866</v>
      </c>
      <c r="B920" s="6">
        <v>503457</v>
      </c>
      <c r="C920" s="6">
        <v>8210624</v>
      </c>
      <c r="D920" s="6">
        <v>8392</v>
      </c>
      <c r="E920" s="6" t="s">
        <v>225</v>
      </c>
      <c r="F920" s="6">
        <v>56185</v>
      </c>
      <c r="G920" s="6" t="s">
        <v>69</v>
      </c>
      <c r="H920" s="10">
        <v>46004</v>
      </c>
      <c r="I920" s="10">
        <v>46004</v>
      </c>
      <c r="J920" s="4">
        <v>46004.555555555555</v>
      </c>
      <c r="K920" s="4">
        <v>46004.637615740743</v>
      </c>
      <c r="L920" s="11">
        <v>46004.630671296298</v>
      </c>
      <c r="M920" s="10">
        <v>46004</v>
      </c>
      <c r="N920" s="6" t="s">
        <v>86</v>
      </c>
      <c r="O920" t="s">
        <v>268</v>
      </c>
      <c r="P920" s="6" t="s">
        <v>132</v>
      </c>
      <c r="Q920" t="s">
        <v>181</v>
      </c>
      <c r="R920" t="s">
        <v>62</v>
      </c>
      <c r="S920" s="6">
        <v>772918</v>
      </c>
      <c r="T920" s="6" t="s">
        <v>3</v>
      </c>
      <c r="U920">
        <v>79</v>
      </c>
      <c r="V920" s="6">
        <v>5.0999999999999996</v>
      </c>
      <c r="W920" s="6">
        <v>21.8</v>
      </c>
      <c r="X920" s="6">
        <v>74.900000000000006</v>
      </c>
      <c r="Y920" s="6">
        <v>101.8</v>
      </c>
      <c r="Z920" s="6" t="s">
        <v>63</v>
      </c>
      <c r="AA920" t="s">
        <v>657</v>
      </c>
      <c r="AB920" s="6" t="s">
        <v>75</v>
      </c>
      <c r="AC920" t="s">
        <v>76</v>
      </c>
      <c r="AD920" t="s">
        <v>67</v>
      </c>
      <c r="AE920">
        <v>-10</v>
      </c>
      <c r="AF920">
        <v>0</v>
      </c>
      <c r="AG920">
        <v>0</v>
      </c>
      <c r="AH920" s="6">
        <v>21.9</v>
      </c>
      <c r="AI920" s="6">
        <v>0</v>
      </c>
      <c r="AJ920" s="6">
        <v>0.69299999999999995</v>
      </c>
      <c r="AK920" s="6">
        <v>0.48399999999999999</v>
      </c>
      <c r="AL920" s="8">
        <v>1576.46</v>
      </c>
      <c r="AM920" s="6" t="s">
        <v>68</v>
      </c>
      <c r="AN920" s="6">
        <v>1</v>
      </c>
      <c r="AO920" s="6">
        <v>1</v>
      </c>
      <c r="AP920" s="6">
        <v>0</v>
      </c>
      <c r="AQ920" s="6">
        <v>1</v>
      </c>
      <c r="AR920" s="6">
        <v>0</v>
      </c>
      <c r="AS920" s="6">
        <v>1</v>
      </c>
      <c r="AT920" s="6">
        <v>0</v>
      </c>
      <c r="AU920" s="6">
        <v>2.25</v>
      </c>
      <c r="AV920" s="6">
        <v>1.72</v>
      </c>
      <c r="AW920" s="6">
        <v>67.37</v>
      </c>
      <c r="AX920" s="6">
        <v>14.74</v>
      </c>
      <c r="AY920" s="6">
        <v>62.36</v>
      </c>
      <c r="AZ920" s="6">
        <v>6.5</v>
      </c>
      <c r="BA920" s="6">
        <v>45</v>
      </c>
    </row>
    <row r="921" spans="1:53" x14ac:dyDescent="0.3">
      <c r="A921" s="6">
        <v>299767568</v>
      </c>
      <c r="B921" s="6">
        <v>230889</v>
      </c>
      <c r="C921" s="6">
        <v>9147706</v>
      </c>
      <c r="D921" s="6">
        <v>2016</v>
      </c>
      <c r="E921" s="6" t="s">
        <v>84</v>
      </c>
      <c r="F921" s="6">
        <v>58656</v>
      </c>
      <c r="G921" s="6" t="s">
        <v>164</v>
      </c>
      <c r="H921" s="10">
        <v>45952</v>
      </c>
      <c r="I921" s="10">
        <v>45952</v>
      </c>
      <c r="J921" s="4">
        <v>45952.5625</v>
      </c>
      <c r="K921" s="4">
        <v>45952.675000000003</v>
      </c>
      <c r="L921" s="11">
        <v>45952.686111111114</v>
      </c>
      <c r="M921" s="10">
        <v>45952</v>
      </c>
      <c r="N921" s="6" t="s">
        <v>176</v>
      </c>
      <c r="O921" t="s">
        <v>355</v>
      </c>
      <c r="P921" s="6" t="s">
        <v>176</v>
      </c>
      <c r="Q921" t="s">
        <v>355</v>
      </c>
      <c r="R921" t="s">
        <v>88</v>
      </c>
      <c r="S921" s="6">
        <v>745653</v>
      </c>
      <c r="T921" s="6" t="s">
        <v>3</v>
      </c>
      <c r="U921">
        <v>102</v>
      </c>
      <c r="V921" s="6">
        <v>33.299999999999997</v>
      </c>
      <c r="W921" s="6">
        <v>9.3000000000000007</v>
      </c>
      <c r="X921" s="6">
        <v>111.7</v>
      </c>
      <c r="Y921" s="6">
        <v>154.30000000000001</v>
      </c>
      <c r="Z921" s="6" t="s">
        <v>2</v>
      </c>
      <c r="AA921" t="s">
        <v>864</v>
      </c>
      <c r="AB921" s="6" t="s">
        <v>75</v>
      </c>
      <c r="AC921" t="s">
        <v>125</v>
      </c>
      <c r="AD921" t="s">
        <v>67</v>
      </c>
      <c r="AE921">
        <v>16</v>
      </c>
      <c r="AF921">
        <v>0</v>
      </c>
      <c r="AG921">
        <v>0</v>
      </c>
      <c r="AH921" s="6">
        <v>44.8</v>
      </c>
      <c r="AI921" s="6">
        <v>0</v>
      </c>
      <c r="AJ921" s="6">
        <v>0.6</v>
      </c>
      <c r="AK921" s="6">
        <v>0.42699999999999999</v>
      </c>
      <c r="AL921" s="8">
        <v>21286.639999999999</v>
      </c>
      <c r="AM921" s="6" t="s">
        <v>114</v>
      </c>
      <c r="AN921" s="6">
        <v>1</v>
      </c>
      <c r="AO921" s="6">
        <v>0</v>
      </c>
      <c r="AP921" s="6">
        <v>1</v>
      </c>
      <c r="AQ921" s="6">
        <v>0</v>
      </c>
      <c r="AR921" s="6">
        <v>1</v>
      </c>
      <c r="AS921" s="6">
        <v>0</v>
      </c>
      <c r="AT921" s="6">
        <v>1</v>
      </c>
      <c r="AU921" s="6">
        <v>2.74</v>
      </c>
      <c r="AV921" s="6">
        <v>1.96</v>
      </c>
      <c r="AW921" s="6">
        <v>107.36</v>
      </c>
      <c r="AX921" s="6">
        <v>29.97</v>
      </c>
      <c r="AY921" s="6">
        <v>97.3</v>
      </c>
      <c r="AZ921" s="6">
        <v>28.3</v>
      </c>
      <c r="BA921" s="6">
        <v>3.1</v>
      </c>
    </row>
    <row r="922" spans="1:53" x14ac:dyDescent="0.3">
      <c r="A922" s="6">
        <v>635844374</v>
      </c>
      <c r="B922" s="6">
        <v>182627</v>
      </c>
      <c r="C922" s="6">
        <v>4586084</v>
      </c>
      <c r="D922" s="6">
        <v>7439</v>
      </c>
      <c r="E922" s="6" t="s">
        <v>225</v>
      </c>
      <c r="F922" s="6">
        <v>55741</v>
      </c>
      <c r="G922" s="6" t="s">
        <v>127</v>
      </c>
      <c r="H922" s="10">
        <v>45795</v>
      </c>
      <c r="I922" s="10">
        <v>45795</v>
      </c>
      <c r="J922" s="4">
        <v>45795.663194444445</v>
      </c>
      <c r="K922" s="4">
        <v>45795.990833333337</v>
      </c>
      <c r="L922" s="11">
        <v>45795.99291666667</v>
      </c>
      <c r="M922" s="10">
        <v>45795</v>
      </c>
      <c r="N922" s="6" t="s">
        <v>176</v>
      </c>
      <c r="O922" t="s">
        <v>292</v>
      </c>
      <c r="P922" s="6" t="s">
        <v>109</v>
      </c>
      <c r="Q922" t="s">
        <v>198</v>
      </c>
      <c r="R922" t="s">
        <v>88</v>
      </c>
      <c r="S922" s="6">
        <v>742390</v>
      </c>
      <c r="T922" s="6" t="s">
        <v>111</v>
      </c>
      <c r="U922">
        <v>382</v>
      </c>
      <c r="V922" s="6">
        <v>21.1</v>
      </c>
      <c r="W922" s="6">
        <v>15.6</v>
      </c>
      <c r="X922" s="6">
        <v>392.3</v>
      </c>
      <c r="Y922" s="6">
        <v>429</v>
      </c>
      <c r="Z922" s="6" t="s">
        <v>2</v>
      </c>
      <c r="AA922" t="s">
        <v>323</v>
      </c>
      <c r="AB922" s="6" t="s">
        <v>90</v>
      </c>
      <c r="AC922" t="s">
        <v>91</v>
      </c>
      <c r="AD922" t="s">
        <v>67</v>
      </c>
      <c r="AE922">
        <v>3</v>
      </c>
      <c r="AF922">
        <v>0</v>
      </c>
      <c r="AG922">
        <v>0</v>
      </c>
      <c r="AH922" s="6">
        <v>36.5</v>
      </c>
      <c r="AI922" s="6">
        <v>0</v>
      </c>
      <c r="AJ922" s="6">
        <v>0.81699999999999995</v>
      </c>
      <c r="AK922" s="6">
        <v>0.79400000000000004</v>
      </c>
      <c r="AL922" s="8">
        <v>4196.03</v>
      </c>
      <c r="AM922" s="6" t="s">
        <v>68</v>
      </c>
      <c r="AN922" s="6">
        <v>1</v>
      </c>
      <c r="AO922" s="6">
        <v>1</v>
      </c>
      <c r="AP922" s="6">
        <v>0</v>
      </c>
      <c r="AQ922" s="6">
        <v>1</v>
      </c>
      <c r="AR922" s="6">
        <v>0</v>
      </c>
      <c r="AS922" s="6">
        <v>1</v>
      </c>
      <c r="AT922" s="6">
        <v>0</v>
      </c>
      <c r="AU922" s="6">
        <v>2.5</v>
      </c>
      <c r="AV922" s="6">
        <v>1.93</v>
      </c>
      <c r="AW922" s="6">
        <v>281.89999999999998</v>
      </c>
      <c r="AX922" s="6">
        <v>63.84</v>
      </c>
      <c r="AY922" s="6">
        <v>212.68</v>
      </c>
      <c r="AZ922" s="6">
        <v>15.2</v>
      </c>
      <c r="BA922" s="6">
        <v>43.2</v>
      </c>
    </row>
    <row r="923" spans="1:53" x14ac:dyDescent="0.3">
      <c r="A923" s="6">
        <v>655924752</v>
      </c>
      <c r="B923" s="6">
        <v>791798</v>
      </c>
      <c r="C923" s="6">
        <v>6539837</v>
      </c>
      <c r="D923" s="6">
        <v>5433</v>
      </c>
      <c r="E923" s="6" t="s">
        <v>225</v>
      </c>
      <c r="F923" s="6">
        <v>50277</v>
      </c>
      <c r="G923" s="6" t="s">
        <v>58</v>
      </c>
      <c r="H923" s="10">
        <v>45945</v>
      </c>
      <c r="I923" s="10">
        <v>45945</v>
      </c>
      <c r="J923" s="4">
        <v>45945.534722222219</v>
      </c>
      <c r="K923" s="4">
        <v>45945.837881944448</v>
      </c>
      <c r="L923" s="11">
        <v>45945.811493055553</v>
      </c>
      <c r="M923" s="10">
        <v>45945</v>
      </c>
      <c r="N923" s="6" t="s">
        <v>78</v>
      </c>
      <c r="O923" t="s">
        <v>79</v>
      </c>
      <c r="P923" s="6" t="s">
        <v>176</v>
      </c>
      <c r="Q923" t="s">
        <v>316</v>
      </c>
      <c r="R923" t="s">
        <v>88</v>
      </c>
      <c r="S923" s="6">
        <v>795484</v>
      </c>
      <c r="T923" s="6" t="s">
        <v>111</v>
      </c>
      <c r="U923">
        <v>337</v>
      </c>
      <c r="V923" s="6">
        <v>19.8</v>
      </c>
      <c r="W923" s="6">
        <v>43.1</v>
      </c>
      <c r="X923" s="6">
        <v>331.5</v>
      </c>
      <c r="Y923" s="6">
        <v>394.4</v>
      </c>
      <c r="Z923" s="6" t="s">
        <v>112</v>
      </c>
      <c r="AA923" t="s">
        <v>578</v>
      </c>
      <c r="AB923" s="6" t="s">
        <v>75</v>
      </c>
      <c r="AC923" t="s">
        <v>125</v>
      </c>
      <c r="AD923" t="s">
        <v>67</v>
      </c>
      <c r="AE923">
        <v>-38</v>
      </c>
      <c r="AF923">
        <v>0</v>
      </c>
      <c r="AG923">
        <v>0</v>
      </c>
      <c r="AH923" s="6">
        <v>87.6</v>
      </c>
      <c r="AI923" s="6">
        <v>0</v>
      </c>
      <c r="AJ923" s="6">
        <v>0.70899999999999996</v>
      </c>
      <c r="AK923" s="6">
        <v>0.68500000000000005</v>
      </c>
      <c r="AL923" s="8">
        <v>11837</v>
      </c>
      <c r="AM923" s="6" t="s">
        <v>114</v>
      </c>
      <c r="AN923" s="6">
        <v>1</v>
      </c>
      <c r="AO923" s="6">
        <v>1</v>
      </c>
      <c r="AP923" s="6">
        <v>0</v>
      </c>
      <c r="AQ923" s="6">
        <v>1</v>
      </c>
      <c r="AR923" s="6">
        <v>0</v>
      </c>
      <c r="AS923" s="6">
        <v>1</v>
      </c>
      <c r="AT923" s="6">
        <v>0</v>
      </c>
      <c r="AU923" s="6">
        <v>2.2000000000000002</v>
      </c>
      <c r="AV923" s="6">
        <v>1.47</v>
      </c>
      <c r="AW923" s="6">
        <v>295.01</v>
      </c>
      <c r="AX923" s="6">
        <v>76.150000000000006</v>
      </c>
      <c r="AY923" s="6">
        <v>266.44</v>
      </c>
      <c r="AZ923" s="6">
        <v>11.5</v>
      </c>
      <c r="BA923" s="6">
        <v>20.9</v>
      </c>
    </row>
    <row r="924" spans="1:53" x14ac:dyDescent="0.3">
      <c r="A924" s="6">
        <v>515524530</v>
      </c>
      <c r="B924" s="6">
        <v>814825</v>
      </c>
      <c r="C924" s="6">
        <v>7817881</v>
      </c>
      <c r="D924" s="6">
        <v>9958</v>
      </c>
      <c r="E924" s="6" t="s">
        <v>84</v>
      </c>
      <c r="F924" s="6">
        <v>50065</v>
      </c>
      <c r="G924" s="6" t="s">
        <v>127</v>
      </c>
      <c r="H924" s="10">
        <v>45786</v>
      </c>
      <c r="I924" s="10">
        <v>45786</v>
      </c>
      <c r="J924" s="4">
        <v>45786.503472222219</v>
      </c>
      <c r="K924" s="4">
        <v>45786.893449074072</v>
      </c>
      <c r="L924" s="11">
        <v>45786.949004629627</v>
      </c>
      <c r="M924" s="10">
        <v>45786</v>
      </c>
      <c r="N924" s="6" t="s">
        <v>150</v>
      </c>
      <c r="O924" t="s">
        <v>311</v>
      </c>
      <c r="P924" s="6" t="s">
        <v>78</v>
      </c>
      <c r="Q924" t="s">
        <v>147</v>
      </c>
      <c r="R924" t="s">
        <v>88</v>
      </c>
      <c r="S924" s="6">
        <v>781396</v>
      </c>
      <c r="T924" s="6" t="s">
        <v>111</v>
      </c>
      <c r="U924">
        <v>439</v>
      </c>
      <c r="V924" s="6">
        <v>33.799999999999997</v>
      </c>
      <c r="W924" s="6">
        <v>31.8</v>
      </c>
      <c r="X924" s="6">
        <v>443.8</v>
      </c>
      <c r="Y924" s="6">
        <v>509.4</v>
      </c>
      <c r="Z924" s="6" t="s">
        <v>63</v>
      </c>
      <c r="AA924" t="s">
        <v>865</v>
      </c>
      <c r="AB924" s="6" t="s">
        <v>75</v>
      </c>
      <c r="AC924" t="s">
        <v>154</v>
      </c>
      <c r="AD924" t="s">
        <v>206</v>
      </c>
      <c r="AE924">
        <v>80</v>
      </c>
      <c r="AF924">
        <v>167</v>
      </c>
      <c r="AG924">
        <v>0</v>
      </c>
      <c r="AH924" s="6">
        <v>28.5</v>
      </c>
      <c r="AI924" s="6">
        <v>0</v>
      </c>
      <c r="AJ924" s="6">
        <v>0.71599999999999997</v>
      </c>
      <c r="AK924" s="6">
        <v>0.57599999999999996</v>
      </c>
      <c r="AL924" s="8">
        <v>48327.46</v>
      </c>
      <c r="AM924" s="6" t="s">
        <v>155</v>
      </c>
      <c r="AN924" s="6">
        <v>1</v>
      </c>
      <c r="AO924" s="6">
        <v>0</v>
      </c>
      <c r="AP924" s="6">
        <v>1</v>
      </c>
      <c r="AQ924" s="6">
        <v>0</v>
      </c>
      <c r="AR924" s="6">
        <v>1</v>
      </c>
      <c r="AS924" s="6">
        <v>0</v>
      </c>
      <c r="AT924" s="6">
        <v>1</v>
      </c>
      <c r="AU924" s="6">
        <v>2.11</v>
      </c>
      <c r="AV924" s="6">
        <v>1.25</v>
      </c>
      <c r="AW924" s="6">
        <v>375</v>
      </c>
      <c r="AX924" s="6">
        <v>93.05</v>
      </c>
      <c r="AY924" s="6">
        <v>346.23</v>
      </c>
      <c r="AZ924" s="6">
        <v>11.6</v>
      </c>
      <c r="BA924" s="6">
        <v>29.4</v>
      </c>
    </row>
    <row r="925" spans="1:53" x14ac:dyDescent="0.3">
      <c r="A925" s="6">
        <v>703091482</v>
      </c>
      <c r="B925" s="6">
        <v>581141</v>
      </c>
      <c r="C925" s="6">
        <v>2936571</v>
      </c>
      <c r="D925" s="6">
        <v>6592</v>
      </c>
      <c r="E925" s="6" t="s">
        <v>57</v>
      </c>
      <c r="F925" s="6">
        <v>54262</v>
      </c>
      <c r="G925" s="6" t="s">
        <v>102</v>
      </c>
      <c r="H925" s="10">
        <v>45718</v>
      </c>
      <c r="I925" s="10">
        <v>45718</v>
      </c>
      <c r="J925" s="4">
        <v>45718.993055555555</v>
      </c>
      <c r="K925" s="4">
        <v>45719.21738425926</v>
      </c>
      <c r="L925" s="11">
        <v>45719.307662037034</v>
      </c>
      <c r="M925" s="10">
        <v>45719</v>
      </c>
      <c r="N925" s="6" t="s">
        <v>59</v>
      </c>
      <c r="O925" t="s">
        <v>167</v>
      </c>
      <c r="P925" s="6" t="s">
        <v>109</v>
      </c>
      <c r="Q925" t="s">
        <v>110</v>
      </c>
      <c r="R925" t="s">
        <v>88</v>
      </c>
      <c r="S925" s="6">
        <v>709390</v>
      </c>
      <c r="T925" s="6" t="s">
        <v>1</v>
      </c>
      <c r="U925">
        <v>292</v>
      </c>
      <c r="V925" s="6">
        <v>15.1</v>
      </c>
      <c r="W925" s="6">
        <v>23.7</v>
      </c>
      <c r="X925" s="6">
        <v>291.3</v>
      </c>
      <c r="Y925" s="6">
        <v>330.1</v>
      </c>
      <c r="Z925" s="6" t="s">
        <v>63</v>
      </c>
      <c r="AA925" t="s">
        <v>866</v>
      </c>
      <c r="AB925" s="6" t="s">
        <v>65</v>
      </c>
      <c r="AC925" t="s">
        <v>91</v>
      </c>
      <c r="AD925" t="s">
        <v>192</v>
      </c>
      <c r="AE925">
        <v>130</v>
      </c>
      <c r="AF925">
        <v>0</v>
      </c>
      <c r="AG925">
        <v>0</v>
      </c>
      <c r="AH925" s="6">
        <v>30</v>
      </c>
      <c r="AI925" s="6">
        <v>0</v>
      </c>
      <c r="AJ925" s="6">
        <v>0.88900000000000001</v>
      </c>
      <c r="AK925" s="6">
        <v>0.32700000000000001</v>
      </c>
      <c r="AL925" s="8">
        <v>1701.73</v>
      </c>
      <c r="AM925" s="6" t="s">
        <v>68</v>
      </c>
      <c r="AN925" s="6">
        <v>1</v>
      </c>
      <c r="AO925" s="6">
        <v>0</v>
      </c>
      <c r="AP925" s="6">
        <v>1</v>
      </c>
      <c r="AQ925" s="6">
        <v>0</v>
      </c>
      <c r="AR925" s="6">
        <v>1</v>
      </c>
      <c r="AS925" s="6">
        <v>0</v>
      </c>
      <c r="AT925" s="6">
        <v>1</v>
      </c>
      <c r="AU925" s="6">
        <v>2.27</v>
      </c>
      <c r="AV925" s="6">
        <v>1.65</v>
      </c>
      <c r="AW925" s="6">
        <v>268.91000000000003</v>
      </c>
      <c r="AX925" s="6">
        <v>53.5</v>
      </c>
      <c r="AY925" s="6">
        <v>228.43</v>
      </c>
      <c r="AZ925" s="6">
        <v>27</v>
      </c>
      <c r="BA925" s="6">
        <v>59.8</v>
      </c>
    </row>
    <row r="926" spans="1:53" x14ac:dyDescent="0.3">
      <c r="A926" s="6">
        <v>226444910</v>
      </c>
      <c r="B926" s="6">
        <v>260265</v>
      </c>
      <c r="C926" s="6">
        <v>8175395</v>
      </c>
      <c r="D926" s="6">
        <v>8280</v>
      </c>
      <c r="E926" s="6" t="s">
        <v>142</v>
      </c>
      <c r="F926" s="6">
        <v>55704</v>
      </c>
      <c r="G926" s="6" t="s">
        <v>77</v>
      </c>
      <c r="H926" s="10">
        <v>45670</v>
      </c>
      <c r="I926" s="10">
        <v>45670</v>
      </c>
      <c r="J926" s="4">
        <v>45670.798611111109</v>
      </c>
      <c r="K926" s="4">
        <v>45671.050787037035</v>
      </c>
      <c r="L926" s="11">
        <v>45671.058425925927</v>
      </c>
      <c r="M926" s="10">
        <v>45671</v>
      </c>
      <c r="N926" s="6" t="s">
        <v>129</v>
      </c>
      <c r="O926" t="s">
        <v>130</v>
      </c>
      <c r="P926" s="6" t="s">
        <v>103</v>
      </c>
      <c r="Q926" t="s">
        <v>204</v>
      </c>
      <c r="R926" t="s">
        <v>73</v>
      </c>
      <c r="S926" s="6">
        <v>747214</v>
      </c>
      <c r="T926" s="6" t="s">
        <v>1</v>
      </c>
      <c r="U926">
        <v>265</v>
      </c>
      <c r="V926" s="6">
        <v>23.9</v>
      </c>
      <c r="W926" s="6">
        <v>15.1</v>
      </c>
      <c r="X926" s="6">
        <v>261</v>
      </c>
      <c r="Y926" s="6">
        <v>300</v>
      </c>
      <c r="Z926" s="6" t="s">
        <v>112</v>
      </c>
      <c r="AA926" t="s">
        <v>599</v>
      </c>
      <c r="AB926" s="6" t="s">
        <v>65</v>
      </c>
      <c r="AC926" t="s">
        <v>83</v>
      </c>
      <c r="AD926" t="s">
        <v>67</v>
      </c>
      <c r="AE926">
        <v>11</v>
      </c>
      <c r="AF926">
        <v>0</v>
      </c>
      <c r="AG926">
        <v>0</v>
      </c>
      <c r="AH926" s="6">
        <v>78.5</v>
      </c>
      <c r="AI926" s="6">
        <v>0</v>
      </c>
      <c r="AJ926" s="6">
        <v>0.71699999999999997</v>
      </c>
      <c r="AK926" s="6">
        <v>0.59599999999999997</v>
      </c>
      <c r="AL926" s="8">
        <v>13075.46</v>
      </c>
      <c r="AM926" s="6" t="s">
        <v>114</v>
      </c>
      <c r="AN926" s="6">
        <v>1</v>
      </c>
      <c r="AO926" s="6">
        <v>1</v>
      </c>
      <c r="AP926" s="6">
        <v>0</v>
      </c>
      <c r="AQ926" s="6">
        <v>1</v>
      </c>
      <c r="AR926" s="6">
        <v>0</v>
      </c>
      <c r="AS926" s="6">
        <v>1</v>
      </c>
      <c r="AT926" s="6">
        <v>0</v>
      </c>
      <c r="AU926" s="6">
        <v>2.54</v>
      </c>
      <c r="AV926" s="6">
        <v>1.9</v>
      </c>
      <c r="AW926" s="6">
        <v>275.61</v>
      </c>
      <c r="AX926" s="6">
        <v>56.56</v>
      </c>
      <c r="AY926" s="6">
        <v>182.02</v>
      </c>
      <c r="AZ926" s="6">
        <v>14.2</v>
      </c>
      <c r="BA926" s="6">
        <v>46.3</v>
      </c>
    </row>
    <row r="927" spans="1:53" x14ac:dyDescent="0.3">
      <c r="A927" s="6">
        <v>381080560</v>
      </c>
      <c r="B927" s="6">
        <v>246316</v>
      </c>
      <c r="C927" s="6">
        <v>1352896</v>
      </c>
      <c r="D927" s="6">
        <v>5426</v>
      </c>
      <c r="E927" s="6" t="s">
        <v>185</v>
      </c>
      <c r="F927" s="6">
        <v>58594</v>
      </c>
      <c r="G927" s="6" t="s">
        <v>149</v>
      </c>
      <c r="H927" s="10">
        <v>45798</v>
      </c>
      <c r="I927" s="10">
        <v>45798</v>
      </c>
      <c r="J927" s="4">
        <v>45798.868055555555</v>
      </c>
      <c r="K927" s="4">
        <v>45799.265810185185</v>
      </c>
      <c r="L927" s="11">
        <v>45799.259560185186</v>
      </c>
      <c r="M927" s="10">
        <v>45799</v>
      </c>
      <c r="N927" s="6" t="s">
        <v>170</v>
      </c>
      <c r="O927" t="s">
        <v>189</v>
      </c>
      <c r="P927" s="6" t="s">
        <v>129</v>
      </c>
      <c r="Q927" t="s">
        <v>241</v>
      </c>
      <c r="R927" t="s">
        <v>123</v>
      </c>
      <c r="S927" s="6">
        <v>737226</v>
      </c>
      <c r="T927" s="6" t="s">
        <v>111</v>
      </c>
      <c r="U927">
        <v>489</v>
      </c>
      <c r="V927" s="6">
        <v>42</v>
      </c>
      <c r="W927" s="6">
        <v>15.2</v>
      </c>
      <c r="X927" s="6">
        <v>491.2</v>
      </c>
      <c r="Y927" s="6">
        <v>548.4</v>
      </c>
      <c r="Z927" s="6" t="s">
        <v>63</v>
      </c>
      <c r="AA927" t="s">
        <v>638</v>
      </c>
      <c r="AB927" s="6" t="s">
        <v>65</v>
      </c>
      <c r="AC927" t="s">
        <v>125</v>
      </c>
      <c r="AD927" t="s">
        <v>67</v>
      </c>
      <c r="AE927">
        <v>-9</v>
      </c>
      <c r="AF927">
        <v>0</v>
      </c>
      <c r="AG927">
        <v>0</v>
      </c>
      <c r="AH927" s="6">
        <v>68.8</v>
      </c>
      <c r="AI927" s="6">
        <v>0</v>
      </c>
      <c r="AJ927" s="6">
        <v>0.81499999999999995</v>
      </c>
      <c r="AK927" s="6">
        <v>0.71699999999999997</v>
      </c>
      <c r="AL927" s="8">
        <v>5933.89</v>
      </c>
      <c r="AM927" s="6" t="s">
        <v>68</v>
      </c>
      <c r="AN927" s="6">
        <v>1</v>
      </c>
      <c r="AO927" s="6">
        <v>1</v>
      </c>
      <c r="AP927" s="6">
        <v>0</v>
      </c>
      <c r="AQ927" s="6">
        <v>1</v>
      </c>
      <c r="AR927" s="6">
        <v>0</v>
      </c>
      <c r="AS927" s="6">
        <v>1</v>
      </c>
      <c r="AT927" s="6">
        <v>0</v>
      </c>
      <c r="AU927" s="6">
        <v>2.14</v>
      </c>
      <c r="AV927" s="6">
        <v>1.28</v>
      </c>
      <c r="AW927" s="6">
        <v>486.82</v>
      </c>
      <c r="AX927" s="6">
        <v>112.69</v>
      </c>
      <c r="AY927" s="6">
        <v>315.08999999999997</v>
      </c>
      <c r="AZ927" s="6">
        <v>28.1</v>
      </c>
      <c r="BA927" s="6">
        <v>16.3</v>
      </c>
    </row>
    <row r="928" spans="1:53" x14ac:dyDescent="0.3">
      <c r="A928" s="6">
        <v>932111777</v>
      </c>
      <c r="B928" s="6">
        <v>711878</v>
      </c>
      <c r="C928" s="6">
        <v>1852264</v>
      </c>
      <c r="D928" s="6">
        <v>2998</v>
      </c>
      <c r="E928" s="6" t="s">
        <v>84</v>
      </c>
      <c r="F928" s="6">
        <v>57989</v>
      </c>
      <c r="G928" s="6" t="s">
        <v>115</v>
      </c>
      <c r="H928" s="10">
        <v>45987</v>
      </c>
      <c r="I928" s="10">
        <v>45987</v>
      </c>
      <c r="J928" s="4">
        <v>45987.409722222219</v>
      </c>
      <c r="K928" s="4">
        <v>45987.756805555553</v>
      </c>
      <c r="L928" s="11">
        <v>45987.736666666664</v>
      </c>
      <c r="M928" s="10">
        <v>45987</v>
      </c>
      <c r="N928" s="6" t="s">
        <v>93</v>
      </c>
      <c r="O928" t="s">
        <v>290</v>
      </c>
      <c r="P928" s="6" t="s">
        <v>86</v>
      </c>
      <c r="Q928" t="s">
        <v>253</v>
      </c>
      <c r="R928" t="s">
        <v>88</v>
      </c>
      <c r="S928" s="6">
        <v>756949</v>
      </c>
      <c r="T928" s="6" t="s">
        <v>111</v>
      </c>
      <c r="U928">
        <v>413</v>
      </c>
      <c r="V928" s="6">
        <v>8</v>
      </c>
      <c r="W928" s="6">
        <v>8</v>
      </c>
      <c r="X928" s="6">
        <v>418</v>
      </c>
      <c r="Y928" s="6">
        <v>434</v>
      </c>
      <c r="Z928" s="6" t="s">
        <v>63</v>
      </c>
      <c r="AA928" t="s">
        <v>540</v>
      </c>
      <c r="AB928" s="6" t="s">
        <v>97</v>
      </c>
      <c r="AC928" t="s">
        <v>125</v>
      </c>
      <c r="AD928" t="s">
        <v>67</v>
      </c>
      <c r="AE928">
        <v>-29</v>
      </c>
      <c r="AF928">
        <v>0</v>
      </c>
      <c r="AG928">
        <v>0</v>
      </c>
      <c r="AH928" s="6">
        <v>33.799999999999997</v>
      </c>
      <c r="AI928" s="6">
        <v>0</v>
      </c>
      <c r="AJ928" s="6">
        <v>0.60199999999999998</v>
      </c>
      <c r="AK928" s="6">
        <v>0.40500000000000003</v>
      </c>
      <c r="AL928" s="8">
        <v>54330.89</v>
      </c>
      <c r="AM928" s="6" t="s">
        <v>155</v>
      </c>
      <c r="AN928" s="6">
        <v>1</v>
      </c>
      <c r="AO928" s="6">
        <v>1</v>
      </c>
      <c r="AP928" s="6">
        <v>0</v>
      </c>
      <c r="AQ928" s="6">
        <v>1</v>
      </c>
      <c r="AR928" s="6">
        <v>0</v>
      </c>
      <c r="AS928" s="6">
        <v>1</v>
      </c>
      <c r="AT928" s="6">
        <v>0</v>
      </c>
      <c r="AU928" s="6">
        <v>2.2000000000000002</v>
      </c>
      <c r="AV928" s="6">
        <v>1.65</v>
      </c>
      <c r="AW928" s="6">
        <v>383.71</v>
      </c>
      <c r="AX928" s="6">
        <v>84.7</v>
      </c>
      <c r="AY928" s="6">
        <v>215.93</v>
      </c>
      <c r="AZ928" s="6">
        <v>61.5</v>
      </c>
      <c r="BA928" s="6">
        <v>0</v>
      </c>
    </row>
    <row r="929" spans="1:53" x14ac:dyDescent="0.3">
      <c r="A929" s="6">
        <v>379484009</v>
      </c>
      <c r="B929" s="6">
        <v>944151</v>
      </c>
      <c r="C929" s="6">
        <v>6855396</v>
      </c>
      <c r="D929" s="6">
        <v>8574</v>
      </c>
      <c r="E929" s="6" t="s">
        <v>225</v>
      </c>
      <c r="F929" s="6">
        <v>56255</v>
      </c>
      <c r="G929" s="6" t="s">
        <v>146</v>
      </c>
      <c r="H929" s="10">
        <v>45745</v>
      </c>
      <c r="I929" s="10">
        <v>45745</v>
      </c>
      <c r="J929" s="4">
        <v>45745.055555555555</v>
      </c>
      <c r="K929" s="4">
        <v>45745.33116898148</v>
      </c>
      <c r="L929" s="11">
        <v>45745.319363425922</v>
      </c>
      <c r="M929" s="10">
        <v>45745</v>
      </c>
      <c r="N929" s="6" t="s">
        <v>78</v>
      </c>
      <c r="O929" t="s">
        <v>222</v>
      </c>
      <c r="P929" s="6" t="s">
        <v>116</v>
      </c>
      <c r="Q929" t="s">
        <v>128</v>
      </c>
      <c r="R929" t="s">
        <v>123</v>
      </c>
      <c r="S929" s="6">
        <v>781663</v>
      </c>
      <c r="T929" s="6" t="s">
        <v>1</v>
      </c>
      <c r="U929">
        <v>266</v>
      </c>
      <c r="V929" s="6">
        <v>26.9</v>
      </c>
      <c r="W929" s="6">
        <v>18.399999999999999</v>
      </c>
      <c r="X929" s="6">
        <v>267</v>
      </c>
      <c r="Y929" s="6">
        <v>312.3</v>
      </c>
      <c r="Z929" s="6" t="s">
        <v>112</v>
      </c>
      <c r="AA929" t="s">
        <v>736</v>
      </c>
      <c r="AB929" s="6" t="s">
        <v>82</v>
      </c>
      <c r="AC929" t="s">
        <v>76</v>
      </c>
      <c r="AD929" t="s">
        <v>67</v>
      </c>
      <c r="AE929">
        <v>-17</v>
      </c>
      <c r="AF929">
        <v>0</v>
      </c>
      <c r="AG929">
        <v>0</v>
      </c>
      <c r="AH929" s="6">
        <v>59.4</v>
      </c>
      <c r="AI929" s="6">
        <v>0</v>
      </c>
      <c r="AJ929" s="6">
        <v>0.82899999999999996</v>
      </c>
      <c r="AK929" s="6">
        <v>0.61</v>
      </c>
      <c r="AL929" s="8">
        <v>3197.63</v>
      </c>
      <c r="AM929" s="6" t="s">
        <v>68</v>
      </c>
      <c r="AN929" s="6">
        <v>1</v>
      </c>
      <c r="AO929" s="6">
        <v>1</v>
      </c>
      <c r="AP929" s="6">
        <v>0</v>
      </c>
      <c r="AQ929" s="6">
        <v>1</v>
      </c>
      <c r="AR929" s="6">
        <v>0</v>
      </c>
      <c r="AS929" s="6">
        <v>1</v>
      </c>
      <c r="AT929" s="6">
        <v>0</v>
      </c>
      <c r="AU929" s="6">
        <v>2.0499999999999998</v>
      </c>
      <c r="AV929" s="6">
        <v>1.48</v>
      </c>
      <c r="AW929" s="6">
        <v>254.12</v>
      </c>
      <c r="AX929" s="6">
        <v>57.15</v>
      </c>
      <c r="AY929" s="6">
        <v>164.44</v>
      </c>
      <c r="AZ929" s="6">
        <v>12.8</v>
      </c>
      <c r="BA929" s="6">
        <v>36.299999999999997</v>
      </c>
    </row>
    <row r="930" spans="1:53" x14ac:dyDescent="0.3">
      <c r="A930" s="6">
        <v>855954847</v>
      </c>
      <c r="B930" s="6">
        <v>787277</v>
      </c>
      <c r="C930" s="6">
        <v>6022741</v>
      </c>
      <c r="D930" s="6">
        <v>3693</v>
      </c>
      <c r="E930" s="6" t="s">
        <v>106</v>
      </c>
      <c r="F930" s="6">
        <v>57441</v>
      </c>
      <c r="G930" s="6" t="s">
        <v>77</v>
      </c>
      <c r="H930" s="10">
        <v>45733</v>
      </c>
      <c r="I930" s="10">
        <v>45733</v>
      </c>
      <c r="J930" s="4">
        <v>45733.336805555555</v>
      </c>
      <c r="K930" s="4">
        <v>45733.849363425928</v>
      </c>
      <c r="L930" s="11">
        <v>45733.843807870369</v>
      </c>
      <c r="M930" s="10">
        <v>45733</v>
      </c>
      <c r="N930" s="6" t="s">
        <v>70</v>
      </c>
      <c r="O930" t="s">
        <v>322</v>
      </c>
      <c r="P930" s="6" t="s">
        <v>59</v>
      </c>
      <c r="Q930" t="s">
        <v>85</v>
      </c>
      <c r="R930" t="s">
        <v>62</v>
      </c>
      <c r="S930" s="6">
        <v>752235</v>
      </c>
      <c r="T930" s="6" t="s">
        <v>140</v>
      </c>
      <c r="U930">
        <v>559</v>
      </c>
      <c r="V930" s="6">
        <v>45.2</v>
      </c>
      <c r="W930" s="6">
        <v>7.3</v>
      </c>
      <c r="X930" s="6">
        <v>556.79999999999995</v>
      </c>
      <c r="Y930" s="6">
        <v>609.29999999999995</v>
      </c>
      <c r="Z930" s="6" t="s">
        <v>63</v>
      </c>
      <c r="AA930" t="s">
        <v>867</v>
      </c>
      <c r="AB930" s="6" t="s">
        <v>97</v>
      </c>
      <c r="AC930" t="s">
        <v>83</v>
      </c>
      <c r="AD930" t="s">
        <v>67</v>
      </c>
      <c r="AE930">
        <v>-8</v>
      </c>
      <c r="AF930">
        <v>0</v>
      </c>
      <c r="AG930">
        <v>0</v>
      </c>
      <c r="AH930" s="6">
        <v>33.6</v>
      </c>
      <c r="AI930" s="6">
        <v>0</v>
      </c>
      <c r="AJ930" s="6">
        <v>0.77600000000000002</v>
      </c>
      <c r="AK930" s="6">
        <v>0.628</v>
      </c>
      <c r="AL930" s="8">
        <v>9656.07</v>
      </c>
      <c r="AM930" s="6" t="s">
        <v>114</v>
      </c>
      <c r="AN930" s="6">
        <v>1</v>
      </c>
      <c r="AO930" s="6">
        <v>1</v>
      </c>
      <c r="AP930" s="6">
        <v>0</v>
      </c>
      <c r="AQ930" s="6">
        <v>1</v>
      </c>
      <c r="AR930" s="6">
        <v>0</v>
      </c>
      <c r="AS930" s="6">
        <v>1</v>
      </c>
      <c r="AT930" s="6">
        <v>0</v>
      </c>
      <c r="AU930" s="6">
        <v>2.1800000000000002</v>
      </c>
      <c r="AV930" s="6">
        <v>1.32</v>
      </c>
      <c r="AW930" s="6">
        <v>427.23</v>
      </c>
      <c r="AX930" s="6">
        <v>112.24</v>
      </c>
      <c r="AY930" s="6">
        <v>325.45</v>
      </c>
      <c r="AZ930" s="6">
        <v>3.4</v>
      </c>
      <c r="BA930" s="6">
        <v>20</v>
      </c>
    </row>
    <row r="931" spans="1:53" x14ac:dyDescent="0.3">
      <c r="A931" s="6">
        <v>579182105</v>
      </c>
      <c r="B931" s="6">
        <v>391476</v>
      </c>
      <c r="C931" s="6">
        <v>8999183</v>
      </c>
      <c r="D931" s="6">
        <v>6618</v>
      </c>
      <c r="E931" s="6" t="s">
        <v>92</v>
      </c>
      <c r="F931" s="6">
        <v>54692</v>
      </c>
      <c r="G931" s="6" t="s">
        <v>207</v>
      </c>
      <c r="H931" s="10">
        <v>46011</v>
      </c>
      <c r="I931" s="10">
        <v>46011</v>
      </c>
      <c r="J931" s="4">
        <v>46011.333333333336</v>
      </c>
      <c r="K931" s="4">
        <v>46011.395833333336</v>
      </c>
      <c r="L931" s="11">
        <v>46011.381944444445</v>
      </c>
      <c r="M931" s="10">
        <v>46011</v>
      </c>
      <c r="N931" s="6" t="s">
        <v>116</v>
      </c>
      <c r="O931" t="s">
        <v>251</v>
      </c>
      <c r="P931" s="6" t="s">
        <v>170</v>
      </c>
      <c r="Q931" t="s">
        <v>221</v>
      </c>
      <c r="R931" t="s">
        <v>62</v>
      </c>
      <c r="S931" s="6">
        <v>712499</v>
      </c>
      <c r="T931" s="6" t="s">
        <v>3</v>
      </c>
      <c r="U931">
        <v>51</v>
      </c>
      <c r="V931" s="6">
        <v>30.4</v>
      </c>
      <c r="W931" s="6">
        <v>23.6</v>
      </c>
      <c r="X931" s="6">
        <v>59</v>
      </c>
      <c r="Y931" s="6">
        <v>113</v>
      </c>
      <c r="Z931" s="6" t="s">
        <v>2</v>
      </c>
      <c r="AA931" t="s">
        <v>868</v>
      </c>
      <c r="AB931" s="6" t="s">
        <v>97</v>
      </c>
      <c r="AC931" t="s">
        <v>76</v>
      </c>
      <c r="AD931" t="s">
        <v>67</v>
      </c>
      <c r="AE931">
        <v>-20</v>
      </c>
      <c r="AF931">
        <v>0</v>
      </c>
      <c r="AG931">
        <v>0.8</v>
      </c>
      <c r="AH931" s="6">
        <v>12.8</v>
      </c>
      <c r="AI931" s="6">
        <v>0</v>
      </c>
      <c r="AJ931" s="6">
        <v>0.872</v>
      </c>
      <c r="AK931" s="6">
        <v>0.38700000000000001</v>
      </c>
      <c r="AL931" s="8">
        <v>12408.5</v>
      </c>
      <c r="AM931" s="6" t="s">
        <v>114</v>
      </c>
      <c r="AN931" s="6">
        <v>1</v>
      </c>
      <c r="AO931" s="6">
        <v>1</v>
      </c>
      <c r="AP931" s="6">
        <v>0</v>
      </c>
      <c r="AQ931" s="6">
        <v>1</v>
      </c>
      <c r="AR931" s="6">
        <v>0</v>
      </c>
      <c r="AS931" s="6">
        <v>1</v>
      </c>
      <c r="AT931" s="6">
        <v>0</v>
      </c>
      <c r="AU931" s="6">
        <v>2.66</v>
      </c>
      <c r="AV931" s="6">
        <v>1.86</v>
      </c>
      <c r="AW931" s="6">
        <v>83.08</v>
      </c>
      <c r="AX931" s="6">
        <v>13.48</v>
      </c>
      <c r="AY931" s="6">
        <v>55.94</v>
      </c>
      <c r="AZ931" s="6">
        <v>51.7</v>
      </c>
      <c r="BA931" s="6">
        <v>43.2</v>
      </c>
    </row>
    <row r="932" spans="1:53" x14ac:dyDescent="0.3">
      <c r="A932" s="6">
        <v>330393232</v>
      </c>
      <c r="B932" s="6">
        <v>198246</v>
      </c>
      <c r="C932" s="6">
        <v>9626108</v>
      </c>
      <c r="D932" s="6">
        <v>5555</v>
      </c>
      <c r="E932" s="6" t="s">
        <v>57</v>
      </c>
      <c r="F932" s="6">
        <v>54419</v>
      </c>
      <c r="G932" s="6" t="s">
        <v>127</v>
      </c>
      <c r="H932" s="10">
        <v>45667</v>
      </c>
      <c r="I932" s="10">
        <v>45667</v>
      </c>
      <c r="J932" s="4">
        <v>45667.930555555555</v>
      </c>
      <c r="K932" s="4">
        <v>45668.461909722224</v>
      </c>
      <c r="L932" s="11">
        <v>45668.435520833336</v>
      </c>
      <c r="M932" s="10">
        <v>45668</v>
      </c>
      <c r="N932" s="6" t="s">
        <v>70</v>
      </c>
      <c r="O932" t="s">
        <v>152</v>
      </c>
      <c r="P932" s="6" t="s">
        <v>70</v>
      </c>
      <c r="Q932" t="s">
        <v>72</v>
      </c>
      <c r="R932" t="s">
        <v>73</v>
      </c>
      <c r="S932" s="6">
        <v>733303</v>
      </c>
      <c r="T932" s="6" t="s">
        <v>140</v>
      </c>
      <c r="U932">
        <v>702</v>
      </c>
      <c r="V932" s="6">
        <v>61.1</v>
      </c>
      <c r="W932" s="6">
        <v>14.6</v>
      </c>
      <c r="X932" s="6">
        <v>710.2</v>
      </c>
      <c r="Y932" s="6">
        <v>785.9</v>
      </c>
      <c r="Z932" s="6" t="s">
        <v>80</v>
      </c>
      <c r="AA932" t="s">
        <v>869</v>
      </c>
      <c r="AB932" s="6" t="s">
        <v>65</v>
      </c>
      <c r="AC932" t="s">
        <v>154</v>
      </c>
      <c r="AD932" t="s">
        <v>67</v>
      </c>
      <c r="AE932">
        <v>-38</v>
      </c>
      <c r="AF932">
        <v>0</v>
      </c>
      <c r="AG932">
        <v>0</v>
      </c>
      <c r="AH932" s="6">
        <v>45</v>
      </c>
      <c r="AI932" s="6">
        <v>0</v>
      </c>
      <c r="AJ932" s="6">
        <v>0.69899999999999995</v>
      </c>
      <c r="AK932" s="6">
        <v>0.40100000000000002</v>
      </c>
      <c r="AL932" s="8">
        <v>6882.26</v>
      </c>
      <c r="AM932" s="6" t="s">
        <v>114</v>
      </c>
      <c r="AN932" s="6">
        <v>1</v>
      </c>
      <c r="AO932" s="6">
        <v>1</v>
      </c>
      <c r="AP932" s="6">
        <v>0</v>
      </c>
      <c r="AQ932" s="6">
        <v>1</v>
      </c>
      <c r="AR932" s="6">
        <v>0</v>
      </c>
      <c r="AS932" s="6">
        <v>1</v>
      </c>
      <c r="AT932" s="6">
        <v>0</v>
      </c>
      <c r="AU932" s="6">
        <v>2.4</v>
      </c>
      <c r="AV932" s="6">
        <v>1.45</v>
      </c>
      <c r="AW932" s="6">
        <v>546.23</v>
      </c>
      <c r="AX932" s="6">
        <v>168.25</v>
      </c>
      <c r="AY932" s="6">
        <v>406.35</v>
      </c>
      <c r="AZ932" s="6">
        <v>11.5</v>
      </c>
      <c r="BA932" s="6">
        <v>0</v>
      </c>
    </row>
    <row r="933" spans="1:53" x14ac:dyDescent="0.3">
      <c r="A933" s="6">
        <v>756998124</v>
      </c>
      <c r="B933" s="6">
        <v>197251</v>
      </c>
      <c r="C933" s="6">
        <v>4078418</v>
      </c>
      <c r="D933" s="6">
        <v>2585</v>
      </c>
      <c r="E933" s="6" t="s">
        <v>106</v>
      </c>
      <c r="F933" s="6">
        <v>57960</v>
      </c>
      <c r="G933" s="6" t="s">
        <v>115</v>
      </c>
      <c r="H933" s="10">
        <v>45944</v>
      </c>
      <c r="I933" s="10">
        <v>45944</v>
      </c>
      <c r="J933" s="4">
        <v>45944.652777777781</v>
      </c>
      <c r="K933" s="4">
        <v>45945.001168981478</v>
      </c>
      <c r="L933" s="11">
        <v>45945.004641203705</v>
      </c>
      <c r="M933" s="10">
        <v>45945</v>
      </c>
      <c r="N933" s="6" t="s">
        <v>129</v>
      </c>
      <c r="O933" t="s">
        <v>157</v>
      </c>
      <c r="P933" s="6" t="s">
        <v>129</v>
      </c>
      <c r="Q933" t="s">
        <v>156</v>
      </c>
      <c r="R933" t="s">
        <v>123</v>
      </c>
      <c r="S933" s="6">
        <v>739365</v>
      </c>
      <c r="T933" s="6" t="s">
        <v>111</v>
      </c>
      <c r="U933">
        <v>407</v>
      </c>
      <c r="V933" s="6">
        <v>19.8</v>
      </c>
      <c r="W933" s="6">
        <v>12.5</v>
      </c>
      <c r="X933" s="6">
        <v>402.9</v>
      </c>
      <c r="Y933" s="6">
        <v>435.2</v>
      </c>
      <c r="Z933" s="6" t="s">
        <v>63</v>
      </c>
      <c r="AA933" t="s">
        <v>870</v>
      </c>
      <c r="AB933" s="6" t="s">
        <v>90</v>
      </c>
      <c r="AC933" t="s">
        <v>66</v>
      </c>
      <c r="AD933" t="s">
        <v>67</v>
      </c>
      <c r="AE933">
        <v>5</v>
      </c>
      <c r="AF933">
        <v>0</v>
      </c>
      <c r="AG933">
        <v>0</v>
      </c>
      <c r="AH933" s="6">
        <v>56.9</v>
      </c>
      <c r="AI933" s="6">
        <v>0</v>
      </c>
      <c r="AJ933" s="6">
        <v>0.77</v>
      </c>
      <c r="AK933" s="6">
        <v>0.51100000000000001</v>
      </c>
      <c r="AL933" s="8">
        <v>115691.39</v>
      </c>
      <c r="AM933" s="6" t="s">
        <v>155</v>
      </c>
      <c r="AN933" s="6">
        <v>1</v>
      </c>
      <c r="AO933" s="6">
        <v>1</v>
      </c>
      <c r="AP933" s="6">
        <v>0</v>
      </c>
      <c r="AQ933" s="6">
        <v>1</v>
      </c>
      <c r="AR933" s="6">
        <v>0</v>
      </c>
      <c r="AS933" s="6">
        <v>1</v>
      </c>
      <c r="AT933" s="6">
        <v>0</v>
      </c>
      <c r="AU933" s="6">
        <v>2.4</v>
      </c>
      <c r="AV933" s="6">
        <v>1.56</v>
      </c>
      <c r="AW933" s="6">
        <v>287.45999999999998</v>
      </c>
      <c r="AX933" s="6">
        <v>54.26</v>
      </c>
      <c r="AY933" s="6">
        <v>301.52</v>
      </c>
      <c r="AZ933" s="6">
        <v>11.9</v>
      </c>
      <c r="BA933" s="6">
        <v>24.5</v>
      </c>
    </row>
    <row r="934" spans="1:53" x14ac:dyDescent="0.3">
      <c r="A934" s="6">
        <v>406635834</v>
      </c>
      <c r="B934" s="6">
        <v>653306</v>
      </c>
      <c r="C934" s="6">
        <v>6188935</v>
      </c>
      <c r="D934" s="6">
        <v>7944</v>
      </c>
      <c r="E934" s="6" t="s">
        <v>84</v>
      </c>
      <c r="F934" s="6">
        <v>56078</v>
      </c>
      <c r="G934" s="6" t="s">
        <v>115</v>
      </c>
      <c r="H934" s="10">
        <v>45775</v>
      </c>
      <c r="I934" s="10">
        <v>45775</v>
      </c>
      <c r="J934" s="4">
        <v>45775.378472222219</v>
      </c>
      <c r="K934" s="4">
        <v>45775.919016203705</v>
      </c>
      <c r="L934" s="11">
        <v>45775.934988425928</v>
      </c>
      <c r="M934" s="10">
        <v>45775</v>
      </c>
      <c r="N934" s="6" t="s">
        <v>134</v>
      </c>
      <c r="O934" t="s">
        <v>172</v>
      </c>
      <c r="P934" s="6" t="s">
        <v>121</v>
      </c>
      <c r="Q934" t="s">
        <v>195</v>
      </c>
      <c r="R934" t="s">
        <v>123</v>
      </c>
      <c r="S934" s="6">
        <v>789831</v>
      </c>
      <c r="T934" s="6" t="s">
        <v>111</v>
      </c>
      <c r="U934">
        <v>503</v>
      </c>
      <c r="V934" s="6">
        <v>47.3</v>
      </c>
      <c r="W934" s="6">
        <v>12.8</v>
      </c>
      <c r="X934" s="6">
        <v>503.5</v>
      </c>
      <c r="Y934" s="6">
        <v>563.6</v>
      </c>
      <c r="Z934" s="6" t="s">
        <v>2</v>
      </c>
      <c r="AA934" t="s">
        <v>871</v>
      </c>
      <c r="AB934" s="6" t="s">
        <v>97</v>
      </c>
      <c r="AC934" t="s">
        <v>83</v>
      </c>
      <c r="AD934" t="s">
        <v>67</v>
      </c>
      <c r="AE934">
        <v>23</v>
      </c>
      <c r="AF934">
        <v>0</v>
      </c>
      <c r="AG934">
        <v>0</v>
      </c>
      <c r="AH934" s="6">
        <v>66.099999999999994</v>
      </c>
      <c r="AI934" s="6">
        <v>0</v>
      </c>
      <c r="AJ934" s="6">
        <v>0.748</v>
      </c>
      <c r="AK934" s="6">
        <v>0.79500000000000004</v>
      </c>
      <c r="AL934" s="8">
        <v>4185.57</v>
      </c>
      <c r="AM934" s="6" t="s">
        <v>68</v>
      </c>
      <c r="AN934" s="6">
        <v>1</v>
      </c>
      <c r="AO934" s="6">
        <v>0</v>
      </c>
      <c r="AP934" s="6">
        <v>1</v>
      </c>
      <c r="AQ934" s="6">
        <v>0</v>
      </c>
      <c r="AR934" s="6">
        <v>1</v>
      </c>
      <c r="AS934" s="6">
        <v>0</v>
      </c>
      <c r="AT934" s="6">
        <v>1</v>
      </c>
      <c r="AU934" s="6">
        <v>2.87</v>
      </c>
      <c r="AV934" s="6">
        <v>2.17</v>
      </c>
      <c r="AW934" s="6">
        <v>423.16</v>
      </c>
      <c r="AX934" s="6">
        <v>79.959999999999994</v>
      </c>
      <c r="AY934" s="6">
        <v>344.3</v>
      </c>
      <c r="AZ934" s="6">
        <v>23.9</v>
      </c>
      <c r="BA934" s="6">
        <v>60.7</v>
      </c>
    </row>
    <row r="935" spans="1:53" x14ac:dyDescent="0.3">
      <c r="A935" s="6">
        <v>845156039</v>
      </c>
      <c r="B935" s="6">
        <v>816751</v>
      </c>
      <c r="C935" s="6">
        <v>3011363</v>
      </c>
      <c r="D935" s="6">
        <v>9996</v>
      </c>
      <c r="E935" s="6" t="s">
        <v>185</v>
      </c>
      <c r="F935" s="6">
        <v>51437</v>
      </c>
      <c r="G935" s="6" t="s">
        <v>207</v>
      </c>
      <c r="H935" s="10">
        <v>45671</v>
      </c>
      <c r="I935" s="10">
        <v>45671</v>
      </c>
      <c r="J935" s="4">
        <v>45671.34375</v>
      </c>
      <c r="K935" s="4">
        <v>45672.160104166665</v>
      </c>
      <c r="L935" s="11">
        <v>45672.169131944444</v>
      </c>
      <c r="M935" s="10">
        <v>45672</v>
      </c>
      <c r="N935" s="6" t="s">
        <v>70</v>
      </c>
      <c r="O935" t="s">
        <v>138</v>
      </c>
      <c r="P935" s="6" t="s">
        <v>129</v>
      </c>
      <c r="Q935" t="s">
        <v>157</v>
      </c>
      <c r="R935" t="s">
        <v>123</v>
      </c>
      <c r="S935" s="6">
        <v>731760</v>
      </c>
      <c r="T935" s="6" t="s">
        <v>140</v>
      </c>
      <c r="U935">
        <v>978</v>
      </c>
      <c r="V935" s="6">
        <v>63.8</v>
      </c>
      <c r="W935" s="6">
        <v>10.4</v>
      </c>
      <c r="X935" s="6">
        <v>968.5</v>
      </c>
      <c r="Y935" s="6">
        <v>1042.7</v>
      </c>
      <c r="Z935" s="6" t="s">
        <v>63</v>
      </c>
      <c r="AA935" t="s">
        <v>872</v>
      </c>
      <c r="AB935" s="6" t="s">
        <v>97</v>
      </c>
      <c r="AC935" t="s">
        <v>66</v>
      </c>
      <c r="AD935" t="s">
        <v>67</v>
      </c>
      <c r="AE935">
        <v>13</v>
      </c>
      <c r="AF935">
        <v>0</v>
      </c>
      <c r="AG935">
        <v>0</v>
      </c>
      <c r="AH935" s="6">
        <v>42.5</v>
      </c>
      <c r="AI935" s="6">
        <v>0</v>
      </c>
      <c r="AJ935" s="6">
        <v>0.47899999999999998</v>
      </c>
      <c r="AK935" s="6">
        <v>0.64200000000000002</v>
      </c>
      <c r="AL935" s="8">
        <v>4611.3500000000004</v>
      </c>
      <c r="AM935" s="6" t="s">
        <v>68</v>
      </c>
      <c r="AN935" s="6">
        <v>1</v>
      </c>
      <c r="AO935" s="6">
        <v>1</v>
      </c>
      <c r="AP935" s="6">
        <v>0</v>
      </c>
      <c r="AQ935" s="6">
        <v>1</v>
      </c>
      <c r="AR935" s="6">
        <v>0</v>
      </c>
      <c r="AS935" s="6">
        <v>1</v>
      </c>
      <c r="AT935" s="6">
        <v>0</v>
      </c>
      <c r="AU935" s="6">
        <v>2.2999999999999998</v>
      </c>
      <c r="AV935" s="6">
        <v>1.38</v>
      </c>
      <c r="AW935" s="6">
        <v>927.23</v>
      </c>
      <c r="AX935" s="6">
        <v>169.08</v>
      </c>
      <c r="AY935" s="6">
        <v>691.81</v>
      </c>
      <c r="AZ935" s="6">
        <v>13.3</v>
      </c>
      <c r="BA935" s="6">
        <v>20.399999999999999</v>
      </c>
    </row>
    <row r="936" spans="1:53" x14ac:dyDescent="0.3">
      <c r="A936" s="6">
        <v>627422192</v>
      </c>
      <c r="B936" s="6">
        <v>330283</v>
      </c>
      <c r="C936" s="6">
        <v>6304573</v>
      </c>
      <c r="D936" s="6">
        <v>8035</v>
      </c>
      <c r="E936" s="6" t="s">
        <v>101</v>
      </c>
      <c r="F936" s="6">
        <v>58620</v>
      </c>
      <c r="G936" s="6" t="s">
        <v>115</v>
      </c>
      <c r="H936" s="10">
        <v>45992</v>
      </c>
      <c r="I936" s="10">
        <v>45992</v>
      </c>
      <c r="J936" s="4">
        <v>45992.256944444445</v>
      </c>
      <c r="K936" s="4">
        <v>45992.504999999997</v>
      </c>
      <c r="L936" s="11">
        <v>45992.459166666667</v>
      </c>
      <c r="M936" s="10">
        <v>45992</v>
      </c>
      <c r="N936" s="6" t="s">
        <v>200</v>
      </c>
      <c r="O936" t="s">
        <v>275</v>
      </c>
      <c r="P936" s="6" t="s">
        <v>109</v>
      </c>
      <c r="Q936" t="s">
        <v>198</v>
      </c>
      <c r="R936" t="s">
        <v>88</v>
      </c>
      <c r="S936" s="6">
        <v>701092</v>
      </c>
      <c r="T936" s="6" t="s">
        <v>111</v>
      </c>
      <c r="U936">
        <v>320</v>
      </c>
      <c r="V936" s="6">
        <v>8.4</v>
      </c>
      <c r="W936" s="6">
        <v>18.7</v>
      </c>
      <c r="X936" s="6">
        <v>325</v>
      </c>
      <c r="Y936" s="6">
        <v>352.1</v>
      </c>
      <c r="Z936" s="6" t="s">
        <v>63</v>
      </c>
      <c r="AA936" t="s">
        <v>404</v>
      </c>
      <c r="AB936" s="6" t="s">
        <v>97</v>
      </c>
      <c r="AC936" t="s">
        <v>83</v>
      </c>
      <c r="AD936" t="s">
        <v>67</v>
      </c>
      <c r="AE936">
        <v>-66</v>
      </c>
      <c r="AF936">
        <v>0</v>
      </c>
      <c r="AG936">
        <v>0</v>
      </c>
      <c r="AH936" s="6">
        <v>34.1</v>
      </c>
      <c r="AI936" s="6">
        <v>0</v>
      </c>
      <c r="AJ936" s="6">
        <v>0.45100000000000001</v>
      </c>
      <c r="AK936" s="6">
        <v>0.78300000000000003</v>
      </c>
      <c r="AL936" s="8">
        <v>14212.63</v>
      </c>
      <c r="AM936" s="6" t="s">
        <v>114</v>
      </c>
      <c r="AN936" s="6">
        <v>1</v>
      </c>
      <c r="AO936" s="6">
        <v>1</v>
      </c>
      <c r="AP936" s="6">
        <v>0</v>
      </c>
      <c r="AQ936" s="6">
        <v>1</v>
      </c>
      <c r="AR936" s="6">
        <v>0</v>
      </c>
      <c r="AS936" s="6">
        <v>1</v>
      </c>
      <c r="AT936" s="6">
        <v>0</v>
      </c>
      <c r="AU936" s="6">
        <v>2.14</v>
      </c>
      <c r="AV936" s="6">
        <v>1.46</v>
      </c>
      <c r="AW936" s="6">
        <v>296.87</v>
      </c>
      <c r="AX936" s="6">
        <v>40.54</v>
      </c>
      <c r="AY936" s="6">
        <v>192.25</v>
      </c>
      <c r="AZ936" s="6">
        <v>36.299999999999997</v>
      </c>
      <c r="BA936" s="6">
        <v>35</v>
      </c>
    </row>
    <row r="937" spans="1:53" x14ac:dyDescent="0.3">
      <c r="A937" s="6">
        <v>314939857</v>
      </c>
      <c r="B937" s="6">
        <v>207473</v>
      </c>
      <c r="C937" s="6">
        <v>4694634</v>
      </c>
      <c r="D937" s="6">
        <v>9322</v>
      </c>
      <c r="E937" s="6" t="s">
        <v>84</v>
      </c>
      <c r="F937" s="6">
        <v>57032</v>
      </c>
      <c r="G937" s="6" t="s">
        <v>146</v>
      </c>
      <c r="H937" s="10">
        <v>45708</v>
      </c>
      <c r="I937" s="10">
        <v>45708</v>
      </c>
      <c r="J937" s="4">
        <v>45708.666666666664</v>
      </c>
      <c r="K937" s="4">
        <v>45708.81046296296</v>
      </c>
      <c r="L937" s="11">
        <v>45708.815324074072</v>
      </c>
      <c r="M937" s="10">
        <v>45708</v>
      </c>
      <c r="N937" s="6" t="s">
        <v>116</v>
      </c>
      <c r="O937" t="s">
        <v>117</v>
      </c>
      <c r="P937" s="6" t="s">
        <v>78</v>
      </c>
      <c r="Q937" t="s">
        <v>79</v>
      </c>
      <c r="R937" t="s">
        <v>88</v>
      </c>
      <c r="S937" s="6">
        <v>769672</v>
      </c>
      <c r="T937" s="6" t="s">
        <v>1</v>
      </c>
      <c r="U937">
        <v>142</v>
      </c>
      <c r="V937" s="6">
        <v>14.7</v>
      </c>
      <c r="W937" s="6">
        <v>43.4</v>
      </c>
      <c r="X937" s="6">
        <v>150</v>
      </c>
      <c r="Y937" s="6">
        <v>208.1</v>
      </c>
      <c r="Z937" s="6" t="s">
        <v>63</v>
      </c>
      <c r="AA937" t="s">
        <v>668</v>
      </c>
      <c r="AB937" s="6" t="s">
        <v>90</v>
      </c>
      <c r="AC937" t="s">
        <v>137</v>
      </c>
      <c r="AD937" t="s">
        <v>67</v>
      </c>
      <c r="AE937">
        <v>7</v>
      </c>
      <c r="AF937">
        <v>0</v>
      </c>
      <c r="AG937">
        <v>1.2</v>
      </c>
      <c r="AH937" s="6">
        <v>41.2</v>
      </c>
      <c r="AI937" s="6">
        <v>0</v>
      </c>
      <c r="AJ937" s="6">
        <v>0.52</v>
      </c>
      <c r="AK937" s="6">
        <v>0.628</v>
      </c>
      <c r="AL937" s="8">
        <v>18323.150000000001</v>
      </c>
      <c r="AM937" s="6" t="s">
        <v>114</v>
      </c>
      <c r="AN937" s="6">
        <v>1</v>
      </c>
      <c r="AO937" s="6">
        <v>1</v>
      </c>
      <c r="AP937" s="6">
        <v>0</v>
      </c>
      <c r="AQ937" s="6">
        <v>1</v>
      </c>
      <c r="AR937" s="6">
        <v>0</v>
      </c>
      <c r="AS937" s="6">
        <v>1</v>
      </c>
      <c r="AT937" s="6">
        <v>0</v>
      </c>
      <c r="AU937" s="6">
        <v>2.1</v>
      </c>
      <c r="AV937" s="6">
        <v>1.5</v>
      </c>
      <c r="AW937" s="6">
        <v>190.51</v>
      </c>
      <c r="AX937" s="6">
        <v>35.630000000000003</v>
      </c>
      <c r="AY937" s="6">
        <v>106.61</v>
      </c>
      <c r="AZ937" s="6">
        <v>26.9</v>
      </c>
      <c r="BA937" s="6">
        <v>27</v>
      </c>
    </row>
    <row r="938" spans="1:53" x14ac:dyDescent="0.3">
      <c r="A938" s="6">
        <v>231680929</v>
      </c>
      <c r="B938" s="6">
        <v>246316</v>
      </c>
      <c r="C938" s="6">
        <v>1352896</v>
      </c>
      <c r="D938" s="6">
        <v>5426</v>
      </c>
      <c r="E938" s="6" t="s">
        <v>185</v>
      </c>
      <c r="F938" s="6">
        <v>55731</v>
      </c>
      <c r="G938" s="6" t="s">
        <v>115</v>
      </c>
      <c r="H938" s="10">
        <v>45859</v>
      </c>
      <c r="I938" s="10">
        <v>45859</v>
      </c>
      <c r="J938" s="4">
        <v>45859.614583333336</v>
      </c>
      <c r="K938" s="4">
        <v>45859.78765046296</v>
      </c>
      <c r="L938" s="11">
        <v>45859.926539351851</v>
      </c>
      <c r="M938" s="10">
        <v>45859</v>
      </c>
      <c r="N938" s="6" t="s">
        <v>70</v>
      </c>
      <c r="O938" t="s">
        <v>152</v>
      </c>
      <c r="P938" s="6" t="s">
        <v>70</v>
      </c>
      <c r="Q938" t="s">
        <v>71</v>
      </c>
      <c r="R938" t="s">
        <v>73</v>
      </c>
      <c r="S938" s="6">
        <v>733303</v>
      </c>
      <c r="T938" s="6" t="s">
        <v>1</v>
      </c>
      <c r="U938">
        <v>181</v>
      </c>
      <c r="V938" s="6">
        <v>28.8</v>
      </c>
      <c r="W938" s="6">
        <v>6.1</v>
      </c>
      <c r="X938" s="6">
        <v>183.3</v>
      </c>
      <c r="Y938" s="6">
        <v>218.2</v>
      </c>
      <c r="Z938" s="6" t="s">
        <v>63</v>
      </c>
      <c r="AA938" t="s">
        <v>362</v>
      </c>
      <c r="AB938" s="6" t="s">
        <v>90</v>
      </c>
      <c r="AC938" t="s">
        <v>83</v>
      </c>
      <c r="AD938" t="s">
        <v>206</v>
      </c>
      <c r="AE938">
        <v>200</v>
      </c>
      <c r="AF938">
        <v>193</v>
      </c>
      <c r="AG938">
        <v>0</v>
      </c>
      <c r="AH938" s="6">
        <v>30.3</v>
      </c>
      <c r="AI938" s="6">
        <v>0</v>
      </c>
      <c r="AJ938" s="6">
        <v>0.69299999999999995</v>
      </c>
      <c r="AK938" s="6">
        <v>0.33700000000000002</v>
      </c>
      <c r="AL938" s="8">
        <v>14545.45</v>
      </c>
      <c r="AM938" s="6" t="s">
        <v>114</v>
      </c>
      <c r="AN938" s="6">
        <v>1</v>
      </c>
      <c r="AO938" s="6">
        <v>0</v>
      </c>
      <c r="AP938" s="6">
        <v>1</v>
      </c>
      <c r="AQ938" s="6">
        <v>0</v>
      </c>
      <c r="AR938" s="6">
        <v>1</v>
      </c>
      <c r="AS938" s="6">
        <v>0</v>
      </c>
      <c r="AT938" s="6">
        <v>1</v>
      </c>
      <c r="AU938" s="6">
        <v>2.27</v>
      </c>
      <c r="AV938" s="6">
        <v>1.79</v>
      </c>
      <c r="AW938" s="6">
        <v>148.04</v>
      </c>
      <c r="AX938" s="6">
        <v>26.6</v>
      </c>
      <c r="AY938" s="6">
        <v>124.28</v>
      </c>
      <c r="AZ938" s="6">
        <v>28.1</v>
      </c>
      <c r="BA938" s="6">
        <v>12.2</v>
      </c>
    </row>
    <row r="939" spans="1:53" x14ac:dyDescent="0.3">
      <c r="A939" s="6">
        <v>245737277</v>
      </c>
      <c r="B939" s="6">
        <v>220116</v>
      </c>
      <c r="C939" s="6">
        <v>6933742</v>
      </c>
      <c r="D939" s="6">
        <v>5218</v>
      </c>
      <c r="E939" s="6" t="s">
        <v>57</v>
      </c>
      <c r="F939" s="6">
        <v>53378</v>
      </c>
      <c r="G939" s="6" t="s">
        <v>98</v>
      </c>
      <c r="H939" s="10">
        <v>45758</v>
      </c>
      <c r="I939" s="10">
        <v>45758</v>
      </c>
      <c r="J939" s="4">
        <v>45758.618055555555</v>
      </c>
      <c r="K939" s="4">
        <v>45758.692523148151</v>
      </c>
      <c r="L939" s="11">
        <v>45758.670300925929</v>
      </c>
      <c r="M939" s="10">
        <v>45758</v>
      </c>
      <c r="N939" s="6" t="s">
        <v>70</v>
      </c>
      <c r="O939" t="s">
        <v>72</v>
      </c>
      <c r="P939" s="6" t="s">
        <v>200</v>
      </c>
      <c r="Q939" t="s">
        <v>338</v>
      </c>
      <c r="R939" t="s">
        <v>62</v>
      </c>
      <c r="S939" s="6">
        <v>763246</v>
      </c>
      <c r="T939" s="6" t="s">
        <v>3</v>
      </c>
      <c r="U939">
        <v>46</v>
      </c>
      <c r="V939" s="6">
        <v>38.6</v>
      </c>
      <c r="W939" s="6">
        <v>8.5</v>
      </c>
      <c r="X939" s="6">
        <v>39.799999999999997</v>
      </c>
      <c r="Y939" s="6">
        <v>86.9</v>
      </c>
      <c r="Z939" s="6" t="s">
        <v>63</v>
      </c>
      <c r="AA939" t="s">
        <v>873</v>
      </c>
      <c r="AB939" s="6" t="s">
        <v>90</v>
      </c>
      <c r="AC939" t="s">
        <v>154</v>
      </c>
      <c r="AD939" t="s">
        <v>67</v>
      </c>
      <c r="AE939">
        <v>-32</v>
      </c>
      <c r="AF939">
        <v>0</v>
      </c>
      <c r="AG939">
        <v>0</v>
      </c>
      <c r="AH939" s="6">
        <v>68.5</v>
      </c>
      <c r="AI939" s="6">
        <v>0</v>
      </c>
      <c r="AJ939" s="6">
        <v>0.438</v>
      </c>
      <c r="AK939" s="6">
        <v>0.59499999999999997</v>
      </c>
      <c r="AL939" s="8">
        <v>17224.71</v>
      </c>
      <c r="AM939" s="6" t="s">
        <v>114</v>
      </c>
      <c r="AN939" s="6">
        <v>1</v>
      </c>
      <c r="AO939" s="6">
        <v>1</v>
      </c>
      <c r="AP939" s="6">
        <v>0</v>
      </c>
      <c r="AQ939" s="6">
        <v>1</v>
      </c>
      <c r="AR939" s="6">
        <v>0</v>
      </c>
      <c r="AS939" s="6">
        <v>1</v>
      </c>
      <c r="AT939" s="6">
        <v>0</v>
      </c>
      <c r="AU939" s="6">
        <v>2.68</v>
      </c>
      <c r="AV939" s="6">
        <v>1.99</v>
      </c>
      <c r="AW939" s="6">
        <v>66.930000000000007</v>
      </c>
      <c r="AX939" s="6">
        <v>18.32</v>
      </c>
      <c r="AY939" s="6">
        <v>58.25</v>
      </c>
      <c r="AZ939" s="6">
        <v>31.9</v>
      </c>
      <c r="BA939" s="6">
        <v>44.6</v>
      </c>
    </row>
    <row r="940" spans="1:53" x14ac:dyDescent="0.3">
      <c r="A940" s="6">
        <v>179512774</v>
      </c>
      <c r="B940" s="6">
        <v>429963</v>
      </c>
      <c r="C940" s="6">
        <v>9874152</v>
      </c>
      <c r="D940" s="6">
        <v>4157</v>
      </c>
      <c r="E940" s="6" t="s">
        <v>106</v>
      </c>
      <c r="F940" s="6">
        <v>58584</v>
      </c>
      <c r="G940" s="6" t="s">
        <v>149</v>
      </c>
      <c r="H940" s="10">
        <v>45681</v>
      </c>
      <c r="I940" s="10">
        <v>45681</v>
      </c>
      <c r="J940" s="4">
        <v>45681.847222222219</v>
      </c>
      <c r="K940" s="4">
        <v>45682.024351851855</v>
      </c>
      <c r="L940" s="11">
        <v>45681.981990740744</v>
      </c>
      <c r="M940" s="10">
        <v>45681</v>
      </c>
      <c r="N940" s="6" t="s">
        <v>109</v>
      </c>
      <c r="O940" t="s">
        <v>118</v>
      </c>
      <c r="P940" s="6" t="s">
        <v>103</v>
      </c>
      <c r="Q940" t="s">
        <v>232</v>
      </c>
      <c r="R940" t="s">
        <v>73</v>
      </c>
      <c r="S940" s="6">
        <v>714585</v>
      </c>
      <c r="T940" s="6" t="s">
        <v>1</v>
      </c>
      <c r="U940">
        <v>237</v>
      </c>
      <c r="V940" s="6">
        <v>26.4</v>
      </c>
      <c r="W940" s="6">
        <v>16.100000000000001</v>
      </c>
      <c r="X940" s="6">
        <v>246.7</v>
      </c>
      <c r="Y940" s="6">
        <v>289.2</v>
      </c>
      <c r="Z940" s="6" t="s">
        <v>112</v>
      </c>
      <c r="AA940" t="s">
        <v>384</v>
      </c>
      <c r="AB940" s="6" t="s">
        <v>65</v>
      </c>
      <c r="AC940" t="s">
        <v>154</v>
      </c>
      <c r="AD940" t="s">
        <v>67</v>
      </c>
      <c r="AE940">
        <v>-61</v>
      </c>
      <c r="AF940">
        <v>0</v>
      </c>
      <c r="AG940">
        <v>0</v>
      </c>
      <c r="AH940" s="6">
        <v>63.3</v>
      </c>
      <c r="AI940" s="6">
        <v>0</v>
      </c>
      <c r="AJ940" s="6">
        <v>0.754</v>
      </c>
      <c r="AK940" s="6">
        <v>0.80900000000000005</v>
      </c>
      <c r="AL940" s="8">
        <v>16956.82</v>
      </c>
      <c r="AM940" s="6" t="s">
        <v>114</v>
      </c>
      <c r="AN940" s="6">
        <v>1</v>
      </c>
      <c r="AO940" s="6">
        <v>1</v>
      </c>
      <c r="AP940" s="6">
        <v>0</v>
      </c>
      <c r="AQ940" s="6">
        <v>1</v>
      </c>
      <c r="AR940" s="6">
        <v>0</v>
      </c>
      <c r="AS940" s="6">
        <v>1</v>
      </c>
      <c r="AT940" s="6">
        <v>0</v>
      </c>
      <c r="AU940" s="6">
        <v>2.35</v>
      </c>
      <c r="AV940" s="6">
        <v>1.43</v>
      </c>
      <c r="AW940" s="6">
        <v>248.11</v>
      </c>
      <c r="AX940" s="6">
        <v>59.76</v>
      </c>
      <c r="AY940" s="6">
        <v>159.44999999999999</v>
      </c>
      <c r="AZ940" s="6">
        <v>14.3</v>
      </c>
      <c r="BA940" s="6">
        <v>74.8</v>
      </c>
    </row>
    <row r="941" spans="1:53" x14ac:dyDescent="0.3">
      <c r="A941" s="6">
        <v>585377142</v>
      </c>
      <c r="B941" s="6">
        <v>944151</v>
      </c>
      <c r="C941" s="6">
        <v>6855396</v>
      </c>
      <c r="D941" s="6">
        <v>8574</v>
      </c>
      <c r="E941" s="6" t="s">
        <v>225</v>
      </c>
      <c r="F941" s="6">
        <v>56347</v>
      </c>
      <c r="G941" s="6" t="s">
        <v>146</v>
      </c>
      <c r="H941" s="10">
        <v>45676</v>
      </c>
      <c r="I941" s="10">
        <v>45676</v>
      </c>
      <c r="J941" s="4">
        <v>45676.263888888891</v>
      </c>
      <c r="K941" s="4">
        <v>45676.770428240743</v>
      </c>
      <c r="L941" s="11">
        <v>45676.755844907406</v>
      </c>
      <c r="M941" s="10">
        <v>45676</v>
      </c>
      <c r="N941" s="6" t="s">
        <v>150</v>
      </c>
      <c r="O941" t="s">
        <v>265</v>
      </c>
      <c r="P941" s="6" t="s">
        <v>70</v>
      </c>
      <c r="Q941" t="s">
        <v>322</v>
      </c>
      <c r="R941" t="s">
        <v>73</v>
      </c>
      <c r="S941" s="6">
        <v>700860</v>
      </c>
      <c r="T941" s="6" t="s">
        <v>111</v>
      </c>
      <c r="U941">
        <v>497</v>
      </c>
      <c r="V941" s="6">
        <v>47.1</v>
      </c>
      <c r="W941" s="6">
        <v>0.6</v>
      </c>
      <c r="X941" s="6">
        <v>509.2</v>
      </c>
      <c r="Y941" s="6">
        <v>556.9</v>
      </c>
      <c r="Z941" s="6" t="s">
        <v>112</v>
      </c>
      <c r="AA941" t="s">
        <v>874</v>
      </c>
      <c r="AB941" s="6" t="s">
        <v>97</v>
      </c>
      <c r="AC941" t="s">
        <v>91</v>
      </c>
      <c r="AD941" t="s">
        <v>67</v>
      </c>
      <c r="AE941">
        <v>-21</v>
      </c>
      <c r="AF941">
        <v>0</v>
      </c>
      <c r="AG941">
        <v>0</v>
      </c>
      <c r="AH941" s="6">
        <v>38.700000000000003</v>
      </c>
      <c r="AI941" s="6">
        <v>0</v>
      </c>
      <c r="AJ941" s="6">
        <v>0.627</v>
      </c>
      <c r="AK941" s="6">
        <v>0.29599999999999999</v>
      </c>
      <c r="AL941" s="8">
        <v>74289.17</v>
      </c>
      <c r="AM941" s="6" t="s">
        <v>155</v>
      </c>
      <c r="AN941" s="6">
        <v>1</v>
      </c>
      <c r="AO941" s="6">
        <v>1</v>
      </c>
      <c r="AP941" s="6">
        <v>0</v>
      </c>
      <c r="AQ941" s="6">
        <v>1</v>
      </c>
      <c r="AR941" s="6">
        <v>0</v>
      </c>
      <c r="AS941" s="6">
        <v>1</v>
      </c>
      <c r="AT941" s="6">
        <v>0</v>
      </c>
      <c r="AU941" s="6">
        <v>2.0699999999999998</v>
      </c>
      <c r="AV941" s="6">
        <v>1.64</v>
      </c>
      <c r="AW941" s="6">
        <v>422.21</v>
      </c>
      <c r="AX941" s="6">
        <v>92.07</v>
      </c>
      <c r="AY941" s="6">
        <v>294.64999999999998</v>
      </c>
      <c r="AZ941" s="6">
        <v>12.8</v>
      </c>
      <c r="BA941" s="6">
        <v>43</v>
      </c>
    </row>
    <row r="942" spans="1:53" x14ac:dyDescent="0.3">
      <c r="A942" s="6">
        <v>285388355</v>
      </c>
      <c r="B942" s="6">
        <v>946335</v>
      </c>
      <c r="C942" s="6">
        <v>1247595</v>
      </c>
      <c r="D942" s="6">
        <v>6675</v>
      </c>
      <c r="E942" s="6" t="s">
        <v>84</v>
      </c>
      <c r="F942" s="6">
        <v>56401</v>
      </c>
      <c r="G942" s="6" t="s">
        <v>69</v>
      </c>
      <c r="H942" s="10">
        <v>45700</v>
      </c>
      <c r="I942" s="10">
        <v>45700</v>
      </c>
      <c r="J942" s="4">
        <v>45700.288194444445</v>
      </c>
      <c r="K942" s="4">
        <v>45700.573981481481</v>
      </c>
      <c r="L942" s="11">
        <v>45700.567037037035</v>
      </c>
      <c r="M942" s="10">
        <v>45700</v>
      </c>
      <c r="N942" s="6" t="s">
        <v>150</v>
      </c>
      <c r="O942" t="s">
        <v>196</v>
      </c>
      <c r="P942" s="6" t="s">
        <v>109</v>
      </c>
      <c r="Q942" t="s">
        <v>110</v>
      </c>
      <c r="R942" t="s">
        <v>88</v>
      </c>
      <c r="S942" s="6">
        <v>718141</v>
      </c>
      <c r="T942" s="6" t="s">
        <v>1</v>
      </c>
      <c r="U942">
        <v>311</v>
      </c>
      <c r="V942" s="6">
        <v>12.4</v>
      </c>
      <c r="W942" s="6">
        <v>5.7</v>
      </c>
      <c r="X942" s="6">
        <v>308.39999999999998</v>
      </c>
      <c r="Y942" s="6">
        <v>326.5</v>
      </c>
      <c r="Z942" s="6" t="s">
        <v>63</v>
      </c>
      <c r="AA942" t="s">
        <v>875</v>
      </c>
      <c r="AB942" s="6" t="s">
        <v>97</v>
      </c>
      <c r="AC942" t="s">
        <v>125</v>
      </c>
      <c r="AD942" t="s">
        <v>67</v>
      </c>
      <c r="AE942">
        <v>-10</v>
      </c>
      <c r="AF942">
        <v>0</v>
      </c>
      <c r="AG942">
        <v>0</v>
      </c>
      <c r="AH942" s="6">
        <v>57.6</v>
      </c>
      <c r="AI942" s="6">
        <v>0</v>
      </c>
      <c r="AJ942" s="6">
        <v>0.81</v>
      </c>
      <c r="AK942" s="6">
        <v>0.35899999999999999</v>
      </c>
      <c r="AL942" s="8">
        <v>9689.39</v>
      </c>
      <c r="AM942" s="6" t="s">
        <v>114</v>
      </c>
      <c r="AN942" s="6">
        <v>1</v>
      </c>
      <c r="AO942" s="6">
        <v>1</v>
      </c>
      <c r="AP942" s="6">
        <v>0</v>
      </c>
      <c r="AQ942" s="6">
        <v>1</v>
      </c>
      <c r="AR942" s="6">
        <v>0</v>
      </c>
      <c r="AS942" s="6">
        <v>1</v>
      </c>
      <c r="AT942" s="6">
        <v>0</v>
      </c>
      <c r="AU942" s="6">
        <v>1.95</v>
      </c>
      <c r="AV942" s="6">
        <v>1.34</v>
      </c>
      <c r="AW942" s="6">
        <v>237.21</v>
      </c>
      <c r="AX942" s="6">
        <v>50.26</v>
      </c>
      <c r="AY942" s="6">
        <v>158.47999999999999</v>
      </c>
      <c r="AZ942" s="6">
        <v>32.6</v>
      </c>
      <c r="BA942" s="6">
        <v>3.1</v>
      </c>
    </row>
    <row r="943" spans="1:53" x14ac:dyDescent="0.3">
      <c r="A943" s="6">
        <v>865975088</v>
      </c>
      <c r="B943" s="6">
        <v>555884</v>
      </c>
      <c r="C943" s="6">
        <v>7907400</v>
      </c>
      <c r="D943" s="6">
        <v>7287</v>
      </c>
      <c r="E943" s="6" t="s">
        <v>126</v>
      </c>
      <c r="F943" s="6">
        <v>56629</v>
      </c>
      <c r="G943" s="6" t="s">
        <v>115</v>
      </c>
      <c r="H943" s="10">
        <v>45684</v>
      </c>
      <c r="I943" s="10">
        <v>45684</v>
      </c>
      <c r="J943" s="4">
        <v>45684.402777777781</v>
      </c>
      <c r="K943" s="4">
        <v>45684.617407407408</v>
      </c>
      <c r="L943" s="11">
        <v>45684.588240740741</v>
      </c>
      <c r="M943" s="10">
        <v>45684</v>
      </c>
      <c r="N943" s="6" t="s">
        <v>176</v>
      </c>
      <c r="O943" t="s">
        <v>292</v>
      </c>
      <c r="P943" s="6" t="s">
        <v>70</v>
      </c>
      <c r="Q943" t="s">
        <v>72</v>
      </c>
      <c r="R943" t="s">
        <v>73</v>
      </c>
      <c r="S943" s="6">
        <v>715799</v>
      </c>
      <c r="T943" s="6" t="s">
        <v>1</v>
      </c>
      <c r="U943">
        <v>245</v>
      </c>
      <c r="V943" s="6">
        <v>0.2</v>
      </c>
      <c r="W943" s="6">
        <v>41.8</v>
      </c>
      <c r="X943" s="6">
        <v>247.7</v>
      </c>
      <c r="Y943" s="6">
        <v>289.7</v>
      </c>
      <c r="Z943" s="6" t="s">
        <v>63</v>
      </c>
      <c r="AA943" t="s">
        <v>136</v>
      </c>
      <c r="AB943" s="6" t="s">
        <v>97</v>
      </c>
      <c r="AC943" t="s">
        <v>83</v>
      </c>
      <c r="AD943" t="s">
        <v>67</v>
      </c>
      <c r="AE943">
        <v>-42</v>
      </c>
      <c r="AF943">
        <v>38</v>
      </c>
      <c r="AG943">
        <v>0</v>
      </c>
      <c r="AH943" s="6">
        <v>25.7</v>
      </c>
      <c r="AI943" s="6">
        <v>0</v>
      </c>
      <c r="AJ943" s="6">
        <v>0.92700000000000005</v>
      </c>
      <c r="AK943" s="6">
        <v>0.20699999999999999</v>
      </c>
      <c r="AL943" s="8">
        <v>1901.61</v>
      </c>
      <c r="AM943" s="6" t="s">
        <v>68</v>
      </c>
      <c r="AN943" s="6">
        <v>1</v>
      </c>
      <c r="AO943" s="6">
        <v>1</v>
      </c>
      <c r="AP943" s="6">
        <v>0</v>
      </c>
      <c r="AQ943" s="6">
        <v>1</v>
      </c>
      <c r="AR943" s="6">
        <v>0</v>
      </c>
      <c r="AS943" s="6">
        <v>1</v>
      </c>
      <c r="AT943" s="6">
        <v>0</v>
      </c>
      <c r="AU943" s="6">
        <v>1.99</v>
      </c>
      <c r="AV943" s="6">
        <v>1.32</v>
      </c>
      <c r="AW943" s="6">
        <v>250.52</v>
      </c>
      <c r="AX943" s="6">
        <v>32.54</v>
      </c>
      <c r="AY943" s="6">
        <v>182.44</v>
      </c>
      <c r="AZ943" s="6">
        <v>19.5</v>
      </c>
      <c r="BA943" s="6">
        <v>61.5</v>
      </c>
    </row>
    <row r="944" spans="1:53" x14ac:dyDescent="0.3">
      <c r="A944" s="6">
        <v>577934499</v>
      </c>
      <c r="B944" s="6">
        <v>325772</v>
      </c>
      <c r="C944" s="6">
        <v>9997381</v>
      </c>
      <c r="D944" s="6">
        <v>8099</v>
      </c>
      <c r="E944" s="6" t="s">
        <v>211</v>
      </c>
      <c r="F944" s="6">
        <v>54541</v>
      </c>
      <c r="G944" s="6" t="s">
        <v>127</v>
      </c>
      <c r="H944" s="10">
        <v>45935</v>
      </c>
      <c r="I944" s="10">
        <v>45935</v>
      </c>
      <c r="J944" s="4">
        <v>45935.5</v>
      </c>
      <c r="K944" s="4">
        <v>45935.725185185183</v>
      </c>
      <c r="L944" s="11">
        <v>45935.731435185182</v>
      </c>
      <c r="M944" s="10">
        <v>45935</v>
      </c>
      <c r="N944" s="6" t="s">
        <v>86</v>
      </c>
      <c r="O944" t="s">
        <v>243</v>
      </c>
      <c r="P944" s="6" t="s">
        <v>109</v>
      </c>
      <c r="Q944" t="s">
        <v>110</v>
      </c>
      <c r="R944" t="s">
        <v>88</v>
      </c>
      <c r="S944" s="6">
        <v>795199</v>
      </c>
      <c r="T944" s="6" t="s">
        <v>1</v>
      </c>
      <c r="U944">
        <v>285</v>
      </c>
      <c r="V944" s="6">
        <v>36.299999999999997</v>
      </c>
      <c r="W944" s="6">
        <v>25.1</v>
      </c>
      <c r="X944" s="6">
        <v>289.89999999999998</v>
      </c>
      <c r="Y944" s="6">
        <v>351.3</v>
      </c>
      <c r="Z944" s="6" t="s">
        <v>2</v>
      </c>
      <c r="AA944" t="s">
        <v>218</v>
      </c>
      <c r="AB944" s="6" t="s">
        <v>75</v>
      </c>
      <c r="AC944" t="s">
        <v>91</v>
      </c>
      <c r="AD944" t="s">
        <v>67</v>
      </c>
      <c r="AE944">
        <v>9</v>
      </c>
      <c r="AF944">
        <v>0</v>
      </c>
      <c r="AG944">
        <v>0</v>
      </c>
      <c r="AH944" s="6">
        <v>39.700000000000003</v>
      </c>
      <c r="AI944" s="6">
        <v>0</v>
      </c>
      <c r="AJ944" s="6">
        <v>0.71399999999999997</v>
      </c>
      <c r="AK944" s="6">
        <v>0.69599999999999995</v>
      </c>
      <c r="AL944" s="8">
        <v>21466.91</v>
      </c>
      <c r="AM944" s="6" t="s">
        <v>114</v>
      </c>
      <c r="AN944" s="6">
        <v>1</v>
      </c>
      <c r="AO944" s="6">
        <v>1</v>
      </c>
      <c r="AP944" s="6">
        <v>0</v>
      </c>
      <c r="AQ944" s="6">
        <v>1</v>
      </c>
      <c r="AR944" s="6">
        <v>0</v>
      </c>
      <c r="AS944" s="6">
        <v>1</v>
      </c>
      <c r="AT944" s="6">
        <v>0</v>
      </c>
      <c r="AU944" s="6">
        <v>2.2000000000000002</v>
      </c>
      <c r="AV944" s="6">
        <v>1.34</v>
      </c>
      <c r="AW944" s="6">
        <v>263.16000000000003</v>
      </c>
      <c r="AX944" s="6">
        <v>69.84</v>
      </c>
      <c r="AY944" s="6">
        <v>205.37</v>
      </c>
      <c r="AZ944" s="6">
        <v>4.7</v>
      </c>
      <c r="BA944" s="6">
        <v>26</v>
      </c>
    </row>
    <row r="945" spans="1:53" x14ac:dyDescent="0.3">
      <c r="A945" s="6">
        <v>194264587</v>
      </c>
      <c r="B945" s="6">
        <v>197251</v>
      </c>
      <c r="C945" s="6">
        <v>4078418</v>
      </c>
      <c r="D945" s="6">
        <v>2585</v>
      </c>
      <c r="E945" s="6" t="s">
        <v>106</v>
      </c>
      <c r="F945" s="6">
        <v>57876</v>
      </c>
      <c r="G945" s="6" t="s">
        <v>115</v>
      </c>
      <c r="H945" s="10">
        <v>45835</v>
      </c>
      <c r="I945" s="10">
        <v>45835</v>
      </c>
      <c r="J945" s="4">
        <v>45835.909722222219</v>
      </c>
      <c r="K945" s="4">
        <v>45836.314189814817</v>
      </c>
      <c r="L945" s="11">
        <v>45836.4843287037</v>
      </c>
      <c r="M945" s="10">
        <v>45836</v>
      </c>
      <c r="N945" s="6" t="s">
        <v>103</v>
      </c>
      <c r="O945" t="s">
        <v>204</v>
      </c>
      <c r="P945" s="6" t="s">
        <v>129</v>
      </c>
      <c r="Q945" t="s">
        <v>241</v>
      </c>
      <c r="R945" t="s">
        <v>123</v>
      </c>
      <c r="S945" s="6">
        <v>770517</v>
      </c>
      <c r="T945" s="6" t="s">
        <v>111</v>
      </c>
      <c r="U945">
        <v>410</v>
      </c>
      <c r="V945" s="6">
        <v>20</v>
      </c>
      <c r="W945" s="6">
        <v>3</v>
      </c>
      <c r="X945" s="6">
        <v>414.7</v>
      </c>
      <c r="Y945" s="6">
        <v>437.7</v>
      </c>
      <c r="Z945" s="6" t="s">
        <v>63</v>
      </c>
      <c r="AA945" t="s">
        <v>876</v>
      </c>
      <c r="AB945" s="6" t="s">
        <v>65</v>
      </c>
      <c r="AC945" t="s">
        <v>154</v>
      </c>
      <c r="AD945" t="s">
        <v>206</v>
      </c>
      <c r="AE945">
        <v>245</v>
      </c>
      <c r="AF945">
        <v>326</v>
      </c>
      <c r="AG945">
        <v>0</v>
      </c>
      <c r="AH945" s="6">
        <v>86.3</v>
      </c>
      <c r="AI945" s="6">
        <v>0</v>
      </c>
      <c r="AJ945" s="6">
        <v>0.755</v>
      </c>
      <c r="AK945" s="6">
        <v>0.503</v>
      </c>
      <c r="AL945" s="8">
        <v>1427.57</v>
      </c>
      <c r="AM945" s="6" t="s">
        <v>68</v>
      </c>
      <c r="AN945" s="6">
        <v>1</v>
      </c>
      <c r="AO945" s="6">
        <v>0</v>
      </c>
      <c r="AP945" s="6">
        <v>1</v>
      </c>
      <c r="AQ945" s="6">
        <v>0</v>
      </c>
      <c r="AR945" s="6">
        <v>1</v>
      </c>
      <c r="AS945" s="6">
        <v>0</v>
      </c>
      <c r="AT945" s="6">
        <v>1</v>
      </c>
      <c r="AU945" s="6">
        <v>2.11</v>
      </c>
      <c r="AV945" s="6">
        <v>1.66</v>
      </c>
      <c r="AW945" s="6">
        <v>391.26</v>
      </c>
      <c r="AX945" s="6">
        <v>63.7</v>
      </c>
      <c r="AY945" s="6">
        <v>237.28</v>
      </c>
      <c r="AZ945" s="6">
        <v>11.9</v>
      </c>
      <c r="BA945" s="6">
        <v>23.4</v>
      </c>
    </row>
    <row r="946" spans="1:53" x14ac:dyDescent="0.3">
      <c r="A946" s="6">
        <v>970281936</v>
      </c>
      <c r="B946" s="6">
        <v>497887</v>
      </c>
      <c r="C946" s="6">
        <v>5456272</v>
      </c>
      <c r="D946" s="6">
        <v>5488</v>
      </c>
      <c r="E946" s="6" t="s">
        <v>225</v>
      </c>
      <c r="F946" s="6">
        <v>58533</v>
      </c>
      <c r="G946" s="6" t="s">
        <v>102</v>
      </c>
      <c r="H946" s="10">
        <v>45783</v>
      </c>
      <c r="I946" s="10">
        <v>45783</v>
      </c>
      <c r="J946" s="4">
        <v>45783.489583333336</v>
      </c>
      <c r="K946" s="4">
        <v>45783.56658564815</v>
      </c>
      <c r="L946" s="11">
        <v>45783.561030092591</v>
      </c>
      <c r="M946" s="10">
        <v>45783</v>
      </c>
      <c r="N946" s="6" t="s">
        <v>170</v>
      </c>
      <c r="O946" t="s">
        <v>221</v>
      </c>
      <c r="P946" s="6" t="s">
        <v>170</v>
      </c>
      <c r="Q946" t="s">
        <v>171</v>
      </c>
      <c r="R946" t="s">
        <v>62</v>
      </c>
      <c r="S946" s="6">
        <v>774798</v>
      </c>
      <c r="T946" s="6" t="s">
        <v>3</v>
      </c>
      <c r="U946">
        <v>38</v>
      </c>
      <c r="V946" s="6">
        <v>6.9</v>
      </c>
      <c r="W946" s="6">
        <v>14.1</v>
      </c>
      <c r="X946" s="6">
        <v>38.299999999999997</v>
      </c>
      <c r="Y946" s="6">
        <v>59.3</v>
      </c>
      <c r="Z946" s="6" t="s">
        <v>2</v>
      </c>
      <c r="AA946" t="s">
        <v>877</v>
      </c>
      <c r="AB946" s="6" t="s">
        <v>75</v>
      </c>
      <c r="AC946" t="s">
        <v>66</v>
      </c>
      <c r="AD946" t="s">
        <v>67</v>
      </c>
      <c r="AE946">
        <v>-8</v>
      </c>
      <c r="AF946">
        <v>0</v>
      </c>
      <c r="AG946">
        <v>0</v>
      </c>
      <c r="AH946" s="6">
        <v>59.6</v>
      </c>
      <c r="AI946" s="6">
        <v>0</v>
      </c>
      <c r="AJ946" s="6">
        <v>0.82499999999999996</v>
      </c>
      <c r="AK946" s="6">
        <v>0.60899999999999999</v>
      </c>
      <c r="AL946" s="8">
        <v>4598.22</v>
      </c>
      <c r="AM946" s="6" t="s">
        <v>68</v>
      </c>
      <c r="AN946" s="6">
        <v>1</v>
      </c>
      <c r="AO946" s="6">
        <v>1</v>
      </c>
      <c r="AP946" s="6">
        <v>0</v>
      </c>
      <c r="AQ946" s="6">
        <v>1</v>
      </c>
      <c r="AR946" s="6">
        <v>0</v>
      </c>
      <c r="AS946" s="6">
        <v>1</v>
      </c>
      <c r="AT946" s="6">
        <v>0</v>
      </c>
      <c r="AU946" s="6">
        <v>2.39</v>
      </c>
      <c r="AV946" s="6">
        <v>1.69</v>
      </c>
      <c r="AW946" s="6">
        <v>41.54</v>
      </c>
      <c r="AX946" s="6">
        <v>7.68</v>
      </c>
      <c r="AY946" s="6">
        <v>35.86</v>
      </c>
      <c r="AZ946" s="6">
        <v>34.9</v>
      </c>
      <c r="BA946" s="6">
        <v>63.2</v>
      </c>
    </row>
    <row r="947" spans="1:53" x14ac:dyDescent="0.3">
      <c r="A947" s="6">
        <v>832215964</v>
      </c>
      <c r="B947" s="6">
        <v>479201</v>
      </c>
      <c r="C947" s="6">
        <v>7550190</v>
      </c>
      <c r="D947" s="6">
        <v>5887</v>
      </c>
      <c r="E947" s="6" t="s">
        <v>106</v>
      </c>
      <c r="F947" s="6">
        <v>58324</v>
      </c>
      <c r="G947" s="6" t="s">
        <v>146</v>
      </c>
      <c r="H947" s="10">
        <v>45810</v>
      </c>
      <c r="I947" s="10">
        <v>45810</v>
      </c>
      <c r="J947" s="4">
        <v>45810.708333333336</v>
      </c>
      <c r="K947" s="4">
        <v>45810.927372685182</v>
      </c>
      <c r="L947" s="11">
        <v>45810.89403935185</v>
      </c>
      <c r="M947" s="10">
        <v>45810</v>
      </c>
      <c r="N947" s="6" t="s">
        <v>103</v>
      </c>
      <c r="O947" t="s">
        <v>285</v>
      </c>
      <c r="P947" s="6" t="s">
        <v>103</v>
      </c>
      <c r="Q947" t="s">
        <v>204</v>
      </c>
      <c r="R947" t="s">
        <v>73</v>
      </c>
      <c r="S947" s="6">
        <v>783084</v>
      </c>
      <c r="T947" s="6" t="s">
        <v>1</v>
      </c>
      <c r="U947">
        <v>217</v>
      </c>
      <c r="V947" s="6">
        <v>52.8</v>
      </c>
      <c r="W947" s="6">
        <v>29</v>
      </c>
      <c r="X947" s="6">
        <v>227.8</v>
      </c>
      <c r="Y947" s="6">
        <v>309.60000000000002</v>
      </c>
      <c r="Z947" s="6" t="s">
        <v>112</v>
      </c>
      <c r="AA947" t="s">
        <v>649</v>
      </c>
      <c r="AB947" s="6" t="s">
        <v>90</v>
      </c>
      <c r="AC947" t="s">
        <v>83</v>
      </c>
      <c r="AD947" t="s">
        <v>67</v>
      </c>
      <c r="AE947">
        <v>-48</v>
      </c>
      <c r="AF947">
        <v>0</v>
      </c>
      <c r="AG947">
        <v>0</v>
      </c>
      <c r="AH947" s="6">
        <v>53.2</v>
      </c>
      <c r="AI947" s="6">
        <v>0</v>
      </c>
      <c r="AJ947" s="6">
        <v>0.44400000000000001</v>
      </c>
      <c r="AK947" s="6">
        <v>0.69699999999999995</v>
      </c>
      <c r="AL947" s="8">
        <v>14040.56</v>
      </c>
      <c r="AM947" s="6" t="s">
        <v>114</v>
      </c>
      <c r="AN947" s="6">
        <v>1</v>
      </c>
      <c r="AO947" s="6">
        <v>1</v>
      </c>
      <c r="AP947" s="6">
        <v>0</v>
      </c>
      <c r="AQ947" s="6">
        <v>1</v>
      </c>
      <c r="AR947" s="6">
        <v>0</v>
      </c>
      <c r="AS947" s="6">
        <v>1</v>
      </c>
      <c r="AT947" s="6">
        <v>0</v>
      </c>
      <c r="AU947" s="6">
        <v>2.02</v>
      </c>
      <c r="AV947" s="6">
        <v>1.61</v>
      </c>
      <c r="AW947" s="6">
        <v>275.20999999999998</v>
      </c>
      <c r="AX947" s="6">
        <v>67.94</v>
      </c>
      <c r="AY947" s="6">
        <v>200.67</v>
      </c>
      <c r="AZ947" s="6">
        <v>13.1</v>
      </c>
      <c r="BA947" s="6">
        <v>53.9</v>
      </c>
    </row>
    <row r="948" spans="1:53" x14ac:dyDescent="0.3">
      <c r="A948" s="6">
        <v>443154754</v>
      </c>
      <c r="B948" s="6">
        <v>145561</v>
      </c>
      <c r="C948" s="6">
        <v>2564689</v>
      </c>
      <c r="D948" s="6">
        <v>1161</v>
      </c>
      <c r="E948" s="6" t="s">
        <v>101</v>
      </c>
      <c r="F948" s="6">
        <v>50264</v>
      </c>
      <c r="G948" s="6" t="s">
        <v>149</v>
      </c>
      <c r="H948" s="10">
        <v>45997</v>
      </c>
      <c r="I948" s="10">
        <v>45997</v>
      </c>
      <c r="J948" s="4">
        <v>45997.46875</v>
      </c>
      <c r="K948" s="4">
        <v>45997.550520833334</v>
      </c>
      <c r="L948" s="11">
        <v>45997.533854166664</v>
      </c>
      <c r="M948" s="10">
        <v>45997</v>
      </c>
      <c r="N948" s="6" t="s">
        <v>93</v>
      </c>
      <c r="O948" t="s">
        <v>217</v>
      </c>
      <c r="P948" s="6" t="s">
        <v>78</v>
      </c>
      <c r="Q948" t="s">
        <v>222</v>
      </c>
      <c r="R948" t="s">
        <v>88</v>
      </c>
      <c r="S948" s="6">
        <v>761759</v>
      </c>
      <c r="T948" s="6" t="s">
        <v>3</v>
      </c>
      <c r="U948">
        <v>69</v>
      </c>
      <c r="V948" s="6">
        <v>35.4</v>
      </c>
      <c r="W948" s="6">
        <v>-2.5</v>
      </c>
      <c r="X948" s="6">
        <v>59.6</v>
      </c>
      <c r="Y948" s="6">
        <v>95</v>
      </c>
      <c r="Z948" s="6" t="s">
        <v>63</v>
      </c>
      <c r="AA948" t="s">
        <v>878</v>
      </c>
      <c r="AB948" s="6" t="s">
        <v>75</v>
      </c>
      <c r="AC948" t="s">
        <v>76</v>
      </c>
      <c r="AD948" t="s">
        <v>67</v>
      </c>
      <c r="AE948">
        <v>-24</v>
      </c>
      <c r="AF948">
        <v>0</v>
      </c>
      <c r="AG948">
        <v>0</v>
      </c>
      <c r="AH948" s="6">
        <v>41.5</v>
      </c>
      <c r="AI948" s="6">
        <v>0</v>
      </c>
      <c r="AJ948" s="6">
        <v>0.36599999999999999</v>
      </c>
      <c r="AK948" s="6">
        <v>0.70599999999999996</v>
      </c>
      <c r="AL948" s="8">
        <v>4951.68</v>
      </c>
      <c r="AM948" s="6" t="s">
        <v>68</v>
      </c>
      <c r="AN948" s="6">
        <v>1</v>
      </c>
      <c r="AO948" s="6">
        <v>1</v>
      </c>
      <c r="AP948" s="6">
        <v>0</v>
      </c>
      <c r="AQ948" s="6">
        <v>1</v>
      </c>
      <c r="AR948" s="6">
        <v>0</v>
      </c>
      <c r="AS948" s="6">
        <v>1</v>
      </c>
      <c r="AT948" s="6">
        <v>0</v>
      </c>
      <c r="AU948" s="6">
        <v>2.2400000000000002</v>
      </c>
      <c r="AV948" s="6">
        <v>1.38</v>
      </c>
      <c r="AW948" s="6">
        <v>66.84</v>
      </c>
      <c r="AX948" s="6">
        <v>17.12</v>
      </c>
      <c r="AY948" s="6">
        <v>51.24</v>
      </c>
      <c r="AZ948" s="6">
        <v>5.6</v>
      </c>
      <c r="BA948" s="6">
        <v>0</v>
      </c>
    </row>
    <row r="949" spans="1:53" x14ac:dyDescent="0.3">
      <c r="A949" s="6">
        <v>817087513</v>
      </c>
      <c r="B949" s="6">
        <v>195325</v>
      </c>
      <c r="C949" s="6">
        <v>3194789</v>
      </c>
      <c r="D949" s="6">
        <v>7585</v>
      </c>
      <c r="E949" s="6" t="s">
        <v>185</v>
      </c>
      <c r="F949" s="6">
        <v>59877</v>
      </c>
      <c r="G949" s="6" t="s">
        <v>164</v>
      </c>
      <c r="H949" s="10">
        <v>45990</v>
      </c>
      <c r="I949" s="10">
        <v>45990</v>
      </c>
      <c r="J949" s="4">
        <v>45990.104166666664</v>
      </c>
      <c r="K949" s="4">
        <v>45990.539317129631</v>
      </c>
      <c r="L949" s="11">
        <v>45990.537928240738</v>
      </c>
      <c r="M949" s="10">
        <v>45990</v>
      </c>
      <c r="N949" s="6" t="s">
        <v>116</v>
      </c>
      <c r="O949" t="s">
        <v>212</v>
      </c>
      <c r="P949" s="6" t="s">
        <v>200</v>
      </c>
      <c r="Q949" t="s">
        <v>338</v>
      </c>
      <c r="R949" t="s">
        <v>62</v>
      </c>
      <c r="S949" s="6">
        <v>755514</v>
      </c>
      <c r="T949" s="6" t="s">
        <v>111</v>
      </c>
      <c r="U949">
        <v>460</v>
      </c>
      <c r="V949" s="6">
        <v>33.700000000000003</v>
      </c>
      <c r="W949" s="6">
        <v>7.4</v>
      </c>
      <c r="X949" s="6">
        <v>450.7</v>
      </c>
      <c r="Y949" s="6">
        <v>491.8</v>
      </c>
      <c r="Z949" s="6" t="s">
        <v>63</v>
      </c>
      <c r="AA949" t="s">
        <v>879</v>
      </c>
      <c r="AB949" s="6" t="s">
        <v>82</v>
      </c>
      <c r="AC949" t="s">
        <v>76</v>
      </c>
      <c r="AD949" t="s">
        <v>67</v>
      </c>
      <c r="AE949">
        <v>-2</v>
      </c>
      <c r="AF949">
        <v>0</v>
      </c>
      <c r="AG949">
        <v>0</v>
      </c>
      <c r="AH949" s="6">
        <v>47.2</v>
      </c>
      <c r="AI949" s="6">
        <v>0</v>
      </c>
      <c r="AJ949" s="6">
        <v>0.78</v>
      </c>
      <c r="AK949" s="6">
        <v>0.53500000000000003</v>
      </c>
      <c r="AL949" s="8">
        <v>1504.04</v>
      </c>
      <c r="AM949" s="6" t="s">
        <v>68</v>
      </c>
      <c r="AN949" s="6">
        <v>1</v>
      </c>
      <c r="AO949" s="6">
        <v>1</v>
      </c>
      <c r="AP949" s="6">
        <v>0</v>
      </c>
      <c r="AQ949" s="6">
        <v>1</v>
      </c>
      <c r="AR949" s="6">
        <v>0</v>
      </c>
      <c r="AS949" s="6">
        <v>1</v>
      </c>
      <c r="AT949" s="6">
        <v>0</v>
      </c>
      <c r="AU949" s="6">
        <v>2.33</v>
      </c>
      <c r="AV949" s="6">
        <v>1.63</v>
      </c>
      <c r="AW949" s="6">
        <v>347.64</v>
      </c>
      <c r="AX949" s="6">
        <v>53.54</v>
      </c>
      <c r="AY949" s="6">
        <v>307.92</v>
      </c>
      <c r="AZ949" s="6">
        <v>15</v>
      </c>
      <c r="BA949" s="6">
        <v>30.2</v>
      </c>
    </row>
    <row r="950" spans="1:53" x14ac:dyDescent="0.3">
      <c r="A950" s="6">
        <v>473045064</v>
      </c>
      <c r="B950" s="6">
        <v>930555</v>
      </c>
      <c r="C950" s="6">
        <v>2262382</v>
      </c>
      <c r="D950" s="6">
        <v>1698</v>
      </c>
      <c r="E950" s="6" t="s">
        <v>57</v>
      </c>
      <c r="F950" s="6">
        <v>51434</v>
      </c>
      <c r="G950" s="6" t="s">
        <v>102</v>
      </c>
      <c r="H950" s="10">
        <v>45919</v>
      </c>
      <c r="I950" s="10">
        <v>45919</v>
      </c>
      <c r="J950" s="4">
        <v>45919.097222222219</v>
      </c>
      <c r="K950" s="4">
        <v>45919.184212962966</v>
      </c>
      <c r="L950" s="11">
        <v>45919.181435185186</v>
      </c>
      <c r="M950" s="10">
        <v>45919</v>
      </c>
      <c r="N950" s="6" t="s">
        <v>170</v>
      </c>
      <c r="O950" t="s">
        <v>269</v>
      </c>
      <c r="P950" s="6" t="s">
        <v>170</v>
      </c>
      <c r="Q950" t="s">
        <v>183</v>
      </c>
      <c r="R950" t="s">
        <v>62</v>
      </c>
      <c r="S950" s="6">
        <v>774798</v>
      </c>
      <c r="T950" s="6" t="s">
        <v>3</v>
      </c>
      <c r="U950">
        <v>39</v>
      </c>
      <c r="V950" s="6">
        <v>50.7</v>
      </c>
      <c r="W950" s="6">
        <v>9.1999999999999993</v>
      </c>
      <c r="X950" s="6">
        <v>38.9</v>
      </c>
      <c r="Y950" s="6">
        <v>98.8</v>
      </c>
      <c r="Z950" s="6" t="s">
        <v>2</v>
      </c>
      <c r="AA950" t="s">
        <v>729</v>
      </c>
      <c r="AB950" s="6" t="s">
        <v>82</v>
      </c>
      <c r="AC950" t="s">
        <v>154</v>
      </c>
      <c r="AD950" t="s">
        <v>67</v>
      </c>
      <c r="AE950">
        <v>-4</v>
      </c>
      <c r="AF950">
        <v>0</v>
      </c>
      <c r="AG950">
        <v>0</v>
      </c>
      <c r="AH950" s="6">
        <v>21.6</v>
      </c>
      <c r="AI950" s="6">
        <v>0</v>
      </c>
      <c r="AJ950" s="6">
        <v>0.221</v>
      </c>
      <c r="AK950" s="6">
        <v>0.82299999999999995</v>
      </c>
      <c r="AL950" s="8">
        <v>5678.24</v>
      </c>
      <c r="AM950" s="6" t="s">
        <v>68</v>
      </c>
      <c r="AN950" s="6">
        <v>1</v>
      </c>
      <c r="AO950" s="6">
        <v>1</v>
      </c>
      <c r="AP950" s="6">
        <v>0</v>
      </c>
      <c r="AQ950" s="6">
        <v>1</v>
      </c>
      <c r="AR950" s="6">
        <v>0</v>
      </c>
      <c r="AS950" s="6">
        <v>1</v>
      </c>
      <c r="AT950" s="6">
        <v>0</v>
      </c>
      <c r="AU950" s="6">
        <v>2.2400000000000002</v>
      </c>
      <c r="AV950" s="6">
        <v>1.35</v>
      </c>
      <c r="AW950" s="6">
        <v>73.72</v>
      </c>
      <c r="AX950" s="6">
        <v>19.38</v>
      </c>
      <c r="AY950" s="6">
        <v>53.59</v>
      </c>
      <c r="AZ950" s="6">
        <v>25.4</v>
      </c>
      <c r="BA950" s="6">
        <v>35.5</v>
      </c>
    </row>
    <row r="951" spans="1:53" x14ac:dyDescent="0.3">
      <c r="A951" s="6">
        <v>861863296</v>
      </c>
      <c r="B951" s="6">
        <v>100599</v>
      </c>
      <c r="C951" s="6">
        <v>6555772</v>
      </c>
      <c r="D951" s="6">
        <v>1262</v>
      </c>
      <c r="E951" s="6" t="s">
        <v>57</v>
      </c>
      <c r="F951" s="6">
        <v>55327</v>
      </c>
      <c r="G951" s="6" t="s">
        <v>77</v>
      </c>
      <c r="H951" s="10">
        <v>45980</v>
      </c>
      <c r="I951" s="10">
        <v>45980</v>
      </c>
      <c r="J951" s="4">
        <v>45980.420138888891</v>
      </c>
      <c r="K951" s="4">
        <v>45980.770509259259</v>
      </c>
      <c r="L951" s="11">
        <v>45980.74759259259</v>
      </c>
      <c r="M951" s="10">
        <v>45980</v>
      </c>
      <c r="N951" s="6" t="s">
        <v>116</v>
      </c>
      <c r="O951" t="s">
        <v>128</v>
      </c>
      <c r="P951" s="6" t="s">
        <v>176</v>
      </c>
      <c r="Q951" t="s">
        <v>177</v>
      </c>
      <c r="R951" t="s">
        <v>88</v>
      </c>
      <c r="S951" s="6">
        <v>791471</v>
      </c>
      <c r="T951" s="6" t="s">
        <v>111</v>
      </c>
      <c r="U951">
        <v>374</v>
      </c>
      <c r="V951" s="6">
        <v>15</v>
      </c>
      <c r="W951" s="6">
        <v>11.9</v>
      </c>
      <c r="X951" s="6">
        <v>384.5</v>
      </c>
      <c r="Y951" s="6">
        <v>411.4</v>
      </c>
      <c r="Z951" s="6" t="s">
        <v>63</v>
      </c>
      <c r="AA951" t="s">
        <v>742</v>
      </c>
      <c r="AB951" s="6" t="s">
        <v>75</v>
      </c>
      <c r="AC951" t="s">
        <v>125</v>
      </c>
      <c r="AD951" t="s">
        <v>67</v>
      </c>
      <c r="AE951">
        <v>-33</v>
      </c>
      <c r="AF951">
        <v>0</v>
      </c>
      <c r="AG951">
        <v>0</v>
      </c>
      <c r="AH951" s="6">
        <v>42.2</v>
      </c>
      <c r="AI951" s="6">
        <v>0</v>
      </c>
      <c r="AJ951" s="6">
        <v>0.49299999999999999</v>
      </c>
      <c r="AK951" s="6">
        <v>0.86</v>
      </c>
      <c r="AL951" s="8">
        <v>3950.43</v>
      </c>
      <c r="AM951" s="6" t="s">
        <v>68</v>
      </c>
      <c r="AN951" s="6">
        <v>1</v>
      </c>
      <c r="AO951" s="6">
        <v>1</v>
      </c>
      <c r="AP951" s="6">
        <v>0</v>
      </c>
      <c r="AQ951" s="6">
        <v>1</v>
      </c>
      <c r="AR951" s="6">
        <v>0</v>
      </c>
      <c r="AS951" s="6">
        <v>1</v>
      </c>
      <c r="AT951" s="6">
        <v>0</v>
      </c>
      <c r="AU951" s="6">
        <v>2.21</v>
      </c>
      <c r="AV951" s="6">
        <v>1.54</v>
      </c>
      <c r="AW951" s="6">
        <v>318.73</v>
      </c>
      <c r="AX951" s="6">
        <v>78.19</v>
      </c>
      <c r="AY951" s="6">
        <v>294.89</v>
      </c>
      <c r="AZ951" s="6">
        <v>8.6999999999999993</v>
      </c>
      <c r="BA951" s="6">
        <v>37.700000000000003</v>
      </c>
    </row>
    <row r="952" spans="1:53" x14ac:dyDescent="0.3">
      <c r="A952" s="6">
        <v>169727803</v>
      </c>
      <c r="B952" s="6">
        <v>779514</v>
      </c>
      <c r="C952" s="6">
        <v>5130808</v>
      </c>
      <c r="D952" s="6">
        <v>3731</v>
      </c>
      <c r="E952" s="6" t="s">
        <v>106</v>
      </c>
      <c r="F952" s="6">
        <v>55097</v>
      </c>
      <c r="G952" s="6" t="s">
        <v>146</v>
      </c>
      <c r="H952" s="10">
        <v>45774</v>
      </c>
      <c r="I952" s="10">
        <v>45774</v>
      </c>
      <c r="J952" s="4">
        <v>45774.715277777781</v>
      </c>
      <c r="K952" s="4">
        <v>45774.884641203702</v>
      </c>
      <c r="L952" s="11">
        <v>45774.863807870373</v>
      </c>
      <c r="M952" s="10">
        <v>45774</v>
      </c>
      <c r="N952" s="6" t="s">
        <v>86</v>
      </c>
      <c r="O952" t="s">
        <v>87</v>
      </c>
      <c r="P952" s="6" t="s">
        <v>59</v>
      </c>
      <c r="Q952" t="s">
        <v>61</v>
      </c>
      <c r="R952" t="s">
        <v>62</v>
      </c>
      <c r="S952" s="6">
        <v>774885</v>
      </c>
      <c r="T952" s="6" t="s">
        <v>1</v>
      </c>
      <c r="U952">
        <v>183</v>
      </c>
      <c r="V952" s="6">
        <v>47.4</v>
      </c>
      <c r="W952" s="6">
        <v>13.9</v>
      </c>
      <c r="X952" s="6">
        <v>190</v>
      </c>
      <c r="Y952" s="6">
        <v>251.3</v>
      </c>
      <c r="Z952" s="6" t="s">
        <v>63</v>
      </c>
      <c r="AA952" t="s">
        <v>750</v>
      </c>
      <c r="AB952" s="6" t="s">
        <v>90</v>
      </c>
      <c r="AC952" t="s">
        <v>91</v>
      </c>
      <c r="AD952" t="s">
        <v>67</v>
      </c>
      <c r="AE952">
        <v>-30</v>
      </c>
      <c r="AF952">
        <v>0</v>
      </c>
      <c r="AG952">
        <v>0</v>
      </c>
      <c r="AH952" s="6">
        <v>54.8</v>
      </c>
      <c r="AI952" s="6">
        <v>0</v>
      </c>
      <c r="AJ952" s="6">
        <v>0.88100000000000001</v>
      </c>
      <c r="AK952" s="6">
        <v>0.33300000000000002</v>
      </c>
      <c r="AL952" s="8">
        <v>17219.14</v>
      </c>
      <c r="AM952" s="6" t="s">
        <v>114</v>
      </c>
      <c r="AN952" s="6">
        <v>1</v>
      </c>
      <c r="AO952" s="6">
        <v>1</v>
      </c>
      <c r="AP952" s="6">
        <v>0</v>
      </c>
      <c r="AQ952" s="6">
        <v>1</v>
      </c>
      <c r="AR952" s="6">
        <v>0</v>
      </c>
      <c r="AS952" s="6">
        <v>1</v>
      </c>
      <c r="AT952" s="6">
        <v>0</v>
      </c>
      <c r="AU952" s="6">
        <v>2.27</v>
      </c>
      <c r="AV952" s="6">
        <v>1.76</v>
      </c>
      <c r="AW952" s="6">
        <v>187.34</v>
      </c>
      <c r="AX952" s="6">
        <v>37.229999999999997</v>
      </c>
      <c r="AY952" s="6">
        <v>164.8</v>
      </c>
      <c r="AZ952" s="6">
        <v>38.9</v>
      </c>
      <c r="BA952" s="6">
        <v>62</v>
      </c>
    </row>
    <row r="953" spans="1:53" x14ac:dyDescent="0.3">
      <c r="A953" s="6">
        <v>690554938</v>
      </c>
      <c r="B953" s="6">
        <v>133326</v>
      </c>
      <c r="C953" s="6">
        <v>6543670</v>
      </c>
      <c r="D953" s="6">
        <v>7420</v>
      </c>
      <c r="E953" s="6" t="s">
        <v>84</v>
      </c>
      <c r="F953" s="6">
        <v>51660</v>
      </c>
      <c r="G953" s="6" t="s">
        <v>115</v>
      </c>
      <c r="H953" s="10">
        <v>45797</v>
      </c>
      <c r="I953" s="10">
        <v>45797</v>
      </c>
      <c r="J953" s="4">
        <v>45797.354166666664</v>
      </c>
      <c r="K953" s="4">
        <v>45797.695486111108</v>
      </c>
      <c r="L953" s="11">
        <v>45797.671875</v>
      </c>
      <c r="M953" s="10">
        <v>45797</v>
      </c>
      <c r="N953" s="6" t="s">
        <v>150</v>
      </c>
      <c r="O953" t="s">
        <v>196</v>
      </c>
      <c r="P953" s="6" t="s">
        <v>116</v>
      </c>
      <c r="Q953" t="s">
        <v>212</v>
      </c>
      <c r="R953" t="s">
        <v>123</v>
      </c>
      <c r="S953" s="6">
        <v>739992</v>
      </c>
      <c r="T953" s="6" t="s">
        <v>1</v>
      </c>
      <c r="U953">
        <v>311</v>
      </c>
      <c r="V953" s="6">
        <v>29.5</v>
      </c>
      <c r="W953" s="6">
        <v>7.3</v>
      </c>
      <c r="X953" s="6">
        <v>302</v>
      </c>
      <c r="Y953" s="6">
        <v>338.8</v>
      </c>
      <c r="Z953" s="6" t="s">
        <v>2</v>
      </c>
      <c r="AA953" t="s">
        <v>100</v>
      </c>
      <c r="AB953" s="6" t="s">
        <v>97</v>
      </c>
      <c r="AC953" t="s">
        <v>66</v>
      </c>
      <c r="AD953" t="s">
        <v>67</v>
      </c>
      <c r="AE953">
        <v>-34</v>
      </c>
      <c r="AF953">
        <v>0</v>
      </c>
      <c r="AG953">
        <v>0</v>
      </c>
      <c r="AH953" s="6">
        <v>59.5</v>
      </c>
      <c r="AI953" s="6">
        <v>0</v>
      </c>
      <c r="AJ953" s="6">
        <v>0.53200000000000003</v>
      </c>
      <c r="AK953" s="6">
        <v>0.67500000000000004</v>
      </c>
      <c r="AL953" s="8">
        <v>5015.34</v>
      </c>
      <c r="AM953" s="6" t="s">
        <v>68</v>
      </c>
      <c r="AN953" s="6">
        <v>1</v>
      </c>
      <c r="AO953" s="6">
        <v>1</v>
      </c>
      <c r="AP953" s="6">
        <v>0</v>
      </c>
      <c r="AQ953" s="6">
        <v>1</v>
      </c>
      <c r="AR953" s="6">
        <v>0</v>
      </c>
      <c r="AS953" s="6">
        <v>1</v>
      </c>
      <c r="AT953" s="6">
        <v>0</v>
      </c>
      <c r="AU953" s="6">
        <v>2.63</v>
      </c>
      <c r="AV953" s="6">
        <v>1.59</v>
      </c>
      <c r="AW953" s="6">
        <v>297.68</v>
      </c>
      <c r="AX953" s="6">
        <v>38.909999999999997</v>
      </c>
      <c r="AY953" s="6">
        <v>211.63</v>
      </c>
      <c r="AZ953" s="6">
        <v>28.4</v>
      </c>
      <c r="BA953" s="6">
        <v>72.8</v>
      </c>
    </row>
    <row r="954" spans="1:53" x14ac:dyDescent="0.3">
      <c r="A954" s="6">
        <v>682152066</v>
      </c>
      <c r="B954" s="6">
        <v>496922</v>
      </c>
      <c r="C954" s="6">
        <v>9075854</v>
      </c>
      <c r="D954" s="6">
        <v>8869</v>
      </c>
      <c r="E954" s="6" t="s">
        <v>84</v>
      </c>
      <c r="F954" s="6">
        <v>55692</v>
      </c>
      <c r="G954" s="6" t="s">
        <v>77</v>
      </c>
      <c r="H954" s="10">
        <v>45882</v>
      </c>
      <c r="I954" s="10">
        <v>45882</v>
      </c>
      <c r="J954" s="4">
        <v>45882.635416666664</v>
      </c>
      <c r="K954" s="4">
        <v>45883.294930555552</v>
      </c>
      <c r="L954" s="11">
        <v>45883.278263888889</v>
      </c>
      <c r="M954" s="10">
        <v>45883</v>
      </c>
      <c r="N954" s="6" t="s">
        <v>200</v>
      </c>
      <c r="O954" t="s">
        <v>161</v>
      </c>
      <c r="P954" s="6" t="s">
        <v>176</v>
      </c>
      <c r="Q954" t="s">
        <v>177</v>
      </c>
      <c r="R954" t="s">
        <v>88</v>
      </c>
      <c r="S954" s="6">
        <v>749362</v>
      </c>
      <c r="T954" s="6" t="s">
        <v>140</v>
      </c>
      <c r="U954">
        <v>733</v>
      </c>
      <c r="V954" s="6">
        <v>14.4</v>
      </c>
      <c r="W954" s="6">
        <v>31.7</v>
      </c>
      <c r="X954" s="6">
        <v>750.1</v>
      </c>
      <c r="Y954" s="6">
        <v>796.2</v>
      </c>
      <c r="Z954" s="6" t="s">
        <v>112</v>
      </c>
      <c r="AA954" t="s">
        <v>880</v>
      </c>
      <c r="AB954" s="6" t="s">
        <v>90</v>
      </c>
      <c r="AC954" t="s">
        <v>125</v>
      </c>
      <c r="AD954" t="s">
        <v>67</v>
      </c>
      <c r="AE954">
        <v>-24</v>
      </c>
      <c r="AF954">
        <v>0</v>
      </c>
      <c r="AG954">
        <v>0</v>
      </c>
      <c r="AH954" s="6">
        <v>47.5</v>
      </c>
      <c r="AI954" s="6">
        <v>0</v>
      </c>
      <c r="AJ954" s="6">
        <v>0.67800000000000005</v>
      </c>
      <c r="AK954" s="6">
        <v>0.499</v>
      </c>
      <c r="AL954" s="8">
        <v>15000.76</v>
      </c>
      <c r="AM954" s="6" t="s">
        <v>114</v>
      </c>
      <c r="AN954" s="6">
        <v>1</v>
      </c>
      <c r="AO954" s="6">
        <v>1</v>
      </c>
      <c r="AP954" s="6">
        <v>0</v>
      </c>
      <c r="AQ954" s="6">
        <v>1</v>
      </c>
      <c r="AR954" s="6">
        <v>0</v>
      </c>
      <c r="AS954" s="6">
        <v>1</v>
      </c>
      <c r="AT954" s="6">
        <v>0</v>
      </c>
      <c r="AU954" s="6">
        <v>2.38</v>
      </c>
      <c r="AV954" s="6">
        <v>1.52</v>
      </c>
      <c r="AW954" s="6">
        <v>683.67</v>
      </c>
      <c r="AX954" s="6">
        <v>127.15</v>
      </c>
      <c r="AY954" s="6">
        <v>415.11</v>
      </c>
      <c r="AZ954" s="6">
        <v>9.3000000000000007</v>
      </c>
      <c r="BA954" s="6">
        <v>32.799999999999997</v>
      </c>
    </row>
    <row r="955" spans="1:53" x14ac:dyDescent="0.3">
      <c r="A955" s="6">
        <v>411774120</v>
      </c>
      <c r="B955" s="6">
        <v>847581</v>
      </c>
      <c r="C955" s="6">
        <v>3919694</v>
      </c>
      <c r="D955" s="6">
        <v>9050</v>
      </c>
      <c r="E955" s="6" t="s">
        <v>185</v>
      </c>
      <c r="F955" s="6">
        <v>52354</v>
      </c>
      <c r="G955" s="6" t="s">
        <v>77</v>
      </c>
      <c r="H955" s="10">
        <v>45885</v>
      </c>
      <c r="I955" s="10">
        <v>45885</v>
      </c>
      <c r="J955" s="4">
        <v>45885.659722222219</v>
      </c>
      <c r="K955" s="4">
        <v>45885.757847222223</v>
      </c>
      <c r="L955" s="11">
        <v>45885.737708333334</v>
      </c>
      <c r="M955" s="10">
        <v>45885</v>
      </c>
      <c r="N955" s="6" t="s">
        <v>200</v>
      </c>
      <c r="O955" t="s">
        <v>161</v>
      </c>
      <c r="P955" s="6" t="s">
        <v>200</v>
      </c>
      <c r="Q955" t="s">
        <v>161</v>
      </c>
      <c r="R955" t="s">
        <v>62</v>
      </c>
      <c r="S955" s="6">
        <v>725966</v>
      </c>
      <c r="T955" s="6" t="s">
        <v>3</v>
      </c>
      <c r="U955">
        <v>87</v>
      </c>
      <c r="V955" s="6">
        <v>21.9</v>
      </c>
      <c r="W955" s="6">
        <v>17</v>
      </c>
      <c r="X955" s="6">
        <v>90.3</v>
      </c>
      <c r="Y955" s="6">
        <v>129.19999999999999</v>
      </c>
      <c r="Z955" s="6" t="s">
        <v>63</v>
      </c>
      <c r="AA955" t="s">
        <v>364</v>
      </c>
      <c r="AB955" s="6" t="s">
        <v>90</v>
      </c>
      <c r="AC955" t="s">
        <v>76</v>
      </c>
      <c r="AD955" t="s">
        <v>67</v>
      </c>
      <c r="AE955">
        <v>-29</v>
      </c>
      <c r="AF955">
        <v>0</v>
      </c>
      <c r="AG955">
        <v>0</v>
      </c>
      <c r="AH955" s="6">
        <v>36.200000000000003</v>
      </c>
      <c r="AI955" s="6">
        <v>0</v>
      </c>
      <c r="AJ955" s="6">
        <v>0.79400000000000004</v>
      </c>
      <c r="AK955" s="6">
        <v>0.52300000000000002</v>
      </c>
      <c r="AL955" s="8">
        <v>5616.59</v>
      </c>
      <c r="AM955" s="6" t="s">
        <v>68</v>
      </c>
      <c r="AN955" s="6">
        <v>1</v>
      </c>
      <c r="AO955" s="6">
        <v>1</v>
      </c>
      <c r="AP955" s="6">
        <v>0</v>
      </c>
      <c r="AQ955" s="6">
        <v>1</v>
      </c>
      <c r="AR955" s="6">
        <v>0</v>
      </c>
      <c r="AS955" s="6">
        <v>1</v>
      </c>
      <c r="AT955" s="6">
        <v>0</v>
      </c>
      <c r="AU955" s="6">
        <v>1.98</v>
      </c>
      <c r="AV955" s="6">
        <v>1.45</v>
      </c>
      <c r="AW955" s="6">
        <v>92.11</v>
      </c>
      <c r="AX955" s="6">
        <v>24.75</v>
      </c>
      <c r="AY955" s="6">
        <v>80.2</v>
      </c>
      <c r="AZ955" s="6">
        <v>12.5</v>
      </c>
      <c r="BA955" s="6">
        <v>21.2</v>
      </c>
    </row>
    <row r="956" spans="1:53" x14ac:dyDescent="0.3">
      <c r="A956" s="6">
        <v>422076028</v>
      </c>
      <c r="B956" s="6">
        <v>358607</v>
      </c>
      <c r="C956" s="6">
        <v>5727085</v>
      </c>
      <c r="D956" s="6">
        <v>6864</v>
      </c>
      <c r="E956" s="6" t="s">
        <v>84</v>
      </c>
      <c r="F956" s="6">
        <v>58457</v>
      </c>
      <c r="G956" s="6" t="s">
        <v>207</v>
      </c>
      <c r="H956" s="10">
        <v>45833</v>
      </c>
      <c r="I956" s="10">
        <v>45833</v>
      </c>
      <c r="J956" s="4">
        <v>45833.538194444445</v>
      </c>
      <c r="K956" s="4">
        <v>45833.772731481484</v>
      </c>
      <c r="L956" s="11">
        <v>45833.749814814815</v>
      </c>
      <c r="M956" s="10">
        <v>45833</v>
      </c>
      <c r="N956" s="6" t="s">
        <v>121</v>
      </c>
      <c r="O956" t="s">
        <v>122</v>
      </c>
      <c r="P956" s="6" t="s">
        <v>121</v>
      </c>
      <c r="Q956" t="s">
        <v>143</v>
      </c>
      <c r="R956" t="s">
        <v>123</v>
      </c>
      <c r="S956" s="6">
        <v>742838</v>
      </c>
      <c r="T956" s="6" t="s">
        <v>1</v>
      </c>
      <c r="U956">
        <v>266</v>
      </c>
      <c r="V956" s="6">
        <v>25.4</v>
      </c>
      <c r="W956" s="6">
        <v>35</v>
      </c>
      <c r="X956" s="6">
        <v>259.10000000000002</v>
      </c>
      <c r="Y956" s="6">
        <v>319.5</v>
      </c>
      <c r="Z956" s="6" t="s">
        <v>63</v>
      </c>
      <c r="AA956" t="s">
        <v>881</v>
      </c>
      <c r="AB956" s="6" t="s">
        <v>75</v>
      </c>
      <c r="AC956" t="s">
        <v>125</v>
      </c>
      <c r="AD956" t="s">
        <v>67</v>
      </c>
      <c r="AE956">
        <v>-33</v>
      </c>
      <c r="AF956">
        <v>0</v>
      </c>
      <c r="AG956">
        <v>0</v>
      </c>
      <c r="AH956" s="6">
        <v>43.7</v>
      </c>
      <c r="AI956" s="6">
        <v>0</v>
      </c>
      <c r="AJ956" s="6">
        <v>0.61299999999999999</v>
      </c>
      <c r="AK956" s="6">
        <v>0.27600000000000002</v>
      </c>
      <c r="AL956" s="8">
        <v>2613.02</v>
      </c>
      <c r="AM956" s="6" t="s">
        <v>68</v>
      </c>
      <c r="AN956" s="6">
        <v>1</v>
      </c>
      <c r="AO956" s="6">
        <v>1</v>
      </c>
      <c r="AP956" s="6">
        <v>0</v>
      </c>
      <c r="AQ956" s="6">
        <v>1</v>
      </c>
      <c r="AR956" s="6">
        <v>0</v>
      </c>
      <c r="AS956" s="6">
        <v>1</v>
      </c>
      <c r="AT956" s="6">
        <v>0</v>
      </c>
      <c r="AU956" s="6">
        <v>2.29</v>
      </c>
      <c r="AV956" s="6">
        <v>1.37</v>
      </c>
      <c r="AW956" s="6">
        <v>247.12</v>
      </c>
      <c r="AX956" s="6">
        <v>34.86</v>
      </c>
      <c r="AY956" s="6">
        <v>214.74</v>
      </c>
      <c r="AZ956" s="6">
        <v>7.3</v>
      </c>
      <c r="BA956" s="6">
        <v>43.6</v>
      </c>
    </row>
    <row r="957" spans="1:53" x14ac:dyDescent="0.3">
      <c r="A957" s="6">
        <v>269119969</v>
      </c>
      <c r="B957" s="6">
        <v>855731</v>
      </c>
      <c r="C957" s="6">
        <v>2724590</v>
      </c>
      <c r="D957" s="6">
        <v>1202</v>
      </c>
      <c r="E957" s="6" t="s">
        <v>211</v>
      </c>
      <c r="F957" s="6">
        <v>56461</v>
      </c>
      <c r="G957" s="6" t="s">
        <v>149</v>
      </c>
      <c r="H957" s="10">
        <v>45804</v>
      </c>
      <c r="I957" s="10">
        <v>45804</v>
      </c>
      <c r="J957" s="4">
        <v>45804.645833333336</v>
      </c>
      <c r="K957" s="4">
        <v>45804.730439814812</v>
      </c>
      <c r="L957" s="11">
        <v>45804.715856481482</v>
      </c>
      <c r="M957" s="10">
        <v>45804</v>
      </c>
      <c r="N957" s="6" t="s">
        <v>200</v>
      </c>
      <c r="O957" t="s">
        <v>171</v>
      </c>
      <c r="P957" s="6" t="s">
        <v>116</v>
      </c>
      <c r="Q957" t="s">
        <v>117</v>
      </c>
      <c r="R957" t="s">
        <v>123</v>
      </c>
      <c r="S957" s="6">
        <v>766155</v>
      </c>
      <c r="T957" s="6" t="s">
        <v>3</v>
      </c>
      <c r="U957">
        <v>43</v>
      </c>
      <c r="V957" s="6">
        <v>42</v>
      </c>
      <c r="W957" s="6">
        <v>35.299999999999997</v>
      </c>
      <c r="X957" s="6">
        <v>42.4</v>
      </c>
      <c r="Y957" s="6">
        <v>119.7</v>
      </c>
      <c r="Z957" s="6" t="s">
        <v>63</v>
      </c>
      <c r="AA957" t="s">
        <v>882</v>
      </c>
      <c r="AB957" s="6" t="s">
        <v>90</v>
      </c>
      <c r="AC957" t="s">
        <v>66</v>
      </c>
      <c r="AD957" t="s">
        <v>67</v>
      </c>
      <c r="AE957">
        <v>-21</v>
      </c>
      <c r="AF957">
        <v>0</v>
      </c>
      <c r="AG957">
        <v>1.6</v>
      </c>
      <c r="AH957" s="6">
        <v>42</v>
      </c>
      <c r="AI957" s="6">
        <v>0</v>
      </c>
      <c r="AJ957" s="6">
        <v>0.72399999999999998</v>
      </c>
      <c r="AK957" s="6">
        <v>0.68200000000000005</v>
      </c>
      <c r="AL957" s="8">
        <v>1760.38</v>
      </c>
      <c r="AM957" s="6" t="s">
        <v>68</v>
      </c>
      <c r="AN957" s="6">
        <v>1</v>
      </c>
      <c r="AO957" s="6">
        <v>1</v>
      </c>
      <c r="AP957" s="6">
        <v>0</v>
      </c>
      <c r="AQ957" s="6">
        <v>1</v>
      </c>
      <c r="AR957" s="6">
        <v>0</v>
      </c>
      <c r="AS957" s="6">
        <v>1</v>
      </c>
      <c r="AT957" s="6">
        <v>0</v>
      </c>
      <c r="AU957" s="6">
        <v>2.2400000000000002</v>
      </c>
      <c r="AV957" s="6">
        <v>1.52</v>
      </c>
      <c r="AW957" s="6">
        <v>89.69</v>
      </c>
      <c r="AX957" s="6">
        <v>14.32</v>
      </c>
      <c r="AY957" s="6">
        <v>78.63</v>
      </c>
      <c r="AZ957" s="6">
        <v>32.200000000000003</v>
      </c>
      <c r="BA957" s="6">
        <v>71.7</v>
      </c>
    </row>
    <row r="958" spans="1:53" x14ac:dyDescent="0.3">
      <c r="A958" s="6">
        <v>864299201</v>
      </c>
      <c r="B958" s="6">
        <v>770487</v>
      </c>
      <c r="C958" s="6">
        <v>9683481</v>
      </c>
      <c r="D958" s="6">
        <v>8270</v>
      </c>
      <c r="E958" s="6" t="s">
        <v>211</v>
      </c>
      <c r="F958" s="6">
        <v>59328</v>
      </c>
      <c r="G958" s="6" t="s">
        <v>69</v>
      </c>
      <c r="H958" s="10">
        <v>46017</v>
      </c>
      <c r="I958" s="10">
        <v>46017</v>
      </c>
      <c r="J958" s="4">
        <v>46017.5</v>
      </c>
      <c r="K958" s="4">
        <v>46017.698125000003</v>
      </c>
      <c r="L958" s="11">
        <v>46017.686319444445</v>
      </c>
      <c r="M958" s="10">
        <v>46017</v>
      </c>
      <c r="N958" s="6" t="s">
        <v>134</v>
      </c>
      <c r="O958" t="s">
        <v>135</v>
      </c>
      <c r="P958" s="6" t="s">
        <v>132</v>
      </c>
      <c r="Q958" t="s">
        <v>181</v>
      </c>
      <c r="R958" t="s">
        <v>62</v>
      </c>
      <c r="S958" s="6">
        <v>733483</v>
      </c>
      <c r="T958" s="6" t="s">
        <v>1</v>
      </c>
      <c r="U958">
        <v>227</v>
      </c>
      <c r="V958" s="6">
        <v>2.2999999999999998</v>
      </c>
      <c r="W958" s="6">
        <v>1.6</v>
      </c>
      <c r="X958" s="6">
        <v>232.8</v>
      </c>
      <c r="Y958" s="6">
        <v>236.7</v>
      </c>
      <c r="Z958" s="6" t="s">
        <v>215</v>
      </c>
      <c r="AA958" t="s">
        <v>245</v>
      </c>
      <c r="AB958" s="6" t="s">
        <v>75</v>
      </c>
      <c r="AC958" t="s">
        <v>154</v>
      </c>
      <c r="AD958" t="s">
        <v>67</v>
      </c>
      <c r="AE958">
        <v>-17</v>
      </c>
      <c r="AF958">
        <v>52</v>
      </c>
      <c r="AG958">
        <v>0</v>
      </c>
      <c r="AH958" s="6">
        <v>43.5</v>
      </c>
      <c r="AI958" s="6">
        <v>0</v>
      </c>
      <c r="AJ958" s="6">
        <v>0.39300000000000002</v>
      </c>
      <c r="AK958" s="6">
        <v>0.51700000000000002</v>
      </c>
      <c r="AL958" s="8">
        <v>4936.1099999999997</v>
      </c>
      <c r="AM958" s="6" t="s">
        <v>68</v>
      </c>
      <c r="AN958" s="6">
        <v>1</v>
      </c>
      <c r="AO958" s="6">
        <v>1</v>
      </c>
      <c r="AP958" s="6">
        <v>0</v>
      </c>
      <c r="AQ958" s="6">
        <v>1</v>
      </c>
      <c r="AR958" s="6">
        <v>0</v>
      </c>
      <c r="AS958" s="6">
        <v>1</v>
      </c>
      <c r="AT958" s="6">
        <v>0</v>
      </c>
      <c r="AU958" s="6">
        <v>2.58</v>
      </c>
      <c r="AV958" s="6">
        <v>1.69</v>
      </c>
      <c r="AW958" s="6">
        <v>150.74</v>
      </c>
      <c r="AX958" s="6">
        <v>41.25</v>
      </c>
      <c r="AY958" s="6">
        <v>157.81</v>
      </c>
      <c r="AZ958" s="6">
        <v>20</v>
      </c>
      <c r="BA958" s="6">
        <v>0.4</v>
      </c>
    </row>
    <row r="959" spans="1:53" x14ac:dyDescent="0.3">
      <c r="A959" s="6">
        <v>861888313</v>
      </c>
      <c r="B959" s="6">
        <v>380746</v>
      </c>
      <c r="C959" s="6">
        <v>7199635</v>
      </c>
      <c r="D959" s="6">
        <v>2678</v>
      </c>
      <c r="E959" s="6" t="s">
        <v>84</v>
      </c>
      <c r="F959" s="6">
        <v>57044</v>
      </c>
      <c r="G959" s="6" t="s">
        <v>127</v>
      </c>
      <c r="H959" s="10">
        <v>45957</v>
      </c>
      <c r="I959" s="10">
        <v>45957</v>
      </c>
      <c r="J959" s="4">
        <v>45957.621527777781</v>
      </c>
      <c r="K959" s="4">
        <v>45957.911296296297</v>
      </c>
      <c r="L959" s="11">
        <v>45957.915462962963</v>
      </c>
      <c r="M959" s="10">
        <v>45957</v>
      </c>
      <c r="N959" s="6" t="s">
        <v>129</v>
      </c>
      <c r="O959" t="s">
        <v>130</v>
      </c>
      <c r="P959" s="6" t="s">
        <v>176</v>
      </c>
      <c r="Q959" t="s">
        <v>355</v>
      </c>
      <c r="R959" t="s">
        <v>88</v>
      </c>
      <c r="S959" s="6">
        <v>739373</v>
      </c>
      <c r="T959" s="6" t="s">
        <v>1</v>
      </c>
      <c r="U959">
        <v>297</v>
      </c>
      <c r="V959" s="6">
        <v>9.5</v>
      </c>
      <c r="W959" s="6">
        <v>12.9</v>
      </c>
      <c r="X959" s="6">
        <v>304.5</v>
      </c>
      <c r="Y959" s="6">
        <v>326.89999999999998</v>
      </c>
      <c r="Z959" s="6" t="s">
        <v>80</v>
      </c>
      <c r="AA959" t="s">
        <v>883</v>
      </c>
      <c r="AB959" s="6" t="s">
        <v>90</v>
      </c>
      <c r="AC959" t="s">
        <v>83</v>
      </c>
      <c r="AD959" t="s">
        <v>67</v>
      </c>
      <c r="AE959">
        <v>6</v>
      </c>
      <c r="AF959">
        <v>0</v>
      </c>
      <c r="AG959">
        <v>0</v>
      </c>
      <c r="AH959" s="6">
        <v>61.2</v>
      </c>
      <c r="AI959" s="6">
        <v>0</v>
      </c>
      <c r="AJ959" s="6">
        <v>0.504</v>
      </c>
      <c r="AK959" s="6">
        <v>0.56200000000000006</v>
      </c>
      <c r="AL959" s="8">
        <v>8075.06</v>
      </c>
      <c r="AM959" s="6" t="s">
        <v>114</v>
      </c>
      <c r="AN959" s="6">
        <v>1</v>
      </c>
      <c r="AO959" s="6">
        <v>1</v>
      </c>
      <c r="AP959" s="6">
        <v>0</v>
      </c>
      <c r="AQ959" s="6">
        <v>1</v>
      </c>
      <c r="AR959" s="6">
        <v>0</v>
      </c>
      <c r="AS959" s="6">
        <v>1</v>
      </c>
      <c r="AT959" s="6">
        <v>0</v>
      </c>
      <c r="AU959" s="6">
        <v>1.87</v>
      </c>
      <c r="AV959" s="6">
        <v>1.43</v>
      </c>
      <c r="AW959" s="6">
        <v>276.05</v>
      </c>
      <c r="AX959" s="6">
        <v>54.64</v>
      </c>
      <c r="AY959" s="6">
        <v>181.85</v>
      </c>
      <c r="AZ959" s="6">
        <v>22.1</v>
      </c>
      <c r="BA959" s="6">
        <v>69.3</v>
      </c>
    </row>
    <row r="960" spans="1:53" x14ac:dyDescent="0.3">
      <c r="A960" s="6">
        <v>851854702</v>
      </c>
      <c r="B960" s="6">
        <v>246316</v>
      </c>
      <c r="C960" s="6">
        <v>1352896</v>
      </c>
      <c r="D960" s="6">
        <v>5426</v>
      </c>
      <c r="E960" s="6" t="s">
        <v>185</v>
      </c>
      <c r="F960" s="6">
        <v>55497</v>
      </c>
      <c r="G960" s="6" t="s">
        <v>77</v>
      </c>
      <c r="H960" s="10">
        <v>45816</v>
      </c>
      <c r="I960" s="10">
        <v>45816</v>
      </c>
      <c r="J960" s="4">
        <v>45816.697916666664</v>
      </c>
      <c r="K960" s="4">
        <v>45816.874745370369</v>
      </c>
      <c r="L960" s="11">
        <v>45816.835162037038</v>
      </c>
      <c r="M960" s="10">
        <v>45816</v>
      </c>
      <c r="N960" s="6" t="s">
        <v>103</v>
      </c>
      <c r="O960" t="s">
        <v>204</v>
      </c>
      <c r="P960" s="6" t="s">
        <v>116</v>
      </c>
      <c r="Q960" t="s">
        <v>139</v>
      </c>
      <c r="R960" t="s">
        <v>123</v>
      </c>
      <c r="S960" s="6">
        <v>706957</v>
      </c>
      <c r="T960" s="6" t="s">
        <v>1</v>
      </c>
      <c r="U960">
        <v>207</v>
      </c>
      <c r="V960" s="6">
        <v>7.8</v>
      </c>
      <c r="W960" s="6">
        <v>45.2</v>
      </c>
      <c r="X960" s="6">
        <v>206.6</v>
      </c>
      <c r="Y960" s="6">
        <v>259.60000000000002</v>
      </c>
      <c r="Z960" s="6" t="s">
        <v>63</v>
      </c>
      <c r="AA960" t="s">
        <v>884</v>
      </c>
      <c r="AB960" s="6" t="s">
        <v>90</v>
      </c>
      <c r="AC960" t="s">
        <v>91</v>
      </c>
      <c r="AD960" t="s">
        <v>67</v>
      </c>
      <c r="AE960">
        <v>-57</v>
      </c>
      <c r="AF960">
        <v>0</v>
      </c>
      <c r="AG960">
        <v>0</v>
      </c>
      <c r="AH960" s="6">
        <v>44.5</v>
      </c>
      <c r="AI960" s="6">
        <v>0</v>
      </c>
      <c r="AJ960" s="6">
        <v>0.80200000000000005</v>
      </c>
      <c r="AK960" s="6">
        <v>0.60499999999999998</v>
      </c>
      <c r="AL960" s="8">
        <v>4334.5600000000004</v>
      </c>
      <c r="AM960" s="6" t="s">
        <v>68</v>
      </c>
      <c r="AN960" s="6">
        <v>1</v>
      </c>
      <c r="AO960" s="6">
        <v>1</v>
      </c>
      <c r="AP960" s="6">
        <v>0</v>
      </c>
      <c r="AQ960" s="6">
        <v>1</v>
      </c>
      <c r="AR960" s="6">
        <v>0</v>
      </c>
      <c r="AS960" s="6">
        <v>1</v>
      </c>
      <c r="AT960" s="6">
        <v>0</v>
      </c>
      <c r="AU960" s="6">
        <v>2</v>
      </c>
      <c r="AV960" s="6">
        <v>1.18</v>
      </c>
      <c r="AW960" s="6">
        <v>175.1</v>
      </c>
      <c r="AX960" s="6">
        <v>54.16</v>
      </c>
      <c r="AY960" s="6">
        <v>145.06</v>
      </c>
      <c r="AZ960" s="6">
        <v>28.1</v>
      </c>
      <c r="BA960" s="6">
        <v>5.9</v>
      </c>
    </row>
    <row r="961" spans="1:53" x14ac:dyDescent="0.3">
      <c r="A961" s="6">
        <v>784725186</v>
      </c>
      <c r="B961" s="6">
        <v>623481</v>
      </c>
      <c r="C961" s="6">
        <v>2737893</v>
      </c>
      <c r="D961" s="6">
        <v>4627</v>
      </c>
      <c r="E961" s="6" t="s">
        <v>101</v>
      </c>
      <c r="F961" s="6">
        <v>54549</v>
      </c>
      <c r="G961" s="6" t="s">
        <v>146</v>
      </c>
      <c r="H961" s="10">
        <v>45923</v>
      </c>
      <c r="I961" s="10">
        <v>45923</v>
      </c>
      <c r="J961" s="4">
        <v>45923.947916666664</v>
      </c>
      <c r="K961" s="4">
        <v>45924.072627314818</v>
      </c>
      <c r="L961" s="11">
        <v>45924.078877314816</v>
      </c>
      <c r="M961" s="10">
        <v>45924</v>
      </c>
      <c r="N961" s="6" t="s">
        <v>200</v>
      </c>
      <c r="O961" t="s">
        <v>161</v>
      </c>
      <c r="P961" s="6" t="s">
        <v>170</v>
      </c>
      <c r="Q961" t="s">
        <v>221</v>
      </c>
      <c r="R961" t="s">
        <v>62</v>
      </c>
      <c r="S961" s="6">
        <v>754209</v>
      </c>
      <c r="T961" s="6" t="s">
        <v>3</v>
      </c>
      <c r="U961">
        <v>105</v>
      </c>
      <c r="V961" s="6">
        <v>20.8</v>
      </c>
      <c r="W961" s="6">
        <v>1.2</v>
      </c>
      <c r="X961" s="6">
        <v>108.1</v>
      </c>
      <c r="Y961" s="6">
        <v>130.1</v>
      </c>
      <c r="Z961" s="6" t="s">
        <v>63</v>
      </c>
      <c r="AA961" t="s">
        <v>169</v>
      </c>
      <c r="AB961" s="6" t="s">
        <v>65</v>
      </c>
      <c r="AC961" t="s">
        <v>66</v>
      </c>
      <c r="AD961" t="s">
        <v>67</v>
      </c>
      <c r="AE961">
        <v>9</v>
      </c>
      <c r="AF961">
        <v>0</v>
      </c>
      <c r="AG961">
        <v>0</v>
      </c>
      <c r="AH961" s="6">
        <v>48.7</v>
      </c>
      <c r="AI961" s="6">
        <v>0</v>
      </c>
      <c r="AJ961" s="6">
        <v>0.48499999999999999</v>
      </c>
      <c r="AK961" s="6">
        <v>0.78800000000000003</v>
      </c>
      <c r="AL961" s="8">
        <v>3657.71</v>
      </c>
      <c r="AM961" s="6" t="s">
        <v>68</v>
      </c>
      <c r="AN961" s="6">
        <v>1</v>
      </c>
      <c r="AO961" s="6">
        <v>1</v>
      </c>
      <c r="AP961" s="6">
        <v>0</v>
      </c>
      <c r="AQ961" s="6">
        <v>1</v>
      </c>
      <c r="AR961" s="6">
        <v>0</v>
      </c>
      <c r="AS961" s="6">
        <v>1</v>
      </c>
      <c r="AT961" s="6">
        <v>0</v>
      </c>
      <c r="AU961" s="6">
        <v>1.79</v>
      </c>
      <c r="AV961" s="6">
        <v>1.38</v>
      </c>
      <c r="AW961" s="6">
        <v>117.12</v>
      </c>
      <c r="AX961" s="6">
        <v>25.73</v>
      </c>
      <c r="AY961" s="6">
        <v>79.27</v>
      </c>
      <c r="AZ961" s="6">
        <v>22.3</v>
      </c>
      <c r="BA961" s="6">
        <v>65.7</v>
      </c>
    </row>
    <row r="962" spans="1:53" x14ac:dyDescent="0.3">
      <c r="A962" s="6">
        <v>286928799</v>
      </c>
      <c r="B962" s="6">
        <v>903035</v>
      </c>
      <c r="C962" s="6">
        <v>7110622</v>
      </c>
      <c r="D962" s="6">
        <v>3200</v>
      </c>
      <c r="E962" s="6" t="s">
        <v>92</v>
      </c>
      <c r="F962" s="6">
        <v>56334</v>
      </c>
      <c r="G962" s="6" t="s">
        <v>115</v>
      </c>
      <c r="H962" s="10">
        <v>45756</v>
      </c>
      <c r="I962" s="10">
        <v>45756</v>
      </c>
      <c r="J962" s="4">
        <v>45756.545138888891</v>
      </c>
      <c r="K962" s="4">
        <v>45756.667025462964</v>
      </c>
      <c r="L962" s="11">
        <v>45756.643414351849</v>
      </c>
      <c r="M962" s="10">
        <v>45756</v>
      </c>
      <c r="N962" s="6" t="s">
        <v>59</v>
      </c>
      <c r="O962" t="s">
        <v>167</v>
      </c>
      <c r="P962" s="6" t="s">
        <v>121</v>
      </c>
      <c r="Q962" t="s">
        <v>143</v>
      </c>
      <c r="R962" t="s">
        <v>123</v>
      </c>
      <c r="S962" s="6">
        <v>785820</v>
      </c>
      <c r="T962" s="6" t="s">
        <v>1</v>
      </c>
      <c r="U962">
        <v>151</v>
      </c>
      <c r="V962" s="6">
        <v>34.9</v>
      </c>
      <c r="W962" s="6">
        <v>26.2</v>
      </c>
      <c r="X962" s="6">
        <v>150.30000000000001</v>
      </c>
      <c r="Y962" s="6">
        <v>211.4</v>
      </c>
      <c r="Z962" s="6" t="s">
        <v>2</v>
      </c>
      <c r="AA962" t="s">
        <v>519</v>
      </c>
      <c r="AB962" s="6" t="s">
        <v>75</v>
      </c>
      <c r="AC962" t="s">
        <v>125</v>
      </c>
      <c r="AD962" t="s">
        <v>67</v>
      </c>
      <c r="AE962">
        <v>-34</v>
      </c>
      <c r="AF962">
        <v>0</v>
      </c>
      <c r="AG962">
        <v>0</v>
      </c>
      <c r="AH962" s="6">
        <v>60.3</v>
      </c>
      <c r="AI962" s="6">
        <v>0</v>
      </c>
      <c r="AJ962" s="6">
        <v>0.504</v>
      </c>
      <c r="AK962" s="6">
        <v>0.74</v>
      </c>
      <c r="AL962" s="8">
        <v>1605.2</v>
      </c>
      <c r="AM962" s="6" t="s">
        <v>68</v>
      </c>
      <c r="AN962" s="6">
        <v>1</v>
      </c>
      <c r="AO962" s="6">
        <v>1</v>
      </c>
      <c r="AP962" s="6">
        <v>0</v>
      </c>
      <c r="AQ962" s="6">
        <v>1</v>
      </c>
      <c r="AR962" s="6">
        <v>0</v>
      </c>
      <c r="AS962" s="6">
        <v>1</v>
      </c>
      <c r="AT962" s="6">
        <v>0</v>
      </c>
      <c r="AU962" s="6">
        <v>2.15</v>
      </c>
      <c r="AV962" s="6">
        <v>1.58</v>
      </c>
      <c r="AW962" s="6">
        <v>156.30000000000001</v>
      </c>
      <c r="AX962" s="6">
        <v>44.45</v>
      </c>
      <c r="AY962" s="6">
        <v>115.61</v>
      </c>
      <c r="AZ962" s="6">
        <v>26.8</v>
      </c>
      <c r="BA962" s="6">
        <v>2.5</v>
      </c>
    </row>
    <row r="963" spans="1:53" x14ac:dyDescent="0.3">
      <c r="A963" s="6">
        <v>952225000</v>
      </c>
      <c r="B963" s="6">
        <v>865388</v>
      </c>
      <c r="C963" s="6">
        <v>4218542</v>
      </c>
      <c r="D963" s="6">
        <v>5496</v>
      </c>
      <c r="E963" s="6" t="s">
        <v>92</v>
      </c>
      <c r="F963" s="6">
        <v>56010</v>
      </c>
      <c r="G963" s="6" t="s">
        <v>175</v>
      </c>
      <c r="H963" s="10">
        <v>45694</v>
      </c>
      <c r="I963" s="10">
        <v>45694</v>
      </c>
      <c r="J963" s="4">
        <v>45694.534722222219</v>
      </c>
      <c r="K963" s="4">
        <v>45694.841469907406</v>
      </c>
      <c r="L963" s="11">
        <v>45695.042858796296</v>
      </c>
      <c r="M963" s="10">
        <v>45695</v>
      </c>
      <c r="N963" s="6" t="s">
        <v>109</v>
      </c>
      <c r="O963" t="s">
        <v>198</v>
      </c>
      <c r="P963" s="6" t="s">
        <v>70</v>
      </c>
      <c r="Q963" t="s">
        <v>138</v>
      </c>
      <c r="R963" t="s">
        <v>73</v>
      </c>
      <c r="S963" s="6">
        <v>719400</v>
      </c>
      <c r="T963" s="6" t="s">
        <v>111</v>
      </c>
      <c r="U963">
        <v>307</v>
      </c>
      <c r="V963" s="6">
        <v>13.8</v>
      </c>
      <c r="W963" s="6">
        <v>22.7</v>
      </c>
      <c r="X963" s="6">
        <v>306.60000000000002</v>
      </c>
      <c r="Y963" s="6">
        <v>343.1</v>
      </c>
      <c r="Z963" s="6" t="s">
        <v>63</v>
      </c>
      <c r="AA963" t="s">
        <v>885</v>
      </c>
      <c r="AB963" s="6" t="s">
        <v>75</v>
      </c>
      <c r="AC963" t="s">
        <v>137</v>
      </c>
      <c r="AD963" t="s">
        <v>206</v>
      </c>
      <c r="AE963">
        <v>290</v>
      </c>
      <c r="AF963">
        <v>314</v>
      </c>
      <c r="AG963">
        <v>0</v>
      </c>
      <c r="AH963" s="6">
        <v>64.7</v>
      </c>
      <c r="AI963" s="6">
        <v>0</v>
      </c>
      <c r="AJ963" s="6">
        <v>0.83</v>
      </c>
      <c r="AK963" s="6">
        <v>0.38900000000000001</v>
      </c>
      <c r="AL963" s="8">
        <v>9837.7999999999993</v>
      </c>
      <c r="AM963" s="6" t="s">
        <v>114</v>
      </c>
      <c r="AN963" s="6">
        <v>1</v>
      </c>
      <c r="AO963" s="6">
        <v>0</v>
      </c>
      <c r="AP963" s="6">
        <v>1</v>
      </c>
      <c r="AQ963" s="6">
        <v>0</v>
      </c>
      <c r="AR963" s="6">
        <v>1</v>
      </c>
      <c r="AS963" s="6">
        <v>0</v>
      </c>
      <c r="AT963" s="6">
        <v>1</v>
      </c>
      <c r="AU963" s="6">
        <v>1.82</v>
      </c>
      <c r="AV963" s="6">
        <v>1.17</v>
      </c>
      <c r="AW963" s="6">
        <v>276.77</v>
      </c>
      <c r="AX963" s="6">
        <v>53.49</v>
      </c>
      <c r="AY963" s="6">
        <v>173.99</v>
      </c>
      <c r="AZ963" s="6">
        <v>10.3</v>
      </c>
      <c r="BA963" s="6">
        <v>0.3</v>
      </c>
    </row>
    <row r="964" spans="1:53" x14ac:dyDescent="0.3">
      <c r="A964" s="6">
        <v>488149273</v>
      </c>
      <c r="B964" s="6">
        <v>322955</v>
      </c>
      <c r="C964" s="6">
        <v>1131249</v>
      </c>
      <c r="D964" s="6">
        <v>6915</v>
      </c>
      <c r="E964" s="6" t="s">
        <v>57</v>
      </c>
      <c r="F964" s="6">
        <v>54926</v>
      </c>
      <c r="G964" s="6" t="s">
        <v>58</v>
      </c>
      <c r="H964" s="10">
        <v>45786</v>
      </c>
      <c r="I964" s="10">
        <v>45786</v>
      </c>
      <c r="J964" s="4">
        <v>45786.340277777781</v>
      </c>
      <c r="K964" s="4">
        <v>45786.710092592592</v>
      </c>
      <c r="L964" s="11">
        <v>45786.708009259259</v>
      </c>
      <c r="M964" s="10">
        <v>45786</v>
      </c>
      <c r="N964" s="6" t="s">
        <v>116</v>
      </c>
      <c r="O964" t="s">
        <v>212</v>
      </c>
      <c r="P964" s="6" t="s">
        <v>176</v>
      </c>
      <c r="Q964" t="s">
        <v>292</v>
      </c>
      <c r="R964" t="s">
        <v>88</v>
      </c>
      <c r="S964" s="6">
        <v>791471</v>
      </c>
      <c r="T964" s="6" t="s">
        <v>111</v>
      </c>
      <c r="U964">
        <v>495</v>
      </c>
      <c r="V964" s="6">
        <v>29.5</v>
      </c>
      <c r="W964" s="6">
        <v>11.8</v>
      </c>
      <c r="X964" s="6">
        <v>499.3</v>
      </c>
      <c r="Y964" s="6">
        <v>540.6</v>
      </c>
      <c r="Z964" s="6" t="s">
        <v>63</v>
      </c>
      <c r="AA964" t="s">
        <v>886</v>
      </c>
      <c r="AB964" s="6" t="s">
        <v>97</v>
      </c>
      <c r="AC964" t="s">
        <v>154</v>
      </c>
      <c r="AD964" t="s">
        <v>67</v>
      </c>
      <c r="AE964">
        <v>-3</v>
      </c>
      <c r="AF964">
        <v>0</v>
      </c>
      <c r="AG964">
        <v>0.2</v>
      </c>
      <c r="AH964" s="6">
        <v>48.2</v>
      </c>
      <c r="AI964" s="6">
        <v>0</v>
      </c>
      <c r="AJ964" s="6">
        <v>0.54300000000000004</v>
      </c>
      <c r="AK964" s="6">
        <v>0.35899999999999999</v>
      </c>
      <c r="AL964" s="8">
        <v>13934.46</v>
      </c>
      <c r="AM964" s="6" t="s">
        <v>114</v>
      </c>
      <c r="AN964" s="6">
        <v>1</v>
      </c>
      <c r="AO964" s="6">
        <v>1</v>
      </c>
      <c r="AP964" s="6">
        <v>0</v>
      </c>
      <c r="AQ964" s="6">
        <v>1</v>
      </c>
      <c r="AR964" s="6">
        <v>0</v>
      </c>
      <c r="AS964" s="6">
        <v>1</v>
      </c>
      <c r="AT964" s="6">
        <v>0</v>
      </c>
      <c r="AU964" s="6">
        <v>2.33</v>
      </c>
      <c r="AV964" s="6">
        <v>1.45</v>
      </c>
      <c r="AW964" s="6">
        <v>467.88</v>
      </c>
      <c r="AX964" s="6">
        <v>105.17</v>
      </c>
      <c r="AY964" s="6">
        <v>319.32</v>
      </c>
      <c r="AZ964" s="6">
        <v>31.4</v>
      </c>
      <c r="BA964" s="6">
        <v>46.5</v>
      </c>
    </row>
    <row r="965" spans="1:53" x14ac:dyDescent="0.3">
      <c r="A965" s="6">
        <v>646272321</v>
      </c>
      <c r="B965" s="6">
        <v>584714</v>
      </c>
      <c r="C965" s="6">
        <v>5004485</v>
      </c>
      <c r="D965" s="6">
        <v>7938</v>
      </c>
      <c r="E965" s="6" t="s">
        <v>84</v>
      </c>
      <c r="F965" s="6">
        <v>59582</v>
      </c>
      <c r="G965" s="6" t="s">
        <v>149</v>
      </c>
      <c r="H965" s="10">
        <v>45805</v>
      </c>
      <c r="I965" s="10">
        <v>45805</v>
      </c>
      <c r="J965" s="4">
        <v>45805.364583333336</v>
      </c>
      <c r="K965" s="4">
        <v>45805.727754629632</v>
      </c>
      <c r="L965" s="11">
        <v>45805.865254629629</v>
      </c>
      <c r="M965" s="10">
        <v>45805</v>
      </c>
      <c r="N965" s="6" t="s">
        <v>200</v>
      </c>
      <c r="O965" t="s">
        <v>275</v>
      </c>
      <c r="P965" s="6" t="s">
        <v>70</v>
      </c>
      <c r="Q965" t="s">
        <v>71</v>
      </c>
      <c r="R965" t="s">
        <v>73</v>
      </c>
      <c r="S965" s="6">
        <v>758407</v>
      </c>
      <c r="T965" s="6" t="s">
        <v>1</v>
      </c>
      <c r="U965">
        <v>287</v>
      </c>
      <c r="V965" s="6">
        <v>50.9</v>
      </c>
      <c r="W965" s="6">
        <v>3.8</v>
      </c>
      <c r="X965" s="6">
        <v>295.60000000000002</v>
      </c>
      <c r="Y965" s="6">
        <v>350.3</v>
      </c>
      <c r="Z965" s="6" t="s">
        <v>63</v>
      </c>
      <c r="AA965" t="s">
        <v>887</v>
      </c>
      <c r="AB965" s="6" t="s">
        <v>97</v>
      </c>
      <c r="AC965" t="s">
        <v>125</v>
      </c>
      <c r="AD965" t="s">
        <v>206</v>
      </c>
      <c r="AE965">
        <v>198</v>
      </c>
      <c r="AF965">
        <v>223</v>
      </c>
      <c r="AG965">
        <v>0</v>
      </c>
      <c r="AH965" s="6">
        <v>21.2</v>
      </c>
      <c r="AI965" s="6">
        <v>0</v>
      </c>
      <c r="AJ965" s="6">
        <v>0.40799999999999997</v>
      </c>
      <c r="AK965" s="6">
        <v>0.26400000000000001</v>
      </c>
      <c r="AL965" s="8">
        <v>11275.44</v>
      </c>
      <c r="AM965" s="6" t="s">
        <v>114</v>
      </c>
      <c r="AN965" s="6">
        <v>1</v>
      </c>
      <c r="AO965" s="6">
        <v>0</v>
      </c>
      <c r="AP965" s="6">
        <v>1</v>
      </c>
      <c r="AQ965" s="6">
        <v>0</v>
      </c>
      <c r="AR965" s="6">
        <v>1</v>
      </c>
      <c r="AS965" s="6">
        <v>0</v>
      </c>
      <c r="AT965" s="6">
        <v>1</v>
      </c>
      <c r="AU965" s="6">
        <v>2.2000000000000002</v>
      </c>
      <c r="AV965" s="6">
        <v>1.74</v>
      </c>
      <c r="AW965" s="6">
        <v>236.13</v>
      </c>
      <c r="AX965" s="6">
        <v>37.08</v>
      </c>
      <c r="AY965" s="6">
        <v>168.31</v>
      </c>
      <c r="AZ965" s="6">
        <v>0.2</v>
      </c>
      <c r="BA965" s="6">
        <v>53.1</v>
      </c>
    </row>
    <row r="966" spans="1:53" x14ac:dyDescent="0.3">
      <c r="A966" s="6">
        <v>340777602</v>
      </c>
      <c r="B966" s="6">
        <v>377932</v>
      </c>
      <c r="C966" s="6">
        <v>9508103</v>
      </c>
      <c r="D966" s="6">
        <v>6699</v>
      </c>
      <c r="E966" s="6" t="s">
        <v>92</v>
      </c>
      <c r="F966" s="6">
        <v>59304</v>
      </c>
      <c r="G966" s="6" t="s">
        <v>115</v>
      </c>
      <c r="H966" s="10">
        <v>45664</v>
      </c>
      <c r="I966" s="10">
        <v>45664</v>
      </c>
      <c r="J966" s="4">
        <v>45664.625</v>
      </c>
      <c r="K966" s="4">
        <v>45664.950810185182</v>
      </c>
      <c r="L966" s="11">
        <v>45665.057060185187</v>
      </c>
      <c r="M966" s="10">
        <v>45665</v>
      </c>
      <c r="N966" s="6" t="s">
        <v>121</v>
      </c>
      <c r="O966" t="s">
        <v>179</v>
      </c>
      <c r="P966" s="6" t="s">
        <v>200</v>
      </c>
      <c r="Q966" t="s">
        <v>161</v>
      </c>
      <c r="R966" t="s">
        <v>62</v>
      </c>
      <c r="S966" s="6">
        <v>713055</v>
      </c>
      <c r="T966" s="6" t="s">
        <v>1</v>
      </c>
      <c r="U966">
        <v>318</v>
      </c>
      <c r="V966" s="6">
        <v>8.6</v>
      </c>
      <c r="W966" s="6">
        <v>40.799999999999997</v>
      </c>
      <c r="X966" s="6">
        <v>311.2</v>
      </c>
      <c r="Y966" s="6">
        <v>360.6</v>
      </c>
      <c r="Z966" s="6" t="s">
        <v>112</v>
      </c>
      <c r="AA966" t="s">
        <v>888</v>
      </c>
      <c r="AB966" s="6" t="s">
        <v>90</v>
      </c>
      <c r="AC966" t="s">
        <v>66</v>
      </c>
      <c r="AD966" t="s">
        <v>206</v>
      </c>
      <c r="AE966">
        <v>153</v>
      </c>
      <c r="AF966">
        <v>159</v>
      </c>
      <c r="AG966">
        <v>0</v>
      </c>
      <c r="AH966" s="6">
        <v>86.2</v>
      </c>
      <c r="AI966" s="6">
        <v>0</v>
      </c>
      <c r="AJ966" s="6">
        <v>0.82399999999999995</v>
      </c>
      <c r="AK966" s="6">
        <v>0.85899999999999999</v>
      </c>
      <c r="AL966" s="8">
        <v>3019.84</v>
      </c>
      <c r="AM966" s="6" t="s">
        <v>68</v>
      </c>
      <c r="AN966" s="6">
        <v>1</v>
      </c>
      <c r="AO966" s="6">
        <v>0</v>
      </c>
      <c r="AP966" s="6">
        <v>1</v>
      </c>
      <c r="AQ966" s="6">
        <v>0</v>
      </c>
      <c r="AR966" s="6">
        <v>1</v>
      </c>
      <c r="AS966" s="6">
        <v>0</v>
      </c>
      <c r="AT966" s="6">
        <v>1</v>
      </c>
      <c r="AU966" s="6">
        <v>2.29</v>
      </c>
      <c r="AV966" s="6">
        <v>1.61</v>
      </c>
      <c r="AW966" s="6">
        <v>282.11</v>
      </c>
      <c r="AX966" s="6">
        <v>48.8</v>
      </c>
      <c r="AY966" s="6">
        <v>238.93</v>
      </c>
      <c r="AZ966" s="6">
        <v>13.9</v>
      </c>
      <c r="BA966" s="6">
        <v>26.5</v>
      </c>
    </row>
    <row r="967" spans="1:53" x14ac:dyDescent="0.3">
      <c r="A967" s="6">
        <v>230311939</v>
      </c>
      <c r="B967" s="6">
        <v>500156</v>
      </c>
      <c r="C967" s="6">
        <v>3138181</v>
      </c>
      <c r="D967" s="6">
        <v>7528</v>
      </c>
      <c r="E967" s="6" t="s">
        <v>57</v>
      </c>
      <c r="F967" s="6">
        <v>56065</v>
      </c>
      <c r="G967" s="6" t="s">
        <v>107</v>
      </c>
      <c r="H967" s="10">
        <v>45955</v>
      </c>
      <c r="I967" s="10">
        <v>45955</v>
      </c>
      <c r="J967" s="4">
        <v>45955.923611111109</v>
      </c>
      <c r="K967" s="4">
        <v>45956.12903935185</v>
      </c>
      <c r="L967" s="11">
        <v>45956.447094907409</v>
      </c>
      <c r="M967" s="10">
        <v>45956</v>
      </c>
      <c r="N967" s="6" t="s">
        <v>86</v>
      </c>
      <c r="O967" t="s">
        <v>253</v>
      </c>
      <c r="P967" s="6" t="s">
        <v>93</v>
      </c>
      <c r="Q967" t="s">
        <v>144</v>
      </c>
      <c r="R967" t="s">
        <v>73</v>
      </c>
      <c r="S967" s="6">
        <v>704898</v>
      </c>
      <c r="T967" s="6" t="s">
        <v>1</v>
      </c>
      <c r="U967">
        <v>251</v>
      </c>
      <c r="V967" s="6">
        <v>19.600000000000001</v>
      </c>
      <c r="W967" s="6">
        <v>40.5</v>
      </c>
      <c r="X967" s="6">
        <v>249.6</v>
      </c>
      <c r="Y967" s="6">
        <v>309.7</v>
      </c>
      <c r="Z967" s="6" t="s">
        <v>63</v>
      </c>
      <c r="AA967" t="s">
        <v>889</v>
      </c>
      <c r="AB967" s="6" t="s">
        <v>65</v>
      </c>
      <c r="AC967" t="s">
        <v>76</v>
      </c>
      <c r="AD967" t="s">
        <v>188</v>
      </c>
      <c r="AE967">
        <v>458</v>
      </c>
      <c r="AF967">
        <v>0</v>
      </c>
      <c r="AG967">
        <v>3.3</v>
      </c>
      <c r="AH967" s="6">
        <v>65.5</v>
      </c>
      <c r="AI967" s="6">
        <v>0</v>
      </c>
      <c r="AJ967" s="6">
        <v>0.88900000000000001</v>
      </c>
      <c r="AK967" s="6">
        <v>0.80100000000000005</v>
      </c>
      <c r="AL967" s="8">
        <v>15620.32</v>
      </c>
      <c r="AM967" s="6" t="s">
        <v>114</v>
      </c>
      <c r="AN967" s="6">
        <v>1</v>
      </c>
      <c r="AO967" s="6">
        <v>0</v>
      </c>
      <c r="AP967" s="6">
        <v>1</v>
      </c>
      <c r="AQ967" s="6">
        <v>0</v>
      </c>
      <c r="AR967" s="6">
        <v>1</v>
      </c>
      <c r="AS967" s="6">
        <v>0</v>
      </c>
      <c r="AT967" s="6">
        <v>1</v>
      </c>
      <c r="AU967" s="6">
        <v>2.09</v>
      </c>
      <c r="AV967" s="6">
        <v>1.37</v>
      </c>
      <c r="AW967" s="6">
        <v>214.07</v>
      </c>
      <c r="AX967" s="6">
        <v>54.91</v>
      </c>
      <c r="AY967" s="6">
        <v>204.38</v>
      </c>
      <c r="AZ967" s="6">
        <v>24.1</v>
      </c>
      <c r="BA967" s="6">
        <v>30.7</v>
      </c>
    </row>
    <row r="968" spans="1:53" x14ac:dyDescent="0.3">
      <c r="A968" s="6">
        <v>315801027</v>
      </c>
      <c r="B968" s="6">
        <v>719176</v>
      </c>
      <c r="C968" s="6">
        <v>2130789</v>
      </c>
      <c r="D968" s="6">
        <v>6311</v>
      </c>
      <c r="E968" s="6" t="s">
        <v>211</v>
      </c>
      <c r="F968" s="6">
        <v>52179</v>
      </c>
      <c r="G968" s="6" t="s">
        <v>207</v>
      </c>
      <c r="H968" s="10">
        <v>45789</v>
      </c>
      <c r="I968" s="10">
        <v>45789</v>
      </c>
      <c r="J968" s="4">
        <v>45789.4375</v>
      </c>
      <c r="K968" s="4">
        <v>45789.718078703707</v>
      </c>
      <c r="L968" s="11">
        <v>45789.827800925923</v>
      </c>
      <c r="M968" s="10">
        <v>45789</v>
      </c>
      <c r="N968" s="6" t="s">
        <v>132</v>
      </c>
      <c r="O968" t="s">
        <v>181</v>
      </c>
      <c r="P968" s="6" t="s">
        <v>176</v>
      </c>
      <c r="Q968" t="s">
        <v>355</v>
      </c>
      <c r="R968" t="s">
        <v>88</v>
      </c>
      <c r="S968" s="6">
        <v>722324</v>
      </c>
      <c r="T968" s="6" t="s">
        <v>1</v>
      </c>
      <c r="U968">
        <v>306</v>
      </c>
      <c r="V968" s="6">
        <v>65.599999999999994</v>
      </c>
      <c r="W968" s="6">
        <v>29.5</v>
      </c>
      <c r="X968" s="6">
        <v>302.39999999999998</v>
      </c>
      <c r="Y968" s="6">
        <v>397.5</v>
      </c>
      <c r="Z968" s="6" t="s">
        <v>63</v>
      </c>
      <c r="AA968" t="s">
        <v>890</v>
      </c>
      <c r="AB968" s="6" t="s">
        <v>75</v>
      </c>
      <c r="AC968" t="s">
        <v>83</v>
      </c>
      <c r="AD968" t="s">
        <v>206</v>
      </c>
      <c r="AE968">
        <v>158</v>
      </c>
      <c r="AF968">
        <v>79</v>
      </c>
      <c r="AG968">
        <v>2.8</v>
      </c>
      <c r="AH968" s="6">
        <v>56.7</v>
      </c>
      <c r="AI968" s="6">
        <v>0</v>
      </c>
      <c r="AJ968" s="6">
        <v>0.57999999999999996</v>
      </c>
      <c r="AK968" s="6">
        <v>0.68200000000000005</v>
      </c>
      <c r="AL968" s="8">
        <v>4600.29</v>
      </c>
      <c r="AM968" s="6" t="s">
        <v>68</v>
      </c>
      <c r="AN968" s="6">
        <v>1</v>
      </c>
      <c r="AO968" s="6">
        <v>0</v>
      </c>
      <c r="AP968" s="6">
        <v>1</v>
      </c>
      <c r="AQ968" s="6">
        <v>0</v>
      </c>
      <c r="AR968" s="6">
        <v>1</v>
      </c>
      <c r="AS968" s="6">
        <v>0</v>
      </c>
      <c r="AT968" s="6">
        <v>1</v>
      </c>
      <c r="AU968" s="6">
        <v>1.81</v>
      </c>
      <c r="AV968" s="6">
        <v>1.07</v>
      </c>
      <c r="AW968" s="6">
        <v>307.23</v>
      </c>
      <c r="AX968" s="6">
        <v>76.180000000000007</v>
      </c>
      <c r="AY968" s="6">
        <v>243.45</v>
      </c>
      <c r="AZ968" s="6">
        <v>17</v>
      </c>
      <c r="BA968" s="6">
        <v>48.4</v>
      </c>
    </row>
    <row r="969" spans="1:53" x14ac:dyDescent="0.3">
      <c r="A969" s="6">
        <v>950474042</v>
      </c>
      <c r="B969" s="6">
        <v>330283</v>
      </c>
      <c r="C969" s="6">
        <v>6304573</v>
      </c>
      <c r="D969" s="6">
        <v>8035</v>
      </c>
      <c r="E969" s="6" t="s">
        <v>101</v>
      </c>
      <c r="F969" s="6">
        <v>54967</v>
      </c>
      <c r="G969" s="6" t="s">
        <v>77</v>
      </c>
      <c r="H969" s="10">
        <v>45869</v>
      </c>
      <c r="I969" s="10">
        <v>45869</v>
      </c>
      <c r="J969" s="4">
        <v>45869.34375</v>
      </c>
      <c r="K969" s="4">
        <v>45869.41982638889</v>
      </c>
      <c r="L969" s="11">
        <v>45869.430243055554</v>
      </c>
      <c r="M969" s="10">
        <v>45869</v>
      </c>
      <c r="N969" s="6" t="s">
        <v>93</v>
      </c>
      <c r="O969" t="s">
        <v>95</v>
      </c>
      <c r="P969" s="6" t="s">
        <v>200</v>
      </c>
      <c r="Q969" t="s">
        <v>201</v>
      </c>
      <c r="R969" t="s">
        <v>62</v>
      </c>
      <c r="S969" s="6">
        <v>774588</v>
      </c>
      <c r="T969" s="6" t="s">
        <v>3</v>
      </c>
      <c r="U969">
        <v>94</v>
      </c>
      <c r="V969" s="6">
        <v>9.1999999999999993</v>
      </c>
      <c r="W969" s="6">
        <v>4.4000000000000004</v>
      </c>
      <c r="X969" s="6">
        <v>88</v>
      </c>
      <c r="Y969" s="6">
        <v>101.6</v>
      </c>
      <c r="Z969" s="6" t="s">
        <v>63</v>
      </c>
      <c r="AA969" t="s">
        <v>891</v>
      </c>
      <c r="AB969" s="6" t="s">
        <v>97</v>
      </c>
      <c r="AC969" t="s">
        <v>137</v>
      </c>
      <c r="AD969" t="s">
        <v>67</v>
      </c>
      <c r="AE969">
        <v>15</v>
      </c>
      <c r="AF969">
        <v>0</v>
      </c>
      <c r="AG969">
        <v>0</v>
      </c>
      <c r="AH969" s="6">
        <v>37.6</v>
      </c>
      <c r="AI969" s="6">
        <v>0</v>
      </c>
      <c r="AJ969" s="6">
        <v>0.32300000000000001</v>
      </c>
      <c r="AK969" s="6">
        <v>0.55600000000000005</v>
      </c>
      <c r="AL969" s="8">
        <v>36818.33</v>
      </c>
      <c r="AM969" s="6" t="s">
        <v>155</v>
      </c>
      <c r="AN969" s="6">
        <v>1</v>
      </c>
      <c r="AO969" s="6">
        <v>1</v>
      </c>
      <c r="AP969" s="6">
        <v>0</v>
      </c>
      <c r="AQ969" s="6">
        <v>1</v>
      </c>
      <c r="AR969" s="6">
        <v>0</v>
      </c>
      <c r="AS969" s="6">
        <v>1</v>
      </c>
      <c r="AT969" s="6">
        <v>0</v>
      </c>
      <c r="AU969" s="6">
        <v>2.2200000000000002</v>
      </c>
      <c r="AV969" s="6">
        <v>1.37</v>
      </c>
      <c r="AW969" s="6">
        <v>80.650000000000006</v>
      </c>
      <c r="AX969" s="6">
        <v>17.12</v>
      </c>
      <c r="AY969" s="6">
        <v>67</v>
      </c>
      <c r="AZ969" s="6">
        <v>36.299999999999997</v>
      </c>
      <c r="BA969" s="6">
        <v>36.799999999999997</v>
      </c>
    </row>
    <row r="970" spans="1:53" x14ac:dyDescent="0.3">
      <c r="A970" s="6">
        <v>249117905</v>
      </c>
      <c r="B970" s="6">
        <v>946335</v>
      </c>
      <c r="C970" s="6">
        <v>1247595</v>
      </c>
      <c r="D970" s="6">
        <v>6675</v>
      </c>
      <c r="E970" s="6" t="s">
        <v>84</v>
      </c>
      <c r="F970" s="6">
        <v>50634</v>
      </c>
      <c r="G970" s="6" t="s">
        <v>146</v>
      </c>
      <c r="H970" s="10">
        <v>45684</v>
      </c>
      <c r="I970" s="10">
        <v>45684</v>
      </c>
      <c r="J970" s="4">
        <v>45684.256944444445</v>
      </c>
      <c r="K970" s="4">
        <v>45684.525648148148</v>
      </c>
      <c r="L970" s="11">
        <v>45684.504120370373</v>
      </c>
      <c r="M970" s="10">
        <v>45684</v>
      </c>
      <c r="N970" s="6" t="s">
        <v>93</v>
      </c>
      <c r="O970" t="s">
        <v>217</v>
      </c>
      <c r="P970" s="6" t="s">
        <v>93</v>
      </c>
      <c r="Q970" t="s">
        <v>94</v>
      </c>
      <c r="R970" t="s">
        <v>73</v>
      </c>
      <c r="S970" s="6">
        <v>758654</v>
      </c>
      <c r="T970" s="6" t="s">
        <v>1</v>
      </c>
      <c r="U970">
        <v>286</v>
      </c>
      <c r="V970" s="6">
        <v>7.3</v>
      </c>
      <c r="W970" s="6">
        <v>32.6</v>
      </c>
      <c r="X970" s="6">
        <v>279.60000000000002</v>
      </c>
      <c r="Y970" s="6">
        <v>319.5</v>
      </c>
      <c r="Z970" s="6" t="s">
        <v>63</v>
      </c>
      <c r="AA970" t="s">
        <v>249</v>
      </c>
      <c r="AB970" s="6" t="s">
        <v>97</v>
      </c>
      <c r="AC970" t="s">
        <v>83</v>
      </c>
      <c r="AD970" t="s">
        <v>67</v>
      </c>
      <c r="AE970">
        <v>-31</v>
      </c>
      <c r="AF970">
        <v>0</v>
      </c>
      <c r="AG970">
        <v>0</v>
      </c>
      <c r="AH970" s="6">
        <v>42.3</v>
      </c>
      <c r="AI970" s="6">
        <v>0</v>
      </c>
      <c r="AJ970" s="6">
        <v>0.74299999999999999</v>
      </c>
      <c r="AK970" s="6">
        <v>0.49</v>
      </c>
      <c r="AL970" s="8">
        <v>10526.6</v>
      </c>
      <c r="AM970" s="6" t="s">
        <v>114</v>
      </c>
      <c r="AN970" s="6">
        <v>1</v>
      </c>
      <c r="AO970" s="6">
        <v>1</v>
      </c>
      <c r="AP970" s="6">
        <v>0</v>
      </c>
      <c r="AQ970" s="6">
        <v>1</v>
      </c>
      <c r="AR970" s="6">
        <v>0</v>
      </c>
      <c r="AS970" s="6">
        <v>1</v>
      </c>
      <c r="AT970" s="6">
        <v>0</v>
      </c>
      <c r="AU970" s="6">
        <v>2.19</v>
      </c>
      <c r="AV970" s="6">
        <v>1.56</v>
      </c>
      <c r="AW970" s="6">
        <v>214.3</v>
      </c>
      <c r="AX970" s="6">
        <v>50.38</v>
      </c>
      <c r="AY970" s="6">
        <v>201.25</v>
      </c>
      <c r="AZ970" s="6">
        <v>32.6</v>
      </c>
      <c r="BA970" s="6">
        <v>9.8000000000000007</v>
      </c>
    </row>
    <row r="971" spans="1:53" x14ac:dyDescent="0.3">
      <c r="A971" s="6">
        <v>354193540</v>
      </c>
      <c r="B971" s="6">
        <v>440035</v>
      </c>
      <c r="C971" s="6">
        <v>1156287</v>
      </c>
      <c r="D971" s="6">
        <v>8858</v>
      </c>
      <c r="E971" s="6" t="s">
        <v>57</v>
      </c>
      <c r="F971" s="6">
        <v>53631</v>
      </c>
      <c r="G971" s="6" t="s">
        <v>98</v>
      </c>
      <c r="H971" s="10">
        <v>45721</v>
      </c>
      <c r="I971" s="10">
        <v>45721</v>
      </c>
      <c r="J971" s="4">
        <v>45721.552083333336</v>
      </c>
      <c r="K971" s="4">
        <v>45721.736076388886</v>
      </c>
      <c r="L971" s="11">
        <v>45721.7346875</v>
      </c>
      <c r="M971" s="10">
        <v>45721</v>
      </c>
      <c r="N971" s="6" t="s">
        <v>150</v>
      </c>
      <c r="O971" t="s">
        <v>265</v>
      </c>
      <c r="P971" s="6" t="s">
        <v>129</v>
      </c>
      <c r="Q971" t="s">
        <v>162</v>
      </c>
      <c r="R971" t="s">
        <v>123</v>
      </c>
      <c r="S971" s="6">
        <v>785119</v>
      </c>
      <c r="T971" s="6" t="s">
        <v>1</v>
      </c>
      <c r="U971">
        <v>227</v>
      </c>
      <c r="V971" s="6">
        <v>31.4</v>
      </c>
      <c r="W971" s="6">
        <v>4.5</v>
      </c>
      <c r="X971" s="6">
        <v>227.1</v>
      </c>
      <c r="Y971" s="6">
        <v>263</v>
      </c>
      <c r="Z971" s="6" t="s">
        <v>63</v>
      </c>
      <c r="AA971" t="s">
        <v>661</v>
      </c>
      <c r="AB971" s="6" t="s">
        <v>75</v>
      </c>
      <c r="AC971" t="s">
        <v>125</v>
      </c>
      <c r="AD971" t="s">
        <v>67</v>
      </c>
      <c r="AE971">
        <v>-2</v>
      </c>
      <c r="AF971">
        <v>0</v>
      </c>
      <c r="AG971">
        <v>0</v>
      </c>
      <c r="AH971" s="6">
        <v>34.4</v>
      </c>
      <c r="AI971" s="6">
        <v>0</v>
      </c>
      <c r="AJ971" s="6">
        <v>0.80900000000000005</v>
      </c>
      <c r="AK971" s="6">
        <v>0.53600000000000003</v>
      </c>
      <c r="AL971" s="8">
        <v>4109.75</v>
      </c>
      <c r="AM971" s="6" t="s">
        <v>68</v>
      </c>
      <c r="AN971" s="6">
        <v>1</v>
      </c>
      <c r="AO971" s="6">
        <v>1</v>
      </c>
      <c r="AP971" s="6">
        <v>0</v>
      </c>
      <c r="AQ971" s="6">
        <v>1</v>
      </c>
      <c r="AR971" s="6">
        <v>0</v>
      </c>
      <c r="AS971" s="6">
        <v>1</v>
      </c>
      <c r="AT971" s="6">
        <v>0</v>
      </c>
      <c r="AU971" s="6">
        <v>2.2799999999999998</v>
      </c>
      <c r="AV971" s="6">
        <v>1.58</v>
      </c>
      <c r="AW971" s="6">
        <v>208.89</v>
      </c>
      <c r="AX971" s="6">
        <v>33.659999999999997</v>
      </c>
      <c r="AY971" s="6">
        <v>170.26</v>
      </c>
      <c r="AZ971" s="6">
        <v>8.3000000000000007</v>
      </c>
      <c r="BA971" s="6">
        <v>28.4</v>
      </c>
    </row>
    <row r="972" spans="1:53" x14ac:dyDescent="0.3">
      <c r="A972" s="6">
        <v>948656610</v>
      </c>
      <c r="B972" s="6">
        <v>356702</v>
      </c>
      <c r="C972" s="6">
        <v>4426900</v>
      </c>
      <c r="D972" s="6">
        <v>1502</v>
      </c>
      <c r="E972" s="6" t="s">
        <v>84</v>
      </c>
      <c r="F972" s="6">
        <v>59591</v>
      </c>
      <c r="G972" s="6" t="s">
        <v>77</v>
      </c>
      <c r="H972" s="10">
        <v>45982</v>
      </c>
      <c r="I972" s="10">
        <v>45982</v>
      </c>
      <c r="J972" s="4">
        <v>45982.253472222219</v>
      </c>
      <c r="K972" s="4">
        <v>45982.444791666669</v>
      </c>
      <c r="L972" s="11">
        <v>45982.461458333331</v>
      </c>
      <c r="M972" s="10">
        <v>45982</v>
      </c>
      <c r="N972" s="6" t="s">
        <v>109</v>
      </c>
      <c r="O972" t="s">
        <v>198</v>
      </c>
      <c r="P972" s="6" t="s">
        <v>134</v>
      </c>
      <c r="Q972" t="s">
        <v>248</v>
      </c>
      <c r="R972" t="s">
        <v>73</v>
      </c>
      <c r="S972" s="6">
        <v>743499</v>
      </c>
      <c r="T972" s="6" t="s">
        <v>1</v>
      </c>
      <c r="U972">
        <v>187</v>
      </c>
      <c r="V972" s="6">
        <v>12.5</v>
      </c>
      <c r="W972" s="6">
        <v>25</v>
      </c>
      <c r="X972" s="6">
        <v>180.6</v>
      </c>
      <c r="Y972" s="6">
        <v>218.1</v>
      </c>
      <c r="Z972" s="6" t="s">
        <v>63</v>
      </c>
      <c r="AA972" t="s">
        <v>431</v>
      </c>
      <c r="AB972" s="6" t="s">
        <v>97</v>
      </c>
      <c r="AC972" t="s">
        <v>154</v>
      </c>
      <c r="AD972" t="s">
        <v>67</v>
      </c>
      <c r="AE972">
        <v>24</v>
      </c>
      <c r="AF972">
        <v>0</v>
      </c>
      <c r="AG972">
        <v>0</v>
      </c>
      <c r="AH972" s="6">
        <v>42</v>
      </c>
      <c r="AI972" s="6">
        <v>0</v>
      </c>
      <c r="AJ972" s="6">
        <v>0.48799999999999999</v>
      </c>
      <c r="AK972" s="6">
        <v>0.70399999999999996</v>
      </c>
      <c r="AL972" s="8">
        <v>15415.05</v>
      </c>
      <c r="AM972" s="6" t="s">
        <v>114</v>
      </c>
      <c r="AN972" s="6">
        <v>1</v>
      </c>
      <c r="AO972" s="6">
        <v>0</v>
      </c>
      <c r="AP972" s="6">
        <v>1</v>
      </c>
      <c r="AQ972" s="6">
        <v>0</v>
      </c>
      <c r="AR972" s="6">
        <v>1</v>
      </c>
      <c r="AS972" s="6">
        <v>0</v>
      </c>
      <c r="AT972" s="6">
        <v>1</v>
      </c>
      <c r="AU972" s="6">
        <v>2.0099999999999998</v>
      </c>
      <c r="AV972" s="6">
        <v>1.5</v>
      </c>
      <c r="AW972" s="6">
        <v>164.99</v>
      </c>
      <c r="AX972" s="6">
        <v>26.37</v>
      </c>
      <c r="AY972" s="6">
        <v>108.07</v>
      </c>
      <c r="AZ972" s="6">
        <v>47.2</v>
      </c>
      <c r="BA972" s="6">
        <v>0</v>
      </c>
    </row>
    <row r="973" spans="1:53" x14ac:dyDescent="0.3">
      <c r="A973" s="6">
        <v>630452018</v>
      </c>
      <c r="B973" s="6">
        <v>249811</v>
      </c>
      <c r="C973" s="6">
        <v>2795765</v>
      </c>
      <c r="D973" s="6">
        <v>8392</v>
      </c>
      <c r="E973" s="6" t="s">
        <v>92</v>
      </c>
      <c r="F973" s="6">
        <v>54677</v>
      </c>
      <c r="G973" s="6" t="s">
        <v>164</v>
      </c>
      <c r="H973" s="10">
        <v>45880</v>
      </c>
      <c r="I973" s="10">
        <v>45880</v>
      </c>
      <c r="J973" s="4">
        <v>45880.326388888891</v>
      </c>
      <c r="K973" s="4">
        <v>45880.586226851854</v>
      </c>
      <c r="L973" s="11">
        <v>45880.560532407406</v>
      </c>
      <c r="M973" s="10">
        <v>45880</v>
      </c>
      <c r="N973" s="6" t="s">
        <v>200</v>
      </c>
      <c r="O973" t="s">
        <v>338</v>
      </c>
      <c r="P973" s="6" t="s">
        <v>116</v>
      </c>
      <c r="Q973" t="s">
        <v>128</v>
      </c>
      <c r="R973" t="s">
        <v>123</v>
      </c>
      <c r="S973" s="6">
        <v>766155</v>
      </c>
      <c r="T973" s="6" t="s">
        <v>1</v>
      </c>
      <c r="U973">
        <v>305</v>
      </c>
      <c r="V973" s="6">
        <v>41.4</v>
      </c>
      <c r="W973" s="6">
        <v>7.7</v>
      </c>
      <c r="X973" s="6">
        <v>298.39999999999998</v>
      </c>
      <c r="Y973" s="6">
        <v>347.5</v>
      </c>
      <c r="Z973" s="6" t="s">
        <v>63</v>
      </c>
      <c r="AA973" t="s">
        <v>587</v>
      </c>
      <c r="AB973" s="6" t="s">
        <v>97</v>
      </c>
      <c r="AC973" t="s">
        <v>83</v>
      </c>
      <c r="AD973" t="s">
        <v>67</v>
      </c>
      <c r="AE973">
        <v>-37</v>
      </c>
      <c r="AF973">
        <v>0</v>
      </c>
      <c r="AG973">
        <v>0</v>
      </c>
      <c r="AH973" s="6">
        <v>63.2</v>
      </c>
      <c r="AI973" s="6">
        <v>0</v>
      </c>
      <c r="AJ973" s="6">
        <v>0.621</v>
      </c>
      <c r="AK973" s="6">
        <v>0.65700000000000003</v>
      </c>
      <c r="AL973" s="8">
        <v>4631.6099999999997</v>
      </c>
      <c r="AM973" s="6" t="s">
        <v>68</v>
      </c>
      <c r="AN973" s="6">
        <v>1</v>
      </c>
      <c r="AO973" s="6">
        <v>1</v>
      </c>
      <c r="AP973" s="6">
        <v>0</v>
      </c>
      <c r="AQ973" s="6">
        <v>1</v>
      </c>
      <c r="AR973" s="6">
        <v>0</v>
      </c>
      <c r="AS973" s="6">
        <v>1</v>
      </c>
      <c r="AT973" s="6">
        <v>0</v>
      </c>
      <c r="AU973" s="6">
        <v>2.15</v>
      </c>
      <c r="AV973" s="6">
        <v>1.64</v>
      </c>
      <c r="AW973" s="6">
        <v>269.87</v>
      </c>
      <c r="AX973" s="6">
        <v>71.260000000000005</v>
      </c>
      <c r="AY973" s="6">
        <v>240.3</v>
      </c>
      <c r="AZ973" s="6">
        <v>11.1</v>
      </c>
      <c r="BA973" s="6">
        <v>15.6</v>
      </c>
    </row>
    <row r="974" spans="1:53" x14ac:dyDescent="0.3">
      <c r="A974" s="6">
        <v>128222260</v>
      </c>
      <c r="B974" s="6">
        <v>391476</v>
      </c>
      <c r="C974" s="6">
        <v>8999183</v>
      </c>
      <c r="D974" s="6">
        <v>6618</v>
      </c>
      <c r="E974" s="6" t="s">
        <v>92</v>
      </c>
      <c r="F974" s="6">
        <v>52218</v>
      </c>
      <c r="G974" s="6" t="s">
        <v>77</v>
      </c>
      <c r="H974" s="10">
        <v>46004</v>
      </c>
      <c r="I974" s="10">
        <v>46004</v>
      </c>
      <c r="J974" s="4">
        <v>46004.65625</v>
      </c>
      <c r="K974" s="4">
        <v>46005.327928240738</v>
      </c>
      <c r="L974" s="11">
        <v>46005.323067129626</v>
      </c>
      <c r="M974" s="10">
        <v>46005</v>
      </c>
      <c r="N974" s="6" t="s">
        <v>70</v>
      </c>
      <c r="O974" t="s">
        <v>152</v>
      </c>
      <c r="P974" s="6" t="s">
        <v>129</v>
      </c>
      <c r="Q974" t="s">
        <v>162</v>
      </c>
      <c r="R974" t="s">
        <v>123</v>
      </c>
      <c r="S974" s="6">
        <v>731760</v>
      </c>
      <c r="T974" s="6" t="s">
        <v>140</v>
      </c>
      <c r="U974">
        <v>726</v>
      </c>
      <c r="V974" s="6">
        <v>89.4</v>
      </c>
      <c r="W974" s="6">
        <v>15.1</v>
      </c>
      <c r="X974" s="6">
        <v>724.9</v>
      </c>
      <c r="Y974" s="6">
        <v>829.4</v>
      </c>
      <c r="Z974" s="6" t="s">
        <v>2</v>
      </c>
      <c r="AA974" t="s">
        <v>892</v>
      </c>
      <c r="AB974" s="6" t="s">
        <v>90</v>
      </c>
      <c r="AC974" t="s">
        <v>76</v>
      </c>
      <c r="AD974" t="s">
        <v>67</v>
      </c>
      <c r="AE974">
        <v>-7</v>
      </c>
      <c r="AF974">
        <v>10</v>
      </c>
      <c r="AG974">
        <v>0</v>
      </c>
      <c r="AH974" s="6">
        <v>59.5</v>
      </c>
      <c r="AI974" s="6">
        <v>0</v>
      </c>
      <c r="AJ974" s="6">
        <v>0.68500000000000005</v>
      </c>
      <c r="AK974" s="6">
        <v>0.49</v>
      </c>
      <c r="AL974" s="8">
        <v>5922.59</v>
      </c>
      <c r="AM974" s="6" t="s">
        <v>68</v>
      </c>
      <c r="AN974" s="6">
        <v>1</v>
      </c>
      <c r="AO974" s="6">
        <v>1</v>
      </c>
      <c r="AP974" s="6">
        <v>0</v>
      </c>
      <c r="AQ974" s="6">
        <v>1</v>
      </c>
      <c r="AR974" s="6">
        <v>0</v>
      </c>
      <c r="AS974" s="6">
        <v>1</v>
      </c>
      <c r="AT974" s="6">
        <v>0</v>
      </c>
      <c r="AU974" s="6">
        <v>2.64</v>
      </c>
      <c r="AV974" s="6">
        <v>1.76</v>
      </c>
      <c r="AW974" s="6">
        <v>739.4</v>
      </c>
      <c r="AX974" s="6">
        <v>97.09</v>
      </c>
      <c r="AY974" s="6">
        <v>526.29</v>
      </c>
      <c r="AZ974" s="6">
        <v>51.7</v>
      </c>
      <c r="BA974" s="6">
        <v>46.1</v>
      </c>
    </row>
    <row r="975" spans="1:53" x14ac:dyDescent="0.3">
      <c r="A975" s="6">
        <v>487509692</v>
      </c>
      <c r="B975" s="6">
        <v>263032</v>
      </c>
      <c r="C975" s="6">
        <v>4191175</v>
      </c>
      <c r="D975" s="6">
        <v>6486</v>
      </c>
      <c r="E975" s="6" t="s">
        <v>225</v>
      </c>
      <c r="F975" s="6">
        <v>51389</v>
      </c>
      <c r="G975" s="6" t="s">
        <v>146</v>
      </c>
      <c r="H975" s="10">
        <v>46022</v>
      </c>
      <c r="I975" s="10">
        <v>46022</v>
      </c>
      <c r="J975" s="4">
        <v>46022.145833333336</v>
      </c>
      <c r="K975" s="4">
        <v>46022.396423611113</v>
      </c>
      <c r="L975" s="11">
        <v>46022.372812499998</v>
      </c>
      <c r="M975" s="10">
        <v>46022</v>
      </c>
      <c r="N975" s="6" t="s">
        <v>116</v>
      </c>
      <c r="O975" t="s">
        <v>212</v>
      </c>
      <c r="P975" s="6" t="s">
        <v>134</v>
      </c>
      <c r="Q975" t="s">
        <v>278</v>
      </c>
      <c r="R975" t="s">
        <v>73</v>
      </c>
      <c r="S975" s="6">
        <v>724967</v>
      </c>
      <c r="T975" s="6" t="s">
        <v>1</v>
      </c>
      <c r="U975">
        <v>220</v>
      </c>
      <c r="V975" s="6">
        <v>23.3</v>
      </c>
      <c r="W975" s="6">
        <v>27.4</v>
      </c>
      <c r="X975" s="6">
        <v>214.1</v>
      </c>
      <c r="Y975" s="6">
        <v>264.8</v>
      </c>
      <c r="Z975" s="6" t="s">
        <v>215</v>
      </c>
      <c r="AA975" t="s">
        <v>131</v>
      </c>
      <c r="AB975" s="6" t="s">
        <v>82</v>
      </c>
      <c r="AC975" t="s">
        <v>125</v>
      </c>
      <c r="AD975" t="s">
        <v>67</v>
      </c>
      <c r="AE975">
        <v>-34</v>
      </c>
      <c r="AF975">
        <v>54</v>
      </c>
      <c r="AG975">
        <v>0</v>
      </c>
      <c r="AH975" s="6">
        <v>79.5</v>
      </c>
      <c r="AI975" s="6">
        <v>0</v>
      </c>
      <c r="AJ975" s="6">
        <v>0.86899999999999999</v>
      </c>
      <c r="AK975" s="6">
        <v>0.86399999999999999</v>
      </c>
      <c r="AL975" s="8">
        <v>11282.41</v>
      </c>
      <c r="AM975" s="6" t="s">
        <v>114</v>
      </c>
      <c r="AN975" s="6">
        <v>1</v>
      </c>
      <c r="AO975" s="6">
        <v>1</v>
      </c>
      <c r="AP975" s="6">
        <v>0</v>
      </c>
      <c r="AQ975" s="6">
        <v>1</v>
      </c>
      <c r="AR975" s="6">
        <v>0</v>
      </c>
      <c r="AS975" s="6">
        <v>1</v>
      </c>
      <c r="AT975" s="6">
        <v>0</v>
      </c>
      <c r="AU975" s="6">
        <v>2.41</v>
      </c>
      <c r="AV975" s="6">
        <v>1.45</v>
      </c>
      <c r="AW975" s="6">
        <v>202.61</v>
      </c>
      <c r="AX975" s="6">
        <v>40.31</v>
      </c>
      <c r="AY975" s="6">
        <v>165.91</v>
      </c>
      <c r="AZ975" s="6">
        <v>13.2</v>
      </c>
      <c r="BA975" s="6">
        <v>24.9</v>
      </c>
    </row>
    <row r="976" spans="1:53" x14ac:dyDescent="0.3">
      <c r="A976" s="6">
        <v>694875990</v>
      </c>
      <c r="B976" s="6">
        <v>944151</v>
      </c>
      <c r="C976" s="6">
        <v>6855396</v>
      </c>
      <c r="D976" s="6">
        <v>8574</v>
      </c>
      <c r="E976" s="6" t="s">
        <v>225</v>
      </c>
      <c r="F976" s="6">
        <v>54276</v>
      </c>
      <c r="G976" s="6" t="s">
        <v>115</v>
      </c>
      <c r="H976" s="10">
        <v>45793</v>
      </c>
      <c r="I976" s="10">
        <v>45793</v>
      </c>
      <c r="J976" s="4">
        <v>45793.465277777781</v>
      </c>
      <c r="K976" s="4">
        <v>45793.882569444446</v>
      </c>
      <c r="L976" s="11">
        <v>45793.876319444447</v>
      </c>
      <c r="M976" s="10">
        <v>45793</v>
      </c>
      <c r="N976" s="6" t="s">
        <v>116</v>
      </c>
      <c r="O976" t="s">
        <v>139</v>
      </c>
      <c r="P976" s="6" t="s">
        <v>170</v>
      </c>
      <c r="Q976" t="s">
        <v>269</v>
      </c>
      <c r="R976" t="s">
        <v>62</v>
      </c>
      <c r="S976" s="6">
        <v>712499</v>
      </c>
      <c r="T976" s="6" t="s">
        <v>111</v>
      </c>
      <c r="U976">
        <v>392</v>
      </c>
      <c r="V976" s="6">
        <v>71.3</v>
      </c>
      <c r="W976" s="6">
        <v>24.6</v>
      </c>
      <c r="X976" s="6">
        <v>395.1</v>
      </c>
      <c r="Y976" s="6">
        <v>491</v>
      </c>
      <c r="Z976" s="6" t="s">
        <v>112</v>
      </c>
      <c r="AA976" t="s">
        <v>349</v>
      </c>
      <c r="AB976" s="6" t="s">
        <v>75</v>
      </c>
      <c r="AC976" t="s">
        <v>154</v>
      </c>
      <c r="AD976" t="s">
        <v>67</v>
      </c>
      <c r="AE976">
        <v>-9</v>
      </c>
      <c r="AF976">
        <v>0</v>
      </c>
      <c r="AG976">
        <v>0</v>
      </c>
      <c r="AH976" s="6">
        <v>60.1</v>
      </c>
      <c r="AI976" s="6">
        <v>0</v>
      </c>
      <c r="AJ976" s="6">
        <v>0.47899999999999998</v>
      </c>
      <c r="AK976" s="6">
        <v>0.65500000000000003</v>
      </c>
      <c r="AL976" s="8">
        <v>3396.03</v>
      </c>
      <c r="AM976" s="6" t="s">
        <v>68</v>
      </c>
      <c r="AN976" s="6">
        <v>1</v>
      </c>
      <c r="AO976" s="6">
        <v>1</v>
      </c>
      <c r="AP976" s="6">
        <v>0</v>
      </c>
      <c r="AQ976" s="6">
        <v>1</v>
      </c>
      <c r="AR976" s="6">
        <v>0</v>
      </c>
      <c r="AS976" s="6">
        <v>1</v>
      </c>
      <c r="AT976" s="6">
        <v>0</v>
      </c>
      <c r="AU976" s="6">
        <v>2.4700000000000002</v>
      </c>
      <c r="AV976" s="6">
        <v>1.86</v>
      </c>
      <c r="AW976" s="6">
        <v>374.56</v>
      </c>
      <c r="AX976" s="6">
        <v>101.45</v>
      </c>
      <c r="AY976" s="6">
        <v>281.31</v>
      </c>
      <c r="AZ976" s="6">
        <v>12.8</v>
      </c>
      <c r="BA976" s="6">
        <v>39.700000000000003</v>
      </c>
    </row>
    <row r="977" spans="1:53" x14ac:dyDescent="0.3">
      <c r="A977" s="6">
        <v>714478186</v>
      </c>
      <c r="B977" s="6">
        <v>728038</v>
      </c>
      <c r="C977" s="6">
        <v>1463060</v>
      </c>
      <c r="D977" s="6">
        <v>7287</v>
      </c>
      <c r="E977" s="6" t="s">
        <v>57</v>
      </c>
      <c r="F977" s="6">
        <v>51249</v>
      </c>
      <c r="G977" s="6" t="s">
        <v>107</v>
      </c>
      <c r="H977" s="10">
        <v>45767</v>
      </c>
      <c r="I977" s="10">
        <v>45767</v>
      </c>
      <c r="J977" s="4">
        <v>45767.670138888891</v>
      </c>
      <c r="K977" s="4">
        <v>45767.969699074078</v>
      </c>
      <c r="L977" s="11">
        <v>45767.98636574074</v>
      </c>
      <c r="M977" s="10">
        <v>45767</v>
      </c>
      <c r="N977" s="6" t="s">
        <v>132</v>
      </c>
      <c r="O977" t="s">
        <v>328</v>
      </c>
      <c r="P977" s="6" t="s">
        <v>170</v>
      </c>
      <c r="Q977" t="s">
        <v>221</v>
      </c>
      <c r="R977" t="s">
        <v>62</v>
      </c>
      <c r="S977" s="6">
        <v>750940</v>
      </c>
      <c r="T977" s="6" t="s">
        <v>111</v>
      </c>
      <c r="U977">
        <v>419</v>
      </c>
      <c r="V977" s="6">
        <v>13.8</v>
      </c>
      <c r="W977" s="6">
        <v>7.6</v>
      </c>
      <c r="X977" s="6">
        <v>416.1</v>
      </c>
      <c r="Y977" s="6">
        <v>437.5</v>
      </c>
      <c r="Z977" s="6" t="s">
        <v>63</v>
      </c>
      <c r="AA977" t="s">
        <v>836</v>
      </c>
      <c r="AB977" s="6" t="s">
        <v>90</v>
      </c>
      <c r="AC977" t="s">
        <v>91</v>
      </c>
      <c r="AD977" t="s">
        <v>67</v>
      </c>
      <c r="AE977">
        <v>24</v>
      </c>
      <c r="AF977">
        <v>0</v>
      </c>
      <c r="AG977">
        <v>0</v>
      </c>
      <c r="AH977" s="6">
        <v>65.5</v>
      </c>
      <c r="AI977" s="6">
        <v>0</v>
      </c>
      <c r="AJ977" s="6">
        <v>0.75600000000000001</v>
      </c>
      <c r="AK977" s="6">
        <v>0.63400000000000001</v>
      </c>
      <c r="AL977" s="8">
        <v>5400.66</v>
      </c>
      <c r="AM977" s="6" t="s">
        <v>68</v>
      </c>
      <c r="AN977" s="6">
        <v>1</v>
      </c>
      <c r="AO977" s="6">
        <v>0</v>
      </c>
      <c r="AP977" s="6">
        <v>1</v>
      </c>
      <c r="AQ977" s="6">
        <v>0</v>
      </c>
      <c r="AR977" s="6">
        <v>1</v>
      </c>
      <c r="AS977" s="6">
        <v>0</v>
      </c>
      <c r="AT977" s="6">
        <v>1</v>
      </c>
      <c r="AU977" s="6">
        <v>2.44</v>
      </c>
      <c r="AV977" s="6">
        <v>1.71</v>
      </c>
      <c r="AW977" s="6">
        <v>332.99</v>
      </c>
      <c r="AX977" s="6">
        <v>51.5</v>
      </c>
      <c r="AY977" s="6">
        <v>212.95</v>
      </c>
      <c r="AZ977" s="6">
        <v>13.6</v>
      </c>
      <c r="BA977" s="6">
        <v>36.9</v>
      </c>
    </row>
    <row r="978" spans="1:53" x14ac:dyDescent="0.3">
      <c r="A978" s="6">
        <v>496115351</v>
      </c>
      <c r="B978" s="6">
        <v>542666</v>
      </c>
      <c r="C978" s="6">
        <v>1604451</v>
      </c>
      <c r="D978" s="6">
        <v>1854</v>
      </c>
      <c r="E978" s="6" t="s">
        <v>142</v>
      </c>
      <c r="F978" s="6">
        <v>57640</v>
      </c>
      <c r="G978" s="6" t="s">
        <v>102</v>
      </c>
      <c r="H978" s="10">
        <v>45971</v>
      </c>
      <c r="I978" s="10">
        <v>45971</v>
      </c>
      <c r="J978" s="4">
        <v>45971.364583333336</v>
      </c>
      <c r="K978" s="4">
        <v>45971.535266203704</v>
      </c>
      <c r="L978" s="11">
        <v>45971.50818287037</v>
      </c>
      <c r="M978" s="10">
        <v>45971</v>
      </c>
      <c r="N978" s="6" t="s">
        <v>103</v>
      </c>
      <c r="O978" t="s">
        <v>99</v>
      </c>
      <c r="P978" s="6" t="s">
        <v>70</v>
      </c>
      <c r="Q978" t="s">
        <v>138</v>
      </c>
      <c r="R978" t="s">
        <v>73</v>
      </c>
      <c r="S978" s="6">
        <v>780997</v>
      </c>
      <c r="T978" s="6" t="s">
        <v>1</v>
      </c>
      <c r="U978">
        <v>206</v>
      </c>
      <c r="V978" s="6">
        <v>19</v>
      </c>
      <c r="W978" s="6">
        <v>17.100000000000001</v>
      </c>
      <c r="X978" s="6">
        <v>198.8</v>
      </c>
      <c r="Y978" s="6">
        <v>234.9</v>
      </c>
      <c r="Z978" s="6" t="s">
        <v>112</v>
      </c>
      <c r="AA978" t="s">
        <v>352</v>
      </c>
      <c r="AB978" s="6" t="s">
        <v>97</v>
      </c>
      <c r="AC978" t="s">
        <v>83</v>
      </c>
      <c r="AD978" t="s">
        <v>67</v>
      </c>
      <c r="AE978">
        <v>-39</v>
      </c>
      <c r="AF978">
        <v>0</v>
      </c>
      <c r="AG978">
        <v>0</v>
      </c>
      <c r="AH978" s="6">
        <v>57.7</v>
      </c>
      <c r="AI978" s="6">
        <v>0</v>
      </c>
      <c r="AJ978" s="6">
        <v>0.70099999999999996</v>
      </c>
      <c r="AK978" s="6">
        <v>0.80100000000000005</v>
      </c>
      <c r="AL978" s="8">
        <v>1767.67</v>
      </c>
      <c r="AM978" s="6" t="s">
        <v>68</v>
      </c>
      <c r="AN978" s="6">
        <v>1</v>
      </c>
      <c r="AO978" s="6">
        <v>1</v>
      </c>
      <c r="AP978" s="6">
        <v>0</v>
      </c>
      <c r="AQ978" s="6">
        <v>1</v>
      </c>
      <c r="AR978" s="6">
        <v>0</v>
      </c>
      <c r="AS978" s="6">
        <v>1</v>
      </c>
      <c r="AT978" s="6">
        <v>0</v>
      </c>
      <c r="AU978" s="6">
        <v>2.48</v>
      </c>
      <c r="AV978" s="6">
        <v>1.97</v>
      </c>
      <c r="AW978" s="6">
        <v>189.55</v>
      </c>
      <c r="AX978" s="6">
        <v>27.09</v>
      </c>
      <c r="AY978" s="6">
        <v>163.57</v>
      </c>
      <c r="AZ978" s="6">
        <v>8</v>
      </c>
      <c r="BA978" s="6">
        <v>30.8</v>
      </c>
    </row>
    <row r="979" spans="1:53" x14ac:dyDescent="0.3">
      <c r="A979" s="6">
        <v>601873197</v>
      </c>
      <c r="B979" s="6">
        <v>910620</v>
      </c>
      <c r="C979" s="6">
        <v>5977931</v>
      </c>
      <c r="D979" s="6">
        <v>1064</v>
      </c>
      <c r="E979" s="6" t="s">
        <v>101</v>
      </c>
      <c r="F979" s="6">
        <v>55712</v>
      </c>
      <c r="G979" s="6" t="s">
        <v>203</v>
      </c>
      <c r="H979" s="10">
        <v>46022</v>
      </c>
      <c r="I979" s="10">
        <v>46022</v>
      </c>
      <c r="J979" s="4">
        <v>46022.458333333336</v>
      </c>
      <c r="K979" s="4">
        <v>46022.520833333336</v>
      </c>
      <c r="L979" s="11">
        <v>46022.510416666664</v>
      </c>
      <c r="M979" s="10">
        <v>46022</v>
      </c>
      <c r="N979" s="6" t="s">
        <v>93</v>
      </c>
      <c r="O979" t="s">
        <v>95</v>
      </c>
      <c r="P979" s="6" t="s">
        <v>86</v>
      </c>
      <c r="Q979" t="s">
        <v>268</v>
      </c>
      <c r="R979" t="s">
        <v>88</v>
      </c>
      <c r="S979" s="6">
        <v>756949</v>
      </c>
      <c r="T979" s="6" t="s">
        <v>1</v>
      </c>
      <c r="U979">
        <v>115</v>
      </c>
      <c r="V979" s="6">
        <v>4.7</v>
      </c>
      <c r="W979" s="6">
        <v>20.3</v>
      </c>
      <c r="X979" s="6">
        <v>129</v>
      </c>
      <c r="Y979" s="6">
        <v>154</v>
      </c>
      <c r="Z979" s="6" t="s">
        <v>63</v>
      </c>
      <c r="AA979" t="s">
        <v>873</v>
      </c>
      <c r="AB979" s="6" t="s">
        <v>75</v>
      </c>
      <c r="AC979" t="s">
        <v>125</v>
      </c>
      <c r="AD979" t="s">
        <v>67</v>
      </c>
      <c r="AE979">
        <v>-15</v>
      </c>
      <c r="AF979">
        <v>49</v>
      </c>
      <c r="AG979">
        <v>0</v>
      </c>
      <c r="AH979" s="6">
        <v>50.9</v>
      </c>
      <c r="AI979" s="6">
        <v>0</v>
      </c>
      <c r="AJ979" s="6">
        <v>0.68899999999999995</v>
      </c>
      <c r="AK979" s="6">
        <v>0.48599999999999999</v>
      </c>
      <c r="AL979" s="8">
        <v>12027.92</v>
      </c>
      <c r="AM979" s="6" t="s">
        <v>114</v>
      </c>
      <c r="AN979" s="6">
        <v>1</v>
      </c>
      <c r="AO979" s="6">
        <v>1</v>
      </c>
      <c r="AP979" s="6">
        <v>0</v>
      </c>
      <c r="AQ979" s="6">
        <v>1</v>
      </c>
      <c r="AR979" s="6">
        <v>0</v>
      </c>
      <c r="AS979" s="6">
        <v>1</v>
      </c>
      <c r="AT979" s="6">
        <v>0</v>
      </c>
      <c r="AU979" s="6">
        <v>2.17</v>
      </c>
      <c r="AV979" s="6">
        <v>1.64</v>
      </c>
      <c r="AW979" s="6">
        <v>112.46</v>
      </c>
      <c r="AX979" s="6">
        <v>28.2</v>
      </c>
      <c r="AY979" s="6">
        <v>110.35</v>
      </c>
      <c r="AZ979" s="6">
        <v>7</v>
      </c>
      <c r="BA979" s="6">
        <v>68.599999999999994</v>
      </c>
    </row>
    <row r="980" spans="1:53" x14ac:dyDescent="0.3">
      <c r="A980" s="6">
        <v>962925204</v>
      </c>
      <c r="B980" s="6">
        <v>791798</v>
      </c>
      <c r="C980" s="6">
        <v>6539837</v>
      </c>
      <c r="D980" s="6">
        <v>5433</v>
      </c>
      <c r="E980" s="6" t="s">
        <v>225</v>
      </c>
      <c r="F980" s="6">
        <v>51245</v>
      </c>
      <c r="G980" s="6" t="s">
        <v>127</v>
      </c>
      <c r="H980" s="10">
        <v>45887</v>
      </c>
      <c r="I980" s="10">
        <v>45887</v>
      </c>
      <c r="J980" s="4">
        <v>45887.645833333336</v>
      </c>
      <c r="K980" s="4">
        <v>45887.9374537037</v>
      </c>
      <c r="L980" s="11">
        <v>45887.912453703706</v>
      </c>
      <c r="M980" s="10">
        <v>45887</v>
      </c>
      <c r="N980" s="6" t="s">
        <v>150</v>
      </c>
      <c r="O980" t="s">
        <v>151</v>
      </c>
      <c r="P980" s="6" t="s">
        <v>150</v>
      </c>
      <c r="Q980" t="s">
        <v>265</v>
      </c>
      <c r="R980" t="s">
        <v>73</v>
      </c>
      <c r="S980" s="6">
        <v>710286</v>
      </c>
      <c r="T980" s="6" t="s">
        <v>1</v>
      </c>
      <c r="U980">
        <v>294</v>
      </c>
      <c r="V980" s="6">
        <v>13.9</v>
      </c>
      <c r="W980" s="6">
        <v>5.6</v>
      </c>
      <c r="X980" s="6">
        <v>281.2</v>
      </c>
      <c r="Y980" s="6">
        <v>300.7</v>
      </c>
      <c r="Z980" s="6" t="s">
        <v>112</v>
      </c>
      <c r="AA980" t="s">
        <v>592</v>
      </c>
      <c r="AB980" s="6" t="s">
        <v>90</v>
      </c>
      <c r="AC980" t="s">
        <v>83</v>
      </c>
      <c r="AD980" t="s">
        <v>67</v>
      </c>
      <c r="AE980">
        <v>-36</v>
      </c>
      <c r="AF980">
        <v>0</v>
      </c>
      <c r="AG980">
        <v>0</v>
      </c>
      <c r="AH980" s="6">
        <v>56.2</v>
      </c>
      <c r="AI980" s="6">
        <v>0</v>
      </c>
      <c r="AJ980" s="6">
        <v>0.622</v>
      </c>
      <c r="AK980" s="6">
        <v>0.69599999999999995</v>
      </c>
      <c r="AL980" s="8">
        <v>104489.42</v>
      </c>
      <c r="AM980" s="6" t="s">
        <v>155</v>
      </c>
      <c r="AN980" s="6">
        <v>1</v>
      </c>
      <c r="AO980" s="6">
        <v>1</v>
      </c>
      <c r="AP980" s="6">
        <v>0</v>
      </c>
      <c r="AQ980" s="6">
        <v>1</v>
      </c>
      <c r="AR980" s="6">
        <v>0</v>
      </c>
      <c r="AS980" s="6">
        <v>1</v>
      </c>
      <c r="AT980" s="6">
        <v>0</v>
      </c>
      <c r="AU980" s="6">
        <v>2.2599999999999998</v>
      </c>
      <c r="AV980" s="6">
        <v>1.47</v>
      </c>
      <c r="AW980" s="6">
        <v>258.72000000000003</v>
      </c>
      <c r="AX980" s="6">
        <v>42.03</v>
      </c>
      <c r="AY980" s="6">
        <v>202.63</v>
      </c>
      <c r="AZ980" s="6">
        <v>11.5</v>
      </c>
      <c r="BA980" s="6">
        <v>13.2</v>
      </c>
    </row>
    <row r="981" spans="1:53" x14ac:dyDescent="0.3">
      <c r="A981" s="6">
        <v>692326390</v>
      </c>
      <c r="B981" s="6">
        <v>903035</v>
      </c>
      <c r="C981" s="6">
        <v>7110622</v>
      </c>
      <c r="D981" s="6">
        <v>3200</v>
      </c>
      <c r="E981" s="6" t="s">
        <v>92</v>
      </c>
      <c r="F981" s="6">
        <v>58245</v>
      </c>
      <c r="G981" s="6" t="s">
        <v>203</v>
      </c>
      <c r="H981" s="10">
        <v>45948</v>
      </c>
      <c r="I981" s="10">
        <v>45948</v>
      </c>
      <c r="J981" s="4">
        <v>45948.701388888891</v>
      </c>
      <c r="K981" s="4">
        <v>45948.802060185182</v>
      </c>
      <c r="L981" s="11">
        <v>45948.787476851852</v>
      </c>
      <c r="M981" s="10">
        <v>45948</v>
      </c>
      <c r="N981" s="6" t="s">
        <v>200</v>
      </c>
      <c r="O981" t="s">
        <v>171</v>
      </c>
      <c r="P981" s="6" t="s">
        <v>200</v>
      </c>
      <c r="Q981" t="s">
        <v>338</v>
      </c>
      <c r="R981" t="s">
        <v>62</v>
      </c>
      <c r="S981" s="6">
        <v>725966</v>
      </c>
      <c r="T981" s="6" t="s">
        <v>3</v>
      </c>
      <c r="U981">
        <v>59</v>
      </c>
      <c r="V981" s="6">
        <v>17.7</v>
      </c>
      <c r="W981" s="6">
        <v>13.1</v>
      </c>
      <c r="X981" s="6">
        <v>64.099999999999994</v>
      </c>
      <c r="Y981" s="6">
        <v>94.9</v>
      </c>
      <c r="Z981" s="6" t="s">
        <v>2</v>
      </c>
      <c r="AA981" t="s">
        <v>447</v>
      </c>
      <c r="AB981" s="6" t="s">
        <v>90</v>
      </c>
      <c r="AC981" t="s">
        <v>76</v>
      </c>
      <c r="AD981" t="s">
        <v>67</v>
      </c>
      <c r="AE981">
        <v>-21</v>
      </c>
      <c r="AF981">
        <v>0</v>
      </c>
      <c r="AG981">
        <v>0</v>
      </c>
      <c r="AH981" s="6">
        <v>12.3</v>
      </c>
      <c r="AI981" s="6">
        <v>0</v>
      </c>
      <c r="AJ981" s="6">
        <v>0.65100000000000002</v>
      </c>
      <c r="AK981" s="6">
        <v>0.60199999999999998</v>
      </c>
      <c r="AL981" s="8">
        <v>4674.62</v>
      </c>
      <c r="AM981" s="6" t="s">
        <v>68</v>
      </c>
      <c r="AN981" s="6">
        <v>1</v>
      </c>
      <c r="AO981" s="6">
        <v>1</v>
      </c>
      <c r="AP981" s="6">
        <v>0</v>
      </c>
      <c r="AQ981" s="6">
        <v>1</v>
      </c>
      <c r="AR981" s="6">
        <v>0</v>
      </c>
      <c r="AS981" s="6">
        <v>1</v>
      </c>
      <c r="AT981" s="6">
        <v>0</v>
      </c>
      <c r="AU981" s="6">
        <v>2.37</v>
      </c>
      <c r="AV981" s="6">
        <v>1.6</v>
      </c>
      <c r="AW981" s="6">
        <v>66.98</v>
      </c>
      <c r="AX981" s="6">
        <v>14.45</v>
      </c>
      <c r="AY981" s="6">
        <v>66.39</v>
      </c>
      <c r="AZ981" s="6">
        <v>26.8</v>
      </c>
      <c r="BA981" s="6">
        <v>19.8</v>
      </c>
    </row>
    <row r="982" spans="1:53" x14ac:dyDescent="0.3">
      <c r="A982" s="6">
        <v>239340792</v>
      </c>
      <c r="B982" s="6">
        <v>733052</v>
      </c>
      <c r="C982" s="6">
        <v>2642635</v>
      </c>
      <c r="D982" s="6">
        <v>8989</v>
      </c>
      <c r="E982" s="6" t="s">
        <v>84</v>
      </c>
      <c r="F982" s="6">
        <v>50442</v>
      </c>
      <c r="G982" s="6" t="s">
        <v>127</v>
      </c>
      <c r="H982" s="10">
        <v>45943</v>
      </c>
      <c r="I982" s="10">
        <v>45943</v>
      </c>
      <c r="J982" s="4">
        <v>45943.548611111109</v>
      </c>
      <c r="K982" s="4">
        <v>45943.776238425926</v>
      </c>
      <c r="L982" s="11">
        <v>45943.773460648146</v>
      </c>
      <c r="M982" s="10">
        <v>45943</v>
      </c>
      <c r="N982" s="6" t="s">
        <v>93</v>
      </c>
      <c r="O982" t="s">
        <v>217</v>
      </c>
      <c r="P982" s="6" t="s">
        <v>86</v>
      </c>
      <c r="Q982" t="s">
        <v>253</v>
      </c>
      <c r="R982" t="s">
        <v>88</v>
      </c>
      <c r="S982" s="6">
        <v>756949</v>
      </c>
      <c r="T982" s="6" t="s">
        <v>1</v>
      </c>
      <c r="U982">
        <v>231</v>
      </c>
      <c r="V982" s="6">
        <v>29.5</v>
      </c>
      <c r="W982" s="6">
        <v>41.2</v>
      </c>
      <c r="X982" s="6">
        <v>233.1</v>
      </c>
      <c r="Y982" s="6">
        <v>303.8</v>
      </c>
      <c r="Z982" s="6" t="s">
        <v>2</v>
      </c>
      <c r="AA982" t="s">
        <v>754</v>
      </c>
      <c r="AB982" s="6" t="s">
        <v>75</v>
      </c>
      <c r="AC982" t="s">
        <v>83</v>
      </c>
      <c r="AD982" t="s">
        <v>67</v>
      </c>
      <c r="AE982">
        <v>-4</v>
      </c>
      <c r="AF982">
        <v>0</v>
      </c>
      <c r="AG982">
        <v>0</v>
      </c>
      <c r="AH982" s="6">
        <v>43.3</v>
      </c>
      <c r="AI982" s="6">
        <v>0</v>
      </c>
      <c r="AJ982" s="6">
        <v>0.77900000000000003</v>
      </c>
      <c r="AK982" s="6">
        <v>0.437</v>
      </c>
      <c r="AL982" s="8">
        <v>4851.6000000000004</v>
      </c>
      <c r="AM982" s="6" t="s">
        <v>68</v>
      </c>
      <c r="AN982" s="6">
        <v>1</v>
      </c>
      <c r="AO982" s="6">
        <v>1</v>
      </c>
      <c r="AP982" s="6">
        <v>0</v>
      </c>
      <c r="AQ982" s="6">
        <v>1</v>
      </c>
      <c r="AR982" s="6">
        <v>0</v>
      </c>
      <c r="AS982" s="6">
        <v>1</v>
      </c>
      <c r="AT982" s="6">
        <v>0</v>
      </c>
      <c r="AU982" s="6">
        <v>2.4700000000000002</v>
      </c>
      <c r="AV982" s="6">
        <v>1.56</v>
      </c>
      <c r="AW982" s="6">
        <v>215.66</v>
      </c>
      <c r="AX982" s="6">
        <v>53.19</v>
      </c>
      <c r="AY982" s="6">
        <v>154.63999999999999</v>
      </c>
      <c r="AZ982" s="6">
        <v>11.9</v>
      </c>
      <c r="BA982" s="6">
        <v>11.7</v>
      </c>
    </row>
    <row r="983" spans="1:53" x14ac:dyDescent="0.3">
      <c r="A983" s="6">
        <v>757074545</v>
      </c>
      <c r="B983" s="6">
        <v>246316</v>
      </c>
      <c r="C983" s="6">
        <v>1352896</v>
      </c>
      <c r="D983" s="6">
        <v>5426</v>
      </c>
      <c r="E983" s="6" t="s">
        <v>185</v>
      </c>
      <c r="F983" s="6">
        <v>56976</v>
      </c>
      <c r="G983" s="6" t="s">
        <v>127</v>
      </c>
      <c r="H983" s="10">
        <v>45787</v>
      </c>
      <c r="I983" s="10">
        <v>45787</v>
      </c>
      <c r="J983" s="4">
        <v>45787.472222222219</v>
      </c>
      <c r="K983" s="4">
        <v>45787.737962962965</v>
      </c>
      <c r="L983" s="11">
        <v>45787.834490740737</v>
      </c>
      <c r="M983" s="10">
        <v>45787</v>
      </c>
      <c r="N983" s="6" t="s">
        <v>93</v>
      </c>
      <c r="O983" t="s">
        <v>95</v>
      </c>
      <c r="P983" s="6" t="s">
        <v>93</v>
      </c>
      <c r="Q983" t="s">
        <v>217</v>
      </c>
      <c r="R983" t="s">
        <v>73</v>
      </c>
      <c r="S983" s="6">
        <v>758654</v>
      </c>
      <c r="T983" s="6" t="s">
        <v>111</v>
      </c>
      <c r="U983">
        <v>322</v>
      </c>
      <c r="V983" s="6">
        <v>0.4</v>
      </c>
      <c r="W983" s="6">
        <v>34.200000000000003</v>
      </c>
      <c r="X983" s="6">
        <v>319.10000000000002</v>
      </c>
      <c r="Y983" s="6">
        <v>353.7</v>
      </c>
      <c r="Z983" s="6" t="s">
        <v>63</v>
      </c>
      <c r="AA983" t="s">
        <v>670</v>
      </c>
      <c r="AB983" s="6" t="s">
        <v>75</v>
      </c>
      <c r="AC983" t="s">
        <v>76</v>
      </c>
      <c r="AD983" t="s">
        <v>206</v>
      </c>
      <c r="AE983">
        <v>139</v>
      </c>
      <c r="AF983">
        <v>199</v>
      </c>
      <c r="AG983">
        <v>0</v>
      </c>
      <c r="AH983" s="6">
        <v>22.8</v>
      </c>
      <c r="AI983" s="6">
        <v>0</v>
      </c>
      <c r="AJ983" s="6">
        <v>0.89700000000000002</v>
      </c>
      <c r="AK983" s="6">
        <v>0.60599999999999998</v>
      </c>
      <c r="AL983" s="8">
        <v>2459.96</v>
      </c>
      <c r="AM983" s="6" t="s">
        <v>68</v>
      </c>
      <c r="AN983" s="6">
        <v>1</v>
      </c>
      <c r="AO983" s="6">
        <v>0</v>
      </c>
      <c r="AP983" s="6">
        <v>1</v>
      </c>
      <c r="AQ983" s="6">
        <v>0</v>
      </c>
      <c r="AR983" s="6">
        <v>1</v>
      </c>
      <c r="AS983" s="6">
        <v>0</v>
      </c>
      <c r="AT983" s="6">
        <v>1</v>
      </c>
      <c r="AU983" s="6">
        <v>2.41</v>
      </c>
      <c r="AV983" s="6">
        <v>1.67</v>
      </c>
      <c r="AW983" s="6">
        <v>281.77</v>
      </c>
      <c r="AX983" s="6">
        <v>51.46</v>
      </c>
      <c r="AY983" s="6">
        <v>180.7</v>
      </c>
      <c r="AZ983" s="6">
        <v>28.1</v>
      </c>
      <c r="BA983" s="6">
        <v>12.9</v>
      </c>
    </row>
    <row r="984" spans="1:53" x14ac:dyDescent="0.3">
      <c r="A984" s="6">
        <v>192573170</v>
      </c>
      <c r="B984" s="6">
        <v>555884</v>
      </c>
      <c r="C984" s="6">
        <v>7907400</v>
      </c>
      <c r="D984" s="6">
        <v>7287</v>
      </c>
      <c r="E984" s="6" t="s">
        <v>126</v>
      </c>
      <c r="F984" s="6">
        <v>54675</v>
      </c>
      <c r="G984" s="6" t="s">
        <v>146</v>
      </c>
      <c r="H984" s="10">
        <v>45867</v>
      </c>
      <c r="I984" s="10">
        <v>45867</v>
      </c>
      <c r="J984" s="4">
        <v>45867.621527777781</v>
      </c>
      <c r="K984" s="4">
        <v>45867.684027777781</v>
      </c>
      <c r="L984" s="11">
        <v>45867.695833333331</v>
      </c>
      <c r="M984" s="10">
        <v>45867</v>
      </c>
      <c r="N984" s="6" t="s">
        <v>170</v>
      </c>
      <c r="O984" t="s">
        <v>183</v>
      </c>
      <c r="P984" s="6" t="s">
        <v>170</v>
      </c>
      <c r="Q984" t="s">
        <v>189</v>
      </c>
      <c r="R984" t="s">
        <v>62</v>
      </c>
      <c r="S984" s="6">
        <v>774798</v>
      </c>
      <c r="T984" s="6" t="s">
        <v>3</v>
      </c>
      <c r="U984">
        <v>20</v>
      </c>
      <c r="V984" s="6">
        <v>12.7</v>
      </c>
      <c r="W984" s="6">
        <v>24.9</v>
      </c>
      <c r="X984" s="6">
        <v>14.6</v>
      </c>
      <c r="Y984" s="6">
        <v>52.2</v>
      </c>
      <c r="Z984" s="6" t="s">
        <v>63</v>
      </c>
      <c r="AA984" t="s">
        <v>893</v>
      </c>
      <c r="AB984" s="6" t="s">
        <v>90</v>
      </c>
      <c r="AC984" t="s">
        <v>66</v>
      </c>
      <c r="AD984" t="s">
        <v>67</v>
      </c>
      <c r="AE984">
        <v>17</v>
      </c>
      <c r="AF984">
        <v>0</v>
      </c>
      <c r="AG984">
        <v>0</v>
      </c>
      <c r="AH984" s="6">
        <v>26.8</v>
      </c>
      <c r="AI984" s="6">
        <v>0</v>
      </c>
      <c r="AJ984" s="6">
        <v>0.60799999999999998</v>
      </c>
      <c r="AK984" s="6">
        <v>0.83799999999999997</v>
      </c>
      <c r="AL984" s="8">
        <v>5477.53</v>
      </c>
      <c r="AM984" s="6" t="s">
        <v>68</v>
      </c>
      <c r="AN984" s="6">
        <v>1</v>
      </c>
      <c r="AO984" s="6">
        <v>0</v>
      </c>
      <c r="AP984" s="6">
        <v>1</v>
      </c>
      <c r="AQ984" s="6">
        <v>0</v>
      </c>
      <c r="AR984" s="6">
        <v>1</v>
      </c>
      <c r="AS984" s="6">
        <v>0</v>
      </c>
      <c r="AT984" s="6">
        <v>1</v>
      </c>
      <c r="AU984" s="6">
        <v>2.25</v>
      </c>
      <c r="AV984" s="6">
        <v>1.66</v>
      </c>
      <c r="AW984" s="6">
        <v>36.43</v>
      </c>
      <c r="AX984" s="6">
        <v>10.23</v>
      </c>
      <c r="AY984" s="6">
        <v>36.08</v>
      </c>
      <c r="AZ984" s="6">
        <v>19.5</v>
      </c>
      <c r="BA984" s="6">
        <v>72.099999999999994</v>
      </c>
    </row>
    <row r="985" spans="1:53" x14ac:dyDescent="0.3">
      <c r="A985" s="6">
        <v>170596494</v>
      </c>
      <c r="B985" s="6">
        <v>728038</v>
      </c>
      <c r="C985" s="6">
        <v>1463060</v>
      </c>
      <c r="D985" s="6">
        <v>7287</v>
      </c>
      <c r="E985" s="6" t="s">
        <v>57</v>
      </c>
      <c r="F985" s="6">
        <v>57953</v>
      </c>
      <c r="G985" s="6" t="s">
        <v>164</v>
      </c>
      <c r="H985" s="10">
        <v>45962</v>
      </c>
      <c r="I985" s="10">
        <v>45962</v>
      </c>
      <c r="J985" s="4">
        <v>45962.604166666664</v>
      </c>
      <c r="K985" s="4">
        <v>45962.77611111111</v>
      </c>
      <c r="L985" s="11">
        <v>45962.771249999998</v>
      </c>
      <c r="M985" s="10">
        <v>45962</v>
      </c>
      <c r="N985" s="6" t="s">
        <v>132</v>
      </c>
      <c r="O985" t="s">
        <v>181</v>
      </c>
      <c r="P985" s="6" t="s">
        <v>70</v>
      </c>
      <c r="Q985" t="s">
        <v>72</v>
      </c>
      <c r="R985" t="s">
        <v>73</v>
      </c>
      <c r="S985" s="6">
        <v>756925</v>
      </c>
      <c r="T985" s="6" t="s">
        <v>1</v>
      </c>
      <c r="U985">
        <v>157</v>
      </c>
      <c r="V985" s="6">
        <v>13.1</v>
      </c>
      <c r="W985" s="6">
        <v>36.700000000000003</v>
      </c>
      <c r="X985" s="6">
        <v>167.4</v>
      </c>
      <c r="Y985" s="6">
        <v>217.2</v>
      </c>
      <c r="Z985" s="6" t="s">
        <v>63</v>
      </c>
      <c r="AA985" t="s">
        <v>712</v>
      </c>
      <c r="AB985" s="6" t="s">
        <v>90</v>
      </c>
      <c r="AC985" t="s">
        <v>76</v>
      </c>
      <c r="AD985" t="s">
        <v>67</v>
      </c>
      <c r="AE985">
        <v>-7</v>
      </c>
      <c r="AF985">
        <v>0</v>
      </c>
      <c r="AG985">
        <v>0</v>
      </c>
      <c r="AH985" s="6">
        <v>69.5</v>
      </c>
      <c r="AI985" s="6">
        <v>0</v>
      </c>
      <c r="AJ985" s="6">
        <v>0.69</v>
      </c>
      <c r="AK985" s="6">
        <v>0.90700000000000003</v>
      </c>
      <c r="AL985" s="8">
        <v>4249.37</v>
      </c>
      <c r="AM985" s="6" t="s">
        <v>68</v>
      </c>
      <c r="AN985" s="6">
        <v>1</v>
      </c>
      <c r="AO985" s="6">
        <v>1</v>
      </c>
      <c r="AP985" s="6">
        <v>0</v>
      </c>
      <c r="AQ985" s="6">
        <v>1</v>
      </c>
      <c r="AR985" s="6">
        <v>0</v>
      </c>
      <c r="AS985" s="6">
        <v>1</v>
      </c>
      <c r="AT985" s="6">
        <v>0</v>
      </c>
      <c r="AU985" s="6">
        <v>1.84</v>
      </c>
      <c r="AV985" s="6">
        <v>1.32</v>
      </c>
      <c r="AW985" s="6">
        <v>140.52000000000001</v>
      </c>
      <c r="AX985" s="6">
        <v>46.98</v>
      </c>
      <c r="AY985" s="6">
        <v>107.25</v>
      </c>
      <c r="AZ985" s="6">
        <v>13.6</v>
      </c>
      <c r="BA985" s="6">
        <v>25.6</v>
      </c>
    </row>
    <row r="986" spans="1:53" x14ac:dyDescent="0.3">
      <c r="A986" s="6">
        <v>432098383</v>
      </c>
      <c r="B986" s="6">
        <v>865388</v>
      </c>
      <c r="C986" s="6">
        <v>4218542</v>
      </c>
      <c r="D986" s="6">
        <v>5496</v>
      </c>
      <c r="E986" s="6" t="s">
        <v>92</v>
      </c>
      <c r="F986" s="6">
        <v>54377</v>
      </c>
      <c r="G986" s="6" t="s">
        <v>203</v>
      </c>
      <c r="H986" s="10">
        <v>45909</v>
      </c>
      <c r="I986" s="10">
        <v>45909</v>
      </c>
      <c r="J986" s="4">
        <v>45909.288194444445</v>
      </c>
      <c r="K986" s="4">
        <v>45909.691435185188</v>
      </c>
      <c r="L986" s="11">
        <v>45909.658796296295</v>
      </c>
      <c r="M986" s="10">
        <v>45909</v>
      </c>
      <c r="N986" s="6" t="s">
        <v>116</v>
      </c>
      <c r="O986" t="s">
        <v>251</v>
      </c>
      <c r="P986" s="6" t="s">
        <v>103</v>
      </c>
      <c r="Q986" t="s">
        <v>232</v>
      </c>
      <c r="R986" t="s">
        <v>73</v>
      </c>
      <c r="S986" s="6">
        <v>728499</v>
      </c>
      <c r="T986" s="6" t="s">
        <v>111</v>
      </c>
      <c r="U986">
        <v>452</v>
      </c>
      <c r="V986" s="6">
        <v>38.1</v>
      </c>
      <c r="W986" s="6">
        <v>7.5</v>
      </c>
      <c r="X986" s="6">
        <v>464.7</v>
      </c>
      <c r="Y986" s="6">
        <v>510.3</v>
      </c>
      <c r="Z986" s="6" t="s">
        <v>63</v>
      </c>
      <c r="AA986" t="s">
        <v>894</v>
      </c>
      <c r="AB986" s="6" t="s">
        <v>97</v>
      </c>
      <c r="AC986" t="s">
        <v>66</v>
      </c>
      <c r="AD986" t="s">
        <v>67</v>
      </c>
      <c r="AE986">
        <v>-47</v>
      </c>
      <c r="AF986">
        <v>0</v>
      </c>
      <c r="AG986">
        <v>1.7</v>
      </c>
      <c r="AH986" s="6">
        <v>28.6</v>
      </c>
      <c r="AI986" s="6">
        <v>0</v>
      </c>
      <c r="AJ986" s="6">
        <v>0.79300000000000004</v>
      </c>
      <c r="AK986" s="6">
        <v>0.504</v>
      </c>
      <c r="AL986" s="8">
        <v>1885.65</v>
      </c>
      <c r="AM986" s="6" t="s">
        <v>68</v>
      </c>
      <c r="AN986" s="6">
        <v>1</v>
      </c>
      <c r="AO986" s="6">
        <v>1</v>
      </c>
      <c r="AP986" s="6">
        <v>0</v>
      </c>
      <c r="AQ986" s="6">
        <v>1</v>
      </c>
      <c r="AR986" s="6">
        <v>0</v>
      </c>
      <c r="AS986" s="6">
        <v>1</v>
      </c>
      <c r="AT986" s="6">
        <v>0</v>
      </c>
      <c r="AU986" s="6">
        <v>1.98</v>
      </c>
      <c r="AV986" s="6">
        <v>1.3</v>
      </c>
      <c r="AW986" s="6">
        <v>347.86</v>
      </c>
      <c r="AX986" s="6">
        <v>108.17</v>
      </c>
      <c r="AY986" s="6">
        <v>256.36</v>
      </c>
      <c r="AZ986" s="6">
        <v>10.3</v>
      </c>
      <c r="BA986" s="6">
        <v>7.3</v>
      </c>
    </row>
    <row r="987" spans="1:53" x14ac:dyDescent="0.3">
      <c r="A987" s="6">
        <v>527521016</v>
      </c>
      <c r="B987" s="6">
        <v>955662</v>
      </c>
      <c r="C987" s="6">
        <v>8315831</v>
      </c>
      <c r="D987" s="6">
        <v>9445</v>
      </c>
      <c r="E987" s="6" t="s">
        <v>84</v>
      </c>
      <c r="F987" s="6">
        <v>57058</v>
      </c>
      <c r="G987" s="6" t="s">
        <v>127</v>
      </c>
      <c r="H987" s="10">
        <v>45665</v>
      </c>
      <c r="I987" s="10">
        <v>45665</v>
      </c>
      <c r="J987" s="4">
        <v>45665.368055555555</v>
      </c>
      <c r="K987" s="4">
        <v>45665.667881944442</v>
      </c>
      <c r="L987" s="11">
        <v>45665.660243055558</v>
      </c>
      <c r="M987" s="10">
        <v>45665</v>
      </c>
      <c r="N987" s="6" t="s">
        <v>200</v>
      </c>
      <c r="O987" t="s">
        <v>338</v>
      </c>
      <c r="P987" s="6" t="s">
        <v>129</v>
      </c>
      <c r="Q987" t="s">
        <v>157</v>
      </c>
      <c r="R987" t="s">
        <v>123</v>
      </c>
      <c r="S987" s="6">
        <v>738337</v>
      </c>
      <c r="T987" s="6" t="s">
        <v>111</v>
      </c>
      <c r="U987">
        <v>312</v>
      </c>
      <c r="V987" s="6">
        <v>24.1</v>
      </c>
      <c r="W987" s="6">
        <v>23.4</v>
      </c>
      <c r="X987" s="6">
        <v>310.2</v>
      </c>
      <c r="Y987" s="6">
        <v>357.7</v>
      </c>
      <c r="Z987" s="6" t="s">
        <v>80</v>
      </c>
      <c r="AA987" t="s">
        <v>636</v>
      </c>
      <c r="AB987" s="6" t="s">
        <v>97</v>
      </c>
      <c r="AC987" t="s">
        <v>125</v>
      </c>
      <c r="AD987" t="s">
        <v>67</v>
      </c>
      <c r="AE987">
        <v>-11</v>
      </c>
      <c r="AF987">
        <v>0</v>
      </c>
      <c r="AG987">
        <v>0</v>
      </c>
      <c r="AH987" s="6">
        <v>36.200000000000003</v>
      </c>
      <c r="AI987" s="6">
        <v>0</v>
      </c>
      <c r="AJ987" s="6">
        <v>0.60899999999999999</v>
      </c>
      <c r="AK987" s="6">
        <v>0.67900000000000005</v>
      </c>
      <c r="AL987" s="8">
        <v>17994.150000000001</v>
      </c>
      <c r="AM987" s="6" t="s">
        <v>114</v>
      </c>
      <c r="AN987" s="6">
        <v>1</v>
      </c>
      <c r="AO987" s="6">
        <v>1</v>
      </c>
      <c r="AP987" s="6">
        <v>0</v>
      </c>
      <c r="AQ987" s="6">
        <v>1</v>
      </c>
      <c r="AR987" s="6">
        <v>0</v>
      </c>
      <c r="AS987" s="6">
        <v>1</v>
      </c>
      <c r="AT987" s="6">
        <v>0</v>
      </c>
      <c r="AU987" s="6">
        <v>2.14</v>
      </c>
      <c r="AV987" s="6">
        <v>1.63</v>
      </c>
      <c r="AW987" s="6">
        <v>319.82</v>
      </c>
      <c r="AX987" s="6">
        <v>59.18</v>
      </c>
      <c r="AY987" s="6">
        <v>241.82</v>
      </c>
      <c r="AZ987" s="6">
        <v>18.100000000000001</v>
      </c>
      <c r="BA987" s="6">
        <v>28.9</v>
      </c>
    </row>
    <row r="988" spans="1:53" x14ac:dyDescent="0.3">
      <c r="A988" s="6">
        <v>869801588</v>
      </c>
      <c r="B988" s="6">
        <v>688637</v>
      </c>
      <c r="C988" s="6">
        <v>6752576</v>
      </c>
      <c r="D988" s="6">
        <v>9901</v>
      </c>
      <c r="E988" s="6" t="s">
        <v>84</v>
      </c>
      <c r="F988" s="6">
        <v>50822</v>
      </c>
      <c r="G988" s="6" t="s">
        <v>164</v>
      </c>
      <c r="H988" s="10">
        <v>45780</v>
      </c>
      <c r="I988" s="10">
        <v>45780</v>
      </c>
      <c r="J988" s="4">
        <v>45780.236111111109</v>
      </c>
      <c r="K988" s="4">
        <v>45780.502870370372</v>
      </c>
      <c r="L988" s="11">
        <v>45780.512592592589</v>
      </c>
      <c r="M988" s="10">
        <v>45780</v>
      </c>
      <c r="N988" s="6" t="s">
        <v>70</v>
      </c>
      <c r="O988" t="s">
        <v>138</v>
      </c>
      <c r="P988" s="6" t="s">
        <v>200</v>
      </c>
      <c r="Q988" t="s">
        <v>161</v>
      </c>
      <c r="R988" t="s">
        <v>62</v>
      </c>
      <c r="S988" s="6">
        <v>763246</v>
      </c>
      <c r="T988" s="6" t="s">
        <v>1</v>
      </c>
      <c r="U988">
        <v>300</v>
      </c>
      <c r="V988" s="6">
        <v>24.1</v>
      </c>
      <c r="W988" s="6">
        <v>0.7</v>
      </c>
      <c r="X988" s="6">
        <v>297.39999999999998</v>
      </c>
      <c r="Y988" s="6">
        <v>322.2</v>
      </c>
      <c r="Z988" s="6" t="s">
        <v>80</v>
      </c>
      <c r="AA988" t="s">
        <v>578</v>
      </c>
      <c r="AB988" s="6" t="s">
        <v>82</v>
      </c>
      <c r="AC988" t="s">
        <v>76</v>
      </c>
      <c r="AD988" t="s">
        <v>67</v>
      </c>
      <c r="AE988">
        <v>14</v>
      </c>
      <c r="AF988">
        <v>0</v>
      </c>
      <c r="AG988">
        <v>0</v>
      </c>
      <c r="AH988" s="6">
        <v>55</v>
      </c>
      <c r="AI988" s="6">
        <v>0</v>
      </c>
      <c r="AJ988" s="6">
        <v>0.73599999999999999</v>
      </c>
      <c r="AK988" s="6">
        <v>0.42699999999999999</v>
      </c>
      <c r="AL988" s="8">
        <v>1000.28</v>
      </c>
      <c r="AM988" s="6" t="s">
        <v>68</v>
      </c>
      <c r="AN988" s="6">
        <v>1</v>
      </c>
      <c r="AO988" s="6">
        <v>1</v>
      </c>
      <c r="AP988" s="6">
        <v>0</v>
      </c>
      <c r="AQ988" s="6">
        <v>1</v>
      </c>
      <c r="AR988" s="6">
        <v>0</v>
      </c>
      <c r="AS988" s="6">
        <v>1</v>
      </c>
      <c r="AT988" s="6">
        <v>0</v>
      </c>
      <c r="AU988" s="6">
        <v>2.23</v>
      </c>
      <c r="AV988" s="6">
        <v>1.34</v>
      </c>
      <c r="AW988" s="6">
        <v>200.8</v>
      </c>
      <c r="AX988" s="6">
        <v>45.94</v>
      </c>
      <c r="AY988" s="6">
        <v>197.73</v>
      </c>
      <c r="AZ988" s="6">
        <v>45.1</v>
      </c>
      <c r="BA988" s="6">
        <v>0</v>
      </c>
    </row>
    <row r="989" spans="1:53" x14ac:dyDescent="0.3">
      <c r="A989" s="6">
        <v>871880418</v>
      </c>
      <c r="B989" s="6">
        <v>852787</v>
      </c>
      <c r="C989" s="6">
        <v>6075395</v>
      </c>
      <c r="D989" s="6">
        <v>7668</v>
      </c>
      <c r="E989" s="6" t="s">
        <v>211</v>
      </c>
      <c r="F989" s="6">
        <v>52939</v>
      </c>
      <c r="G989" s="6" t="s">
        <v>115</v>
      </c>
      <c r="H989" s="10">
        <v>45710</v>
      </c>
      <c r="I989" s="10">
        <v>45710</v>
      </c>
      <c r="J989" s="4">
        <v>45710.364583333336</v>
      </c>
      <c r="K989" s="4">
        <v>45710.611215277779</v>
      </c>
      <c r="L989" s="11">
        <v>45710.607048611113</v>
      </c>
      <c r="M989" s="10">
        <v>45710</v>
      </c>
      <c r="N989" s="6" t="s">
        <v>78</v>
      </c>
      <c r="O989" t="s">
        <v>219</v>
      </c>
      <c r="P989" s="6" t="s">
        <v>59</v>
      </c>
      <c r="Q989" t="s">
        <v>99</v>
      </c>
      <c r="R989" t="s">
        <v>62</v>
      </c>
      <c r="S989" s="6">
        <v>752047</v>
      </c>
      <c r="T989" s="6" t="s">
        <v>111</v>
      </c>
      <c r="U989">
        <v>339</v>
      </c>
      <c r="V989" s="6">
        <v>23.5</v>
      </c>
      <c r="W989" s="6">
        <v>56</v>
      </c>
      <c r="X989" s="6">
        <v>345.8</v>
      </c>
      <c r="Y989" s="6">
        <v>425.3</v>
      </c>
      <c r="Z989" s="6" t="s">
        <v>112</v>
      </c>
      <c r="AA989" t="s">
        <v>475</v>
      </c>
      <c r="AB989" s="6" t="s">
        <v>97</v>
      </c>
      <c r="AC989" t="s">
        <v>76</v>
      </c>
      <c r="AD989" t="s">
        <v>67</v>
      </c>
      <c r="AE989">
        <v>-6</v>
      </c>
      <c r="AF989">
        <v>0</v>
      </c>
      <c r="AG989">
        <v>0</v>
      </c>
      <c r="AH989" s="6">
        <v>46.8</v>
      </c>
      <c r="AI989" s="6">
        <v>0</v>
      </c>
      <c r="AJ989" s="6">
        <v>0.58599999999999997</v>
      </c>
      <c r="AK989" s="6">
        <v>0.53700000000000003</v>
      </c>
      <c r="AL989" s="8">
        <v>2861.32</v>
      </c>
      <c r="AM989" s="6" t="s">
        <v>68</v>
      </c>
      <c r="AN989" s="6">
        <v>1</v>
      </c>
      <c r="AO989" s="6">
        <v>1</v>
      </c>
      <c r="AP989" s="6">
        <v>0</v>
      </c>
      <c r="AQ989" s="6">
        <v>1</v>
      </c>
      <c r="AR989" s="6">
        <v>0</v>
      </c>
      <c r="AS989" s="6">
        <v>1</v>
      </c>
      <c r="AT989" s="6">
        <v>0</v>
      </c>
      <c r="AU989" s="6">
        <v>2.69</v>
      </c>
      <c r="AV989" s="6">
        <v>1.64</v>
      </c>
      <c r="AW989" s="6">
        <v>280.70999999999998</v>
      </c>
      <c r="AX989" s="6">
        <v>64.67</v>
      </c>
      <c r="AY989" s="6">
        <v>244.13</v>
      </c>
      <c r="AZ989" s="6">
        <v>15.7</v>
      </c>
      <c r="BA989" s="6">
        <v>65.3</v>
      </c>
    </row>
    <row r="990" spans="1:53" x14ac:dyDescent="0.3">
      <c r="A990" s="6">
        <v>613962746</v>
      </c>
      <c r="B990" s="6">
        <v>334053</v>
      </c>
      <c r="C990" s="6">
        <v>6672134</v>
      </c>
      <c r="D990" s="6">
        <v>1466</v>
      </c>
      <c r="E990" s="6" t="s">
        <v>126</v>
      </c>
      <c r="F990" s="6">
        <v>57096</v>
      </c>
      <c r="G990" s="6" t="s">
        <v>58</v>
      </c>
      <c r="H990" s="10">
        <v>45743</v>
      </c>
      <c r="I990" s="10">
        <v>45743</v>
      </c>
      <c r="J990" s="4">
        <v>45743.461805555555</v>
      </c>
      <c r="K990" s="4">
        <v>45743.650370370371</v>
      </c>
      <c r="L990" s="11">
        <v>45743.64203703704</v>
      </c>
      <c r="M990" s="10">
        <v>45743</v>
      </c>
      <c r="N990" s="6" t="s">
        <v>70</v>
      </c>
      <c r="O990" t="s">
        <v>138</v>
      </c>
      <c r="P990" s="6" t="s">
        <v>116</v>
      </c>
      <c r="Q990" t="s">
        <v>212</v>
      </c>
      <c r="R990" t="s">
        <v>123</v>
      </c>
      <c r="S990" s="6">
        <v>767844</v>
      </c>
      <c r="T990" s="6" t="s">
        <v>1</v>
      </c>
      <c r="U990">
        <v>148</v>
      </c>
      <c r="V990" s="6">
        <v>9.4</v>
      </c>
      <c r="W990" s="6">
        <v>16.399999999999999</v>
      </c>
      <c r="X990" s="6">
        <v>146.5</v>
      </c>
      <c r="Y990" s="6">
        <v>172.3</v>
      </c>
      <c r="Z990" s="6" t="s">
        <v>63</v>
      </c>
      <c r="AA990" t="s">
        <v>895</v>
      </c>
      <c r="AB990" s="6" t="s">
        <v>75</v>
      </c>
      <c r="AC990" t="s">
        <v>137</v>
      </c>
      <c r="AD990" t="s">
        <v>67</v>
      </c>
      <c r="AE990">
        <v>-12</v>
      </c>
      <c r="AF990">
        <v>0</v>
      </c>
      <c r="AG990">
        <v>0</v>
      </c>
      <c r="AH990" s="6">
        <v>68</v>
      </c>
      <c r="AI990" s="6">
        <v>0</v>
      </c>
      <c r="AJ990" s="6">
        <v>0.66600000000000004</v>
      </c>
      <c r="AK990" s="6">
        <v>0.85399999999999998</v>
      </c>
      <c r="AL990" s="8">
        <v>5530.8</v>
      </c>
      <c r="AM990" s="6" t="s">
        <v>68</v>
      </c>
      <c r="AN990" s="6">
        <v>1</v>
      </c>
      <c r="AO990" s="6">
        <v>1</v>
      </c>
      <c r="AP990" s="6">
        <v>0</v>
      </c>
      <c r="AQ990" s="6">
        <v>1</v>
      </c>
      <c r="AR990" s="6">
        <v>0</v>
      </c>
      <c r="AS990" s="6">
        <v>1</v>
      </c>
      <c r="AT990" s="6">
        <v>0</v>
      </c>
      <c r="AU990" s="6">
        <v>2.2799999999999998</v>
      </c>
      <c r="AV990" s="6">
        <v>1.53</v>
      </c>
      <c r="AW990" s="6">
        <v>146.01</v>
      </c>
      <c r="AX990" s="6">
        <v>24.06</v>
      </c>
      <c r="AY990" s="6">
        <v>105.59</v>
      </c>
      <c r="AZ990" s="6">
        <v>28.7</v>
      </c>
      <c r="BA990" s="6">
        <v>49.6</v>
      </c>
    </row>
    <row r="991" spans="1:53" x14ac:dyDescent="0.3">
      <c r="A991" s="6">
        <v>664461415</v>
      </c>
      <c r="B991" s="6">
        <v>145561</v>
      </c>
      <c r="C991" s="6">
        <v>2564689</v>
      </c>
      <c r="D991" s="6">
        <v>1161</v>
      </c>
      <c r="E991" s="6" t="s">
        <v>101</v>
      </c>
      <c r="F991" s="6">
        <v>55765</v>
      </c>
      <c r="G991" s="6" t="s">
        <v>146</v>
      </c>
      <c r="H991" s="10">
        <v>45988</v>
      </c>
      <c r="I991" s="10">
        <v>45988</v>
      </c>
      <c r="J991" s="4">
        <v>45988.229166666664</v>
      </c>
      <c r="K991" s="4">
        <v>45988.291666666664</v>
      </c>
      <c r="L991" s="11">
        <v>45988.274305555555</v>
      </c>
      <c r="M991" s="10">
        <v>45988</v>
      </c>
      <c r="N991" s="6" t="s">
        <v>200</v>
      </c>
      <c r="O991" t="s">
        <v>338</v>
      </c>
      <c r="P991" s="6" t="s">
        <v>86</v>
      </c>
      <c r="Q991" t="s">
        <v>268</v>
      </c>
      <c r="R991" t="s">
        <v>88</v>
      </c>
      <c r="S991" s="6">
        <v>775527</v>
      </c>
      <c r="T991" s="6" t="s">
        <v>3</v>
      </c>
      <c r="U991">
        <v>36</v>
      </c>
      <c r="V991" s="6">
        <v>50.9</v>
      </c>
      <c r="W991" s="6">
        <v>37.1</v>
      </c>
      <c r="X991" s="6">
        <v>39.5</v>
      </c>
      <c r="Y991" s="6">
        <v>127.5</v>
      </c>
      <c r="Z991" s="6" t="s">
        <v>63</v>
      </c>
      <c r="AA991" t="s">
        <v>813</v>
      </c>
      <c r="AB991" s="6" t="s">
        <v>82</v>
      </c>
      <c r="AC991" t="s">
        <v>137</v>
      </c>
      <c r="AD991" t="s">
        <v>67</v>
      </c>
      <c r="AE991">
        <v>-25</v>
      </c>
      <c r="AF991">
        <v>0</v>
      </c>
      <c r="AG991">
        <v>0</v>
      </c>
      <c r="AH991" s="6">
        <v>79.599999999999994</v>
      </c>
      <c r="AI991" s="6">
        <v>0</v>
      </c>
      <c r="AJ991" s="6">
        <v>0.72499999999999998</v>
      </c>
      <c r="AK991" s="6">
        <v>0.33900000000000002</v>
      </c>
      <c r="AL991" s="8">
        <v>4386.88</v>
      </c>
      <c r="AM991" s="6" t="s">
        <v>68</v>
      </c>
      <c r="AN991" s="6">
        <v>1</v>
      </c>
      <c r="AO991" s="6">
        <v>1</v>
      </c>
      <c r="AP991" s="6">
        <v>0</v>
      </c>
      <c r="AQ991" s="6">
        <v>1</v>
      </c>
      <c r="AR991" s="6">
        <v>0</v>
      </c>
      <c r="AS991" s="6">
        <v>1</v>
      </c>
      <c r="AT991" s="6">
        <v>0</v>
      </c>
      <c r="AU991" s="6">
        <v>2.27</v>
      </c>
      <c r="AV991" s="6">
        <v>1.67</v>
      </c>
      <c r="AW991" s="6">
        <v>116.53</v>
      </c>
      <c r="AX991" s="6">
        <v>19.510000000000002</v>
      </c>
      <c r="AY991" s="6">
        <v>88.09</v>
      </c>
      <c r="AZ991" s="6">
        <v>5.6</v>
      </c>
      <c r="BA991" s="6">
        <v>0</v>
      </c>
    </row>
    <row r="992" spans="1:53" x14ac:dyDescent="0.3">
      <c r="A992" s="6">
        <v>541087900</v>
      </c>
      <c r="B992" s="6">
        <v>584714</v>
      </c>
      <c r="C992" s="6">
        <v>5004485</v>
      </c>
      <c r="D992" s="6">
        <v>7938</v>
      </c>
      <c r="E992" s="6" t="s">
        <v>84</v>
      </c>
      <c r="F992" s="6">
        <v>51031</v>
      </c>
      <c r="G992" s="6" t="s">
        <v>102</v>
      </c>
      <c r="H992" s="10">
        <v>45671</v>
      </c>
      <c r="I992" s="10">
        <v>45671</v>
      </c>
      <c r="J992" s="4">
        <v>45671.263888888891</v>
      </c>
      <c r="K992" s="4">
        <v>45671.40996527778</v>
      </c>
      <c r="L992" s="11">
        <v>45671.47315972222</v>
      </c>
      <c r="M992" s="10">
        <v>45671</v>
      </c>
      <c r="N992" s="6" t="s">
        <v>129</v>
      </c>
      <c r="O992" t="s">
        <v>162</v>
      </c>
      <c r="P992" s="6" t="s">
        <v>129</v>
      </c>
      <c r="Q992" t="s">
        <v>156</v>
      </c>
      <c r="R992" t="s">
        <v>123</v>
      </c>
      <c r="S992" s="6">
        <v>739365</v>
      </c>
      <c r="T992" s="6" t="s">
        <v>1</v>
      </c>
      <c r="U992">
        <v>108</v>
      </c>
      <c r="V992" s="6">
        <v>5.4</v>
      </c>
      <c r="W992" s="6">
        <v>9.6999999999999993</v>
      </c>
      <c r="X992" s="6">
        <v>111.3</v>
      </c>
      <c r="Y992" s="6">
        <v>126.4</v>
      </c>
      <c r="Z992" s="6" t="s">
        <v>63</v>
      </c>
      <c r="AA992" t="s">
        <v>344</v>
      </c>
      <c r="AB992" s="6" t="s">
        <v>97</v>
      </c>
      <c r="AC992" t="s">
        <v>66</v>
      </c>
      <c r="AD992" t="s">
        <v>192</v>
      </c>
      <c r="AE992">
        <v>91</v>
      </c>
      <c r="AF992">
        <v>0</v>
      </c>
      <c r="AG992">
        <v>0.8</v>
      </c>
      <c r="AH992" s="6">
        <v>92.9</v>
      </c>
      <c r="AI992" s="6">
        <v>0</v>
      </c>
      <c r="AJ992" s="6">
        <v>0.70299999999999996</v>
      </c>
      <c r="AK992" s="6">
        <v>0.63600000000000001</v>
      </c>
      <c r="AL992" s="8">
        <v>4924.1000000000004</v>
      </c>
      <c r="AM992" s="6" t="s">
        <v>68</v>
      </c>
      <c r="AN992" s="6">
        <v>1</v>
      </c>
      <c r="AO992" s="6">
        <v>0</v>
      </c>
      <c r="AP992" s="6">
        <v>1</v>
      </c>
      <c r="AQ992" s="6">
        <v>0</v>
      </c>
      <c r="AR992" s="6">
        <v>1</v>
      </c>
      <c r="AS992" s="6">
        <v>0</v>
      </c>
      <c r="AT992" s="6">
        <v>1</v>
      </c>
      <c r="AU992" s="6">
        <v>1.99</v>
      </c>
      <c r="AV992" s="6">
        <v>1.46</v>
      </c>
      <c r="AW992" s="6">
        <v>104.46</v>
      </c>
      <c r="AX992" s="6">
        <v>12.84</v>
      </c>
      <c r="AY992" s="6">
        <v>83.64</v>
      </c>
      <c r="AZ992" s="6">
        <v>0.2</v>
      </c>
      <c r="BA992" s="6">
        <v>48.4</v>
      </c>
    </row>
    <row r="993" spans="1:53" x14ac:dyDescent="0.3">
      <c r="A993" s="6">
        <v>925884151</v>
      </c>
      <c r="B993" s="6">
        <v>245051</v>
      </c>
      <c r="C993" s="6">
        <v>1739653</v>
      </c>
      <c r="D993" s="6">
        <v>4763</v>
      </c>
      <c r="E993" s="6" t="s">
        <v>185</v>
      </c>
      <c r="F993" s="6">
        <v>50562</v>
      </c>
      <c r="G993" s="6" t="s">
        <v>69</v>
      </c>
      <c r="H993" s="10">
        <v>45738</v>
      </c>
      <c r="I993" s="10">
        <v>45738</v>
      </c>
      <c r="J993" s="4">
        <v>45738.590277777781</v>
      </c>
      <c r="K993" s="4">
        <v>45738.837569444448</v>
      </c>
      <c r="L993" s="11">
        <v>45738.825069444443</v>
      </c>
      <c r="M993" s="10">
        <v>45738</v>
      </c>
      <c r="N993" s="6" t="s">
        <v>93</v>
      </c>
      <c r="O993" t="s">
        <v>94</v>
      </c>
      <c r="P993" s="6" t="s">
        <v>93</v>
      </c>
      <c r="Q993" t="s">
        <v>290</v>
      </c>
      <c r="R993" t="s">
        <v>73</v>
      </c>
      <c r="S993" s="6">
        <v>758654</v>
      </c>
      <c r="T993" s="6" t="s">
        <v>1</v>
      </c>
      <c r="U993">
        <v>270</v>
      </c>
      <c r="V993" s="6">
        <v>38</v>
      </c>
      <c r="W993" s="6">
        <v>25.9</v>
      </c>
      <c r="X993" s="6">
        <v>270.2</v>
      </c>
      <c r="Y993" s="6">
        <v>334.1</v>
      </c>
      <c r="Z993" s="6" t="s">
        <v>63</v>
      </c>
      <c r="AA993" t="s">
        <v>409</v>
      </c>
      <c r="AB993" s="6" t="s">
        <v>90</v>
      </c>
      <c r="AC993" t="s">
        <v>76</v>
      </c>
      <c r="AD993" t="s">
        <v>67</v>
      </c>
      <c r="AE993">
        <v>-18</v>
      </c>
      <c r="AF993">
        <v>77</v>
      </c>
      <c r="AG993">
        <v>0</v>
      </c>
      <c r="AH993" s="6">
        <v>20.100000000000001</v>
      </c>
      <c r="AI993" s="6">
        <v>0</v>
      </c>
      <c r="AJ993" s="6">
        <v>0.82499999999999996</v>
      </c>
      <c r="AK993" s="6">
        <v>0.67500000000000004</v>
      </c>
      <c r="AL993" s="8">
        <v>20901.04</v>
      </c>
      <c r="AM993" s="6" t="s">
        <v>114</v>
      </c>
      <c r="AN993" s="6">
        <v>1</v>
      </c>
      <c r="AO993" s="6">
        <v>1</v>
      </c>
      <c r="AP993" s="6">
        <v>0</v>
      </c>
      <c r="AQ993" s="6">
        <v>1</v>
      </c>
      <c r="AR993" s="6">
        <v>0</v>
      </c>
      <c r="AS993" s="6">
        <v>1</v>
      </c>
      <c r="AT993" s="6">
        <v>0</v>
      </c>
      <c r="AU993" s="6">
        <v>2.02</v>
      </c>
      <c r="AV993" s="6">
        <v>1.33</v>
      </c>
      <c r="AW993" s="6">
        <v>299.58999999999997</v>
      </c>
      <c r="AX993" s="6">
        <v>35.619999999999997</v>
      </c>
      <c r="AY993" s="6">
        <v>215.82</v>
      </c>
      <c r="AZ993" s="6">
        <v>12.9</v>
      </c>
      <c r="BA993" s="6">
        <v>70.2</v>
      </c>
    </row>
    <row r="994" spans="1:53" x14ac:dyDescent="0.3">
      <c r="A994" s="6">
        <v>539625898</v>
      </c>
      <c r="B994" s="6">
        <v>623481</v>
      </c>
      <c r="C994" s="6">
        <v>2737893</v>
      </c>
      <c r="D994" s="6">
        <v>4627</v>
      </c>
      <c r="E994" s="6" t="s">
        <v>101</v>
      </c>
      <c r="F994" s="6">
        <v>50340</v>
      </c>
      <c r="G994" s="6" t="s">
        <v>127</v>
      </c>
      <c r="H994" s="10">
        <v>45770</v>
      </c>
      <c r="I994" s="10">
        <v>45770</v>
      </c>
      <c r="J994" s="4">
        <v>45770.354166666664</v>
      </c>
      <c r="K994" s="4">
        <v>45771.093634259261</v>
      </c>
      <c r="L994" s="11">
        <v>45771.043634259258</v>
      </c>
      <c r="M994" s="10">
        <v>45771</v>
      </c>
      <c r="N994" s="6" t="s">
        <v>103</v>
      </c>
      <c r="O994" t="s">
        <v>232</v>
      </c>
      <c r="P994" s="6" t="s">
        <v>93</v>
      </c>
      <c r="Q994" t="s">
        <v>94</v>
      </c>
      <c r="R994" t="s">
        <v>73</v>
      </c>
      <c r="S994" s="6">
        <v>791104</v>
      </c>
      <c r="T994" s="6" t="s">
        <v>140</v>
      </c>
      <c r="U994">
        <v>978</v>
      </c>
      <c r="V994" s="6">
        <v>44.6</v>
      </c>
      <c r="W994" s="6">
        <v>16.600000000000001</v>
      </c>
      <c r="X994" s="6">
        <v>979</v>
      </c>
      <c r="Y994" s="6">
        <v>1040.2</v>
      </c>
      <c r="Z994" s="6" t="s">
        <v>63</v>
      </c>
      <c r="AA994" t="s">
        <v>896</v>
      </c>
      <c r="AB994" s="6" t="s">
        <v>97</v>
      </c>
      <c r="AC994" t="s">
        <v>125</v>
      </c>
      <c r="AD994" t="s">
        <v>67</v>
      </c>
      <c r="AE994">
        <v>-72</v>
      </c>
      <c r="AF994">
        <v>0</v>
      </c>
      <c r="AG994">
        <v>0</v>
      </c>
      <c r="AH994" s="6">
        <v>64.8</v>
      </c>
      <c r="AI994" s="6">
        <v>0</v>
      </c>
      <c r="AJ994" s="6">
        <v>0.67600000000000005</v>
      </c>
      <c r="AK994" s="6">
        <v>0.58199999999999996</v>
      </c>
      <c r="AL994" s="8">
        <v>4827.67</v>
      </c>
      <c r="AM994" s="6" t="s">
        <v>68</v>
      </c>
      <c r="AN994" s="6">
        <v>1</v>
      </c>
      <c r="AO994" s="6">
        <v>1</v>
      </c>
      <c r="AP994" s="6">
        <v>0</v>
      </c>
      <c r="AQ994" s="6">
        <v>1</v>
      </c>
      <c r="AR994" s="6">
        <v>0</v>
      </c>
      <c r="AS994" s="6">
        <v>1</v>
      </c>
      <c r="AT994" s="6">
        <v>0</v>
      </c>
      <c r="AU994" s="6">
        <v>2.29</v>
      </c>
      <c r="AV994" s="6">
        <v>1.68</v>
      </c>
      <c r="AW994" s="6">
        <v>911.81</v>
      </c>
      <c r="AX994" s="6">
        <v>200.3</v>
      </c>
      <c r="AY994" s="6">
        <v>743.17</v>
      </c>
      <c r="AZ994" s="6">
        <v>22.3</v>
      </c>
      <c r="BA994" s="6">
        <v>67.5</v>
      </c>
    </row>
    <row r="995" spans="1:53" x14ac:dyDescent="0.3">
      <c r="A995" s="6">
        <v>984053945</v>
      </c>
      <c r="B995" s="6">
        <v>555884</v>
      </c>
      <c r="C995" s="6">
        <v>7907400</v>
      </c>
      <c r="D995" s="6">
        <v>7287</v>
      </c>
      <c r="E995" s="6" t="s">
        <v>126</v>
      </c>
      <c r="F995" s="6">
        <v>54567</v>
      </c>
      <c r="G995" s="6" t="s">
        <v>235</v>
      </c>
      <c r="H995" s="10">
        <v>45883</v>
      </c>
      <c r="I995" s="10">
        <v>45883</v>
      </c>
      <c r="J995" s="4">
        <v>45883.746527777781</v>
      </c>
      <c r="K995" s="4">
        <v>45883.809027777781</v>
      </c>
      <c r="L995" s="11">
        <v>45883.803472222222</v>
      </c>
      <c r="M995" s="10">
        <v>45883</v>
      </c>
      <c r="N995" s="6" t="s">
        <v>86</v>
      </c>
      <c r="O995" t="s">
        <v>87</v>
      </c>
      <c r="P995" s="6" t="s">
        <v>116</v>
      </c>
      <c r="Q995" t="s">
        <v>139</v>
      </c>
      <c r="R995" t="s">
        <v>123</v>
      </c>
      <c r="S995" s="6">
        <v>775534</v>
      </c>
      <c r="T995" s="6" t="s">
        <v>3</v>
      </c>
      <c r="U995">
        <v>75</v>
      </c>
      <c r="V995" s="6">
        <v>11</v>
      </c>
      <c r="W995" s="6">
        <v>21.5</v>
      </c>
      <c r="X995" s="6">
        <v>77.2</v>
      </c>
      <c r="Y995" s="6">
        <v>109.7</v>
      </c>
      <c r="Z995" s="6" t="s">
        <v>63</v>
      </c>
      <c r="AA995" t="s">
        <v>897</v>
      </c>
      <c r="AB995" s="6" t="s">
        <v>90</v>
      </c>
      <c r="AC995" t="s">
        <v>137</v>
      </c>
      <c r="AD995" t="s">
        <v>67</v>
      </c>
      <c r="AE995">
        <v>-8</v>
      </c>
      <c r="AF995">
        <v>0</v>
      </c>
      <c r="AG995">
        <v>0</v>
      </c>
      <c r="AH995" s="6">
        <v>56</v>
      </c>
      <c r="AI995" s="6">
        <v>0</v>
      </c>
      <c r="AJ995" s="6">
        <v>0.59299999999999997</v>
      </c>
      <c r="AK995" s="6">
        <v>0.69299999999999995</v>
      </c>
      <c r="AL995" s="8">
        <v>30681.23</v>
      </c>
      <c r="AM995" s="6" t="s">
        <v>155</v>
      </c>
      <c r="AN995" s="6">
        <v>1</v>
      </c>
      <c r="AO995" s="6">
        <v>1</v>
      </c>
      <c r="AP995" s="6">
        <v>0</v>
      </c>
      <c r="AQ995" s="6">
        <v>1</v>
      </c>
      <c r="AR995" s="6">
        <v>0</v>
      </c>
      <c r="AS995" s="6">
        <v>1</v>
      </c>
      <c r="AT995" s="6">
        <v>0</v>
      </c>
      <c r="AU995" s="6">
        <v>1.9</v>
      </c>
      <c r="AV995" s="6">
        <v>1.1299999999999999</v>
      </c>
      <c r="AW995" s="6">
        <v>83.81</v>
      </c>
      <c r="AX995" s="6">
        <v>15.38</v>
      </c>
      <c r="AY995" s="6">
        <v>66.38</v>
      </c>
      <c r="AZ995" s="6">
        <v>19.5</v>
      </c>
      <c r="BA995" s="6">
        <v>61</v>
      </c>
    </row>
    <row r="996" spans="1:53" x14ac:dyDescent="0.3">
      <c r="A996" s="6">
        <v>717294720</v>
      </c>
      <c r="B996" s="6">
        <v>678856</v>
      </c>
      <c r="C996" s="6">
        <v>7728339</v>
      </c>
      <c r="D996" s="6">
        <v>8892</v>
      </c>
      <c r="E996" s="6" t="s">
        <v>57</v>
      </c>
      <c r="F996" s="6">
        <v>57862</v>
      </c>
      <c r="G996" s="6" t="s">
        <v>69</v>
      </c>
      <c r="H996" s="10">
        <v>45852</v>
      </c>
      <c r="I996" s="10">
        <v>45852</v>
      </c>
      <c r="J996" s="4">
        <v>45852.621527777781</v>
      </c>
      <c r="K996" s="4">
        <v>45852.749652777777</v>
      </c>
      <c r="L996" s="11">
        <v>45852.909375000003</v>
      </c>
      <c r="M996" s="10">
        <v>45852</v>
      </c>
      <c r="N996" s="6" t="s">
        <v>86</v>
      </c>
      <c r="O996" t="s">
        <v>108</v>
      </c>
      <c r="P996" s="6" t="s">
        <v>86</v>
      </c>
      <c r="Q996" t="s">
        <v>243</v>
      </c>
      <c r="R996" t="s">
        <v>88</v>
      </c>
      <c r="S996" s="6">
        <v>742558</v>
      </c>
      <c r="T996" s="6" t="s">
        <v>1</v>
      </c>
      <c r="U996">
        <v>145</v>
      </c>
      <c r="V996" s="6">
        <v>40.799999999999997</v>
      </c>
      <c r="W996" s="6">
        <v>31.5</v>
      </c>
      <c r="X996" s="6">
        <v>138.5</v>
      </c>
      <c r="Y996" s="6">
        <v>210.8</v>
      </c>
      <c r="Z996" s="6" t="s">
        <v>2</v>
      </c>
      <c r="AA996" t="s">
        <v>898</v>
      </c>
      <c r="AB996" s="6" t="s">
        <v>90</v>
      </c>
      <c r="AC996" t="s">
        <v>83</v>
      </c>
      <c r="AD996" t="s">
        <v>206</v>
      </c>
      <c r="AE996">
        <v>230</v>
      </c>
      <c r="AF996">
        <v>251</v>
      </c>
      <c r="AG996">
        <v>0.5</v>
      </c>
      <c r="AH996" s="6">
        <v>51</v>
      </c>
      <c r="AI996" s="6">
        <v>0</v>
      </c>
      <c r="AJ996" s="6">
        <v>0.878</v>
      </c>
      <c r="AK996" s="6">
        <v>0.65600000000000003</v>
      </c>
      <c r="AL996" s="8">
        <v>3548.36</v>
      </c>
      <c r="AM996" s="6" t="s">
        <v>68</v>
      </c>
      <c r="AN996" s="6">
        <v>1</v>
      </c>
      <c r="AO996" s="6">
        <v>0</v>
      </c>
      <c r="AP996" s="6">
        <v>1</v>
      </c>
      <c r="AQ996" s="6">
        <v>0</v>
      </c>
      <c r="AR996" s="6">
        <v>1</v>
      </c>
      <c r="AS996" s="6">
        <v>0</v>
      </c>
      <c r="AT996" s="6">
        <v>1</v>
      </c>
      <c r="AU996" s="6">
        <v>2.39</v>
      </c>
      <c r="AV996" s="6">
        <v>1.54</v>
      </c>
      <c r="AW996" s="6">
        <v>151.79</v>
      </c>
      <c r="AX996" s="6">
        <v>41.18</v>
      </c>
      <c r="AY996" s="6">
        <v>101.5</v>
      </c>
      <c r="AZ996" s="6">
        <v>8.5</v>
      </c>
      <c r="BA996" s="6">
        <v>0</v>
      </c>
    </row>
    <row r="997" spans="1:53" x14ac:dyDescent="0.3">
      <c r="A997" s="6">
        <v>179189225</v>
      </c>
      <c r="B997" s="6">
        <v>623481</v>
      </c>
      <c r="C997" s="6">
        <v>2737893</v>
      </c>
      <c r="D997" s="6">
        <v>4627</v>
      </c>
      <c r="E997" s="6" t="s">
        <v>101</v>
      </c>
      <c r="F997" s="6">
        <v>52296</v>
      </c>
      <c r="G997" s="6" t="s">
        <v>164</v>
      </c>
      <c r="H997" s="10">
        <v>45737</v>
      </c>
      <c r="I997" s="10">
        <v>45737</v>
      </c>
      <c r="J997" s="4">
        <v>45737.333333333336</v>
      </c>
      <c r="K997" s="4">
        <v>45737.462743055556</v>
      </c>
      <c r="L997" s="11">
        <v>45737.439131944448</v>
      </c>
      <c r="M997" s="10">
        <v>45737</v>
      </c>
      <c r="N997" s="6" t="s">
        <v>134</v>
      </c>
      <c r="O997" t="s">
        <v>172</v>
      </c>
      <c r="P997" s="6" t="s">
        <v>121</v>
      </c>
      <c r="Q997" t="s">
        <v>237</v>
      </c>
      <c r="R997" t="s">
        <v>123</v>
      </c>
      <c r="S997" s="6">
        <v>789831</v>
      </c>
      <c r="T997" s="6" t="s">
        <v>1</v>
      </c>
      <c r="U997">
        <v>166</v>
      </c>
      <c r="V997" s="6">
        <v>0.5</v>
      </c>
      <c r="W997" s="6">
        <v>13.3</v>
      </c>
      <c r="X997" s="6">
        <v>161.9</v>
      </c>
      <c r="Y997" s="6">
        <v>175.7</v>
      </c>
      <c r="Z997" s="6" t="s">
        <v>63</v>
      </c>
      <c r="AA997" t="s">
        <v>635</v>
      </c>
      <c r="AB997" s="6" t="s">
        <v>97</v>
      </c>
      <c r="AC997" t="s">
        <v>154</v>
      </c>
      <c r="AD997" t="s">
        <v>67</v>
      </c>
      <c r="AE997">
        <v>-34</v>
      </c>
      <c r="AF997">
        <v>0</v>
      </c>
      <c r="AG997">
        <v>1.4</v>
      </c>
      <c r="AH997" s="6">
        <v>30.2</v>
      </c>
      <c r="AI997" s="6">
        <v>0</v>
      </c>
      <c r="AJ997" s="6">
        <v>0.65300000000000002</v>
      </c>
      <c r="AK997" s="6">
        <v>0.871</v>
      </c>
      <c r="AL997" s="8">
        <v>13999.91</v>
      </c>
      <c r="AM997" s="6" t="s">
        <v>114</v>
      </c>
      <c r="AN997" s="6">
        <v>1</v>
      </c>
      <c r="AO997" s="6">
        <v>1</v>
      </c>
      <c r="AP997" s="6">
        <v>0</v>
      </c>
      <c r="AQ997" s="6">
        <v>1</v>
      </c>
      <c r="AR997" s="6">
        <v>0</v>
      </c>
      <c r="AS997" s="6">
        <v>1</v>
      </c>
      <c r="AT997" s="6">
        <v>0</v>
      </c>
      <c r="AU997" s="6">
        <v>2.2000000000000002</v>
      </c>
      <c r="AV997" s="6">
        <v>1.61</v>
      </c>
      <c r="AW997" s="6">
        <v>142.26</v>
      </c>
      <c r="AX997" s="6">
        <v>27.69</v>
      </c>
      <c r="AY997" s="6">
        <v>102.43</v>
      </c>
      <c r="AZ997" s="6">
        <v>22.3</v>
      </c>
      <c r="BA997" s="6">
        <v>80.599999999999994</v>
      </c>
    </row>
    <row r="998" spans="1:53" x14ac:dyDescent="0.3">
      <c r="A998" s="6">
        <v>234568604</v>
      </c>
      <c r="B998" s="6">
        <v>198246</v>
      </c>
      <c r="C998" s="6">
        <v>9626108</v>
      </c>
      <c r="D998" s="6">
        <v>5555</v>
      </c>
      <c r="E998" s="6" t="s">
        <v>57</v>
      </c>
      <c r="F998" s="6">
        <v>50234</v>
      </c>
      <c r="G998" s="6" t="s">
        <v>102</v>
      </c>
      <c r="H998" s="10">
        <v>45717</v>
      </c>
      <c r="I998" s="10">
        <v>45717</v>
      </c>
      <c r="J998" s="4">
        <v>45717.631944444445</v>
      </c>
      <c r="K998" s="4">
        <v>45717.858310185184</v>
      </c>
      <c r="L998" s="11">
        <v>45717.849282407406</v>
      </c>
      <c r="M998" s="10">
        <v>45717</v>
      </c>
      <c r="N998" s="6" t="s">
        <v>134</v>
      </c>
      <c r="O998" t="s">
        <v>282</v>
      </c>
      <c r="P998" s="6" t="s">
        <v>70</v>
      </c>
      <c r="Q998" t="s">
        <v>71</v>
      </c>
      <c r="R998" t="s">
        <v>73</v>
      </c>
      <c r="S998" s="6">
        <v>758990</v>
      </c>
      <c r="T998" s="6" t="s">
        <v>1</v>
      </c>
      <c r="U998">
        <v>207</v>
      </c>
      <c r="V998" s="6">
        <v>2</v>
      </c>
      <c r="W998" s="6">
        <v>10.7</v>
      </c>
      <c r="X998" s="6">
        <v>208.4</v>
      </c>
      <c r="Y998" s="6">
        <v>221.1</v>
      </c>
      <c r="Z998" s="6" t="s">
        <v>80</v>
      </c>
      <c r="AA998" t="s">
        <v>809</v>
      </c>
      <c r="AB998" s="6" t="s">
        <v>90</v>
      </c>
      <c r="AC998" t="s">
        <v>76</v>
      </c>
      <c r="AD998" t="s">
        <v>67</v>
      </c>
      <c r="AE998">
        <v>-13</v>
      </c>
      <c r="AF998">
        <v>0</v>
      </c>
      <c r="AG998">
        <v>0</v>
      </c>
      <c r="AH998" s="6">
        <v>57.1</v>
      </c>
      <c r="AI998" s="6">
        <v>0</v>
      </c>
      <c r="AJ998" s="6">
        <v>0.71899999999999997</v>
      </c>
      <c r="AK998" s="6">
        <v>0.67600000000000005</v>
      </c>
      <c r="AL998" s="8">
        <v>6221.72</v>
      </c>
      <c r="AM998" s="6" t="s">
        <v>114</v>
      </c>
      <c r="AN998" s="6">
        <v>1</v>
      </c>
      <c r="AO998" s="6">
        <v>1</v>
      </c>
      <c r="AP998" s="6">
        <v>0</v>
      </c>
      <c r="AQ998" s="6">
        <v>1</v>
      </c>
      <c r="AR998" s="6">
        <v>0</v>
      </c>
      <c r="AS998" s="6">
        <v>1</v>
      </c>
      <c r="AT998" s="6">
        <v>0</v>
      </c>
      <c r="AU998" s="6">
        <v>2.06</v>
      </c>
      <c r="AV998" s="6">
        <v>1.28</v>
      </c>
      <c r="AW998" s="6">
        <v>172.47</v>
      </c>
      <c r="AX998" s="6">
        <v>43.49</v>
      </c>
      <c r="AY998" s="6">
        <v>111.25</v>
      </c>
      <c r="AZ998" s="6">
        <v>11.5</v>
      </c>
      <c r="BA998" s="6">
        <v>1.7</v>
      </c>
    </row>
    <row r="999" spans="1:53" x14ac:dyDescent="0.3">
      <c r="A999" s="6">
        <v>440405868</v>
      </c>
      <c r="B999" s="6">
        <v>816751</v>
      </c>
      <c r="C999" s="6">
        <v>3011363</v>
      </c>
      <c r="D999" s="6">
        <v>9996</v>
      </c>
      <c r="E999" s="6" t="s">
        <v>185</v>
      </c>
      <c r="F999" s="6">
        <v>55202</v>
      </c>
      <c r="G999" s="6" t="s">
        <v>127</v>
      </c>
      <c r="H999" s="10">
        <v>45744</v>
      </c>
      <c r="I999" s="10">
        <v>45744</v>
      </c>
      <c r="J999" s="4">
        <v>45744.708333333336</v>
      </c>
      <c r="K999" s="4">
        <v>45744.819988425923</v>
      </c>
      <c r="L999" s="11">
        <v>45744.813043981485</v>
      </c>
      <c r="M999" s="10">
        <v>45744</v>
      </c>
      <c r="N999" s="6" t="s">
        <v>170</v>
      </c>
      <c r="O999" t="s">
        <v>171</v>
      </c>
      <c r="P999" s="6" t="s">
        <v>170</v>
      </c>
      <c r="Q999" t="s">
        <v>171</v>
      </c>
      <c r="R999" t="s">
        <v>62</v>
      </c>
      <c r="S999" s="6">
        <v>774798</v>
      </c>
      <c r="T999" s="6" t="s">
        <v>3</v>
      </c>
      <c r="U999">
        <v>105</v>
      </c>
      <c r="V999" s="6">
        <v>24.8</v>
      </c>
      <c r="W999" s="6">
        <v>13.7</v>
      </c>
      <c r="X999" s="6">
        <v>102.3</v>
      </c>
      <c r="Y999" s="6">
        <v>140.80000000000001</v>
      </c>
      <c r="Z999" s="6" t="s">
        <v>63</v>
      </c>
      <c r="AA999" t="s">
        <v>190</v>
      </c>
      <c r="AB999" s="6" t="s">
        <v>90</v>
      </c>
      <c r="AC999" t="s">
        <v>154</v>
      </c>
      <c r="AD999" t="s">
        <v>67</v>
      </c>
      <c r="AE999">
        <v>-10</v>
      </c>
      <c r="AF999">
        <v>86</v>
      </c>
      <c r="AG999">
        <v>0</v>
      </c>
      <c r="AH999" s="6">
        <v>24.6</v>
      </c>
      <c r="AI999" s="6">
        <v>0</v>
      </c>
      <c r="AJ999" s="6">
        <v>0.80400000000000005</v>
      </c>
      <c r="AK999" s="6">
        <v>0.51700000000000002</v>
      </c>
      <c r="AL999" s="8">
        <v>4047.91</v>
      </c>
      <c r="AM999" s="6" t="s">
        <v>68</v>
      </c>
      <c r="AN999" s="6">
        <v>1</v>
      </c>
      <c r="AO999" s="6">
        <v>1</v>
      </c>
      <c r="AP999" s="6">
        <v>0</v>
      </c>
      <c r="AQ999" s="6">
        <v>1</v>
      </c>
      <c r="AR999" s="6">
        <v>0</v>
      </c>
      <c r="AS999" s="6">
        <v>1</v>
      </c>
      <c r="AT999" s="6">
        <v>0</v>
      </c>
      <c r="AU999" s="6">
        <v>2.02</v>
      </c>
      <c r="AV999" s="6">
        <v>1.27</v>
      </c>
      <c r="AW999" s="6">
        <v>88.39</v>
      </c>
      <c r="AX999" s="6">
        <v>25.29</v>
      </c>
      <c r="AY999" s="6">
        <v>71.52</v>
      </c>
      <c r="AZ999" s="6">
        <v>13.3</v>
      </c>
      <c r="BA999" s="6">
        <v>25.9</v>
      </c>
    </row>
    <row r="1000" spans="1:53" x14ac:dyDescent="0.3">
      <c r="A1000" s="6">
        <v>789705810</v>
      </c>
      <c r="B1000" s="6">
        <v>265840</v>
      </c>
      <c r="C1000" s="6">
        <v>5163555</v>
      </c>
      <c r="D1000" s="6">
        <v>9800</v>
      </c>
      <c r="E1000" s="6" t="s">
        <v>57</v>
      </c>
      <c r="F1000" s="6">
        <v>59308</v>
      </c>
      <c r="G1000" s="6" t="s">
        <v>175</v>
      </c>
      <c r="H1000" s="10">
        <v>45841</v>
      </c>
      <c r="I1000" s="10">
        <v>45841</v>
      </c>
      <c r="J1000" s="4">
        <v>45841.465277777781</v>
      </c>
      <c r="K1000" s="4">
        <v>45841.673344907409</v>
      </c>
      <c r="L1000" s="11">
        <v>45841.764317129629</v>
      </c>
      <c r="M1000" s="10">
        <v>45841</v>
      </c>
      <c r="N1000" s="6" t="s">
        <v>132</v>
      </c>
      <c r="O1000" t="s">
        <v>229</v>
      </c>
      <c r="P1000" s="6" t="s">
        <v>116</v>
      </c>
      <c r="Q1000" t="s">
        <v>128</v>
      </c>
      <c r="R1000" t="s">
        <v>123</v>
      </c>
      <c r="S1000" s="6">
        <v>742039</v>
      </c>
      <c r="T1000" s="6" t="s">
        <v>1</v>
      </c>
      <c r="U1000">
        <v>158</v>
      </c>
      <c r="V1000" s="6">
        <v>25.4</v>
      </c>
      <c r="W1000" s="6">
        <v>35.6</v>
      </c>
      <c r="X1000" s="6">
        <v>174.7</v>
      </c>
      <c r="Y1000" s="6">
        <v>235.7</v>
      </c>
      <c r="Z1000" s="6" t="s">
        <v>63</v>
      </c>
      <c r="AA1000" t="s">
        <v>899</v>
      </c>
      <c r="AB1000" s="6" t="s">
        <v>75</v>
      </c>
      <c r="AC1000" t="s">
        <v>137</v>
      </c>
      <c r="AD1000" t="s">
        <v>192</v>
      </c>
      <c r="AE1000">
        <v>131</v>
      </c>
      <c r="AF1000">
        <v>0</v>
      </c>
      <c r="AG1000">
        <v>0</v>
      </c>
      <c r="AH1000" s="6">
        <v>81.7</v>
      </c>
      <c r="AI1000" s="6">
        <v>0</v>
      </c>
      <c r="AJ1000" s="6">
        <v>0.56299999999999994</v>
      </c>
      <c r="AK1000" s="6">
        <v>0.76800000000000002</v>
      </c>
      <c r="AL1000" s="8">
        <v>4217.67</v>
      </c>
      <c r="AM1000" s="6" t="s">
        <v>68</v>
      </c>
      <c r="AN1000" s="6">
        <v>1</v>
      </c>
      <c r="AO1000" s="6">
        <v>0</v>
      </c>
      <c r="AP1000" s="6">
        <v>1</v>
      </c>
      <c r="AQ1000" s="6">
        <v>0</v>
      </c>
      <c r="AR1000" s="6">
        <v>1</v>
      </c>
      <c r="AS1000" s="6">
        <v>0</v>
      </c>
      <c r="AT1000" s="6">
        <v>1</v>
      </c>
      <c r="AU1000" s="6">
        <v>2.36</v>
      </c>
      <c r="AV1000" s="6">
        <v>1.41</v>
      </c>
      <c r="AW1000" s="6">
        <v>213.82</v>
      </c>
      <c r="AX1000" s="6">
        <v>29.26</v>
      </c>
      <c r="AY1000" s="6">
        <v>127.56</v>
      </c>
      <c r="AZ1000" s="6">
        <v>14.9</v>
      </c>
      <c r="BA1000" s="6">
        <v>0</v>
      </c>
    </row>
    <row r="1001" spans="1:53" ht="15" thickBot="1" x14ac:dyDescent="0.35">
      <c r="A1001" s="6">
        <v>179634081</v>
      </c>
      <c r="B1001" s="6">
        <v>590785</v>
      </c>
      <c r="C1001" s="6">
        <v>6171716</v>
      </c>
      <c r="D1001" s="6">
        <v>6172</v>
      </c>
      <c r="E1001" s="6" t="s">
        <v>142</v>
      </c>
      <c r="F1001" s="6">
        <v>59609</v>
      </c>
      <c r="G1001" s="6" t="s">
        <v>146</v>
      </c>
      <c r="H1001" s="10">
        <v>45756</v>
      </c>
      <c r="I1001" s="10">
        <v>45756</v>
      </c>
      <c r="J1001" s="4">
        <v>45756.284722222219</v>
      </c>
      <c r="K1001" s="4">
        <v>45756.782743055555</v>
      </c>
      <c r="L1001" s="11">
        <v>45756.770243055558</v>
      </c>
      <c r="M1001" s="10">
        <v>45756</v>
      </c>
      <c r="N1001" s="6" t="s">
        <v>78</v>
      </c>
      <c r="O1001" t="s">
        <v>222</v>
      </c>
      <c r="P1001" s="6" t="s">
        <v>109</v>
      </c>
      <c r="Q1001" t="s">
        <v>118</v>
      </c>
      <c r="R1001" t="s">
        <v>88</v>
      </c>
      <c r="S1001" s="6">
        <v>728940</v>
      </c>
      <c r="T1001" s="6" t="s">
        <v>111</v>
      </c>
      <c r="U1001">
        <v>458</v>
      </c>
      <c r="V1001" s="6">
        <v>36.799999999999997</v>
      </c>
      <c r="W1001" s="6">
        <v>19.7</v>
      </c>
      <c r="X1001" s="6">
        <v>458.8</v>
      </c>
      <c r="Y1001" s="6">
        <v>515.29999999999995</v>
      </c>
      <c r="Z1001" s="6" t="s">
        <v>2</v>
      </c>
      <c r="AA1001" t="s">
        <v>900</v>
      </c>
      <c r="AB1001" s="6" t="s">
        <v>97</v>
      </c>
      <c r="AC1001" t="s">
        <v>125</v>
      </c>
      <c r="AD1001" t="s">
        <v>67</v>
      </c>
      <c r="AE1001">
        <v>-18</v>
      </c>
      <c r="AF1001">
        <v>0</v>
      </c>
      <c r="AG1001">
        <v>1.5</v>
      </c>
      <c r="AH1001" s="6">
        <v>35</v>
      </c>
      <c r="AI1001" s="6">
        <v>0</v>
      </c>
      <c r="AJ1001" s="6">
        <v>0.76200000000000001</v>
      </c>
      <c r="AK1001" s="6">
        <v>0.60499999999999998</v>
      </c>
      <c r="AL1001" s="8">
        <v>6448.8</v>
      </c>
      <c r="AM1001" s="6" t="s">
        <v>68</v>
      </c>
      <c r="AN1001" s="6">
        <v>1</v>
      </c>
      <c r="AO1001" s="6">
        <v>1</v>
      </c>
      <c r="AP1001" s="6">
        <v>0</v>
      </c>
      <c r="AQ1001" s="6">
        <v>1</v>
      </c>
      <c r="AR1001" s="6">
        <v>0</v>
      </c>
      <c r="AS1001" s="6">
        <v>1</v>
      </c>
      <c r="AT1001" s="6">
        <v>0</v>
      </c>
      <c r="AU1001" s="6">
        <v>2.54</v>
      </c>
      <c r="AV1001" s="6">
        <v>1.68</v>
      </c>
      <c r="AW1001" s="6">
        <v>407.64</v>
      </c>
      <c r="AX1001" s="6">
        <v>79.22</v>
      </c>
      <c r="AY1001" s="6">
        <v>294.51</v>
      </c>
      <c r="AZ1001" s="6">
        <v>24.4</v>
      </c>
      <c r="BA1001" s="6">
        <v>57.8</v>
      </c>
    </row>
    <row r="1002" spans="1:53" ht="15.6" thickTop="1" thickBot="1" x14ac:dyDescent="0.35">
      <c r="H1002" s="10"/>
      <c r="I1002" s="10"/>
      <c r="J1002" s="4"/>
      <c r="K1002" s="4"/>
      <c r="L1002" s="11"/>
      <c r="M1002" s="10"/>
      <c r="W1002" s="9">
        <f>AVERAGE(W1:W1000)</f>
        <v>19.208108108108114</v>
      </c>
      <c r="AL1002" s="8">
        <f>SUM(AL2:AL1001)</f>
        <v>16107076.729999991</v>
      </c>
    </row>
    <row r="1003" spans="1:53" ht="15.6" thickTop="1" thickBot="1" x14ac:dyDescent="0.35">
      <c r="W1003" s="9"/>
    </row>
    <row r="1004" spans="1:53" ht="15" thickTop="1" x14ac:dyDescent="0.3">
      <c r="W1004" s="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CE3C-7E4C-44F2-8F39-B948569F0214}">
  <dimension ref="A3:F7"/>
  <sheetViews>
    <sheetView topLeftCell="C1" workbookViewId="0">
      <selection activeCell="D6" sqref="D6"/>
    </sheetView>
  </sheetViews>
  <sheetFormatPr defaultRowHeight="14.4" x14ac:dyDescent="0.3"/>
  <cols>
    <col min="1" max="3" width="20.6640625" bestFit="1" customWidth="1"/>
    <col min="4" max="4" width="25.21875" bestFit="1" customWidth="1"/>
    <col min="5" max="5" width="23.88671875" bestFit="1" customWidth="1"/>
    <col min="6" max="6" width="20.6640625" bestFit="1" customWidth="1"/>
    <col min="7" max="30" width="22.44140625" bestFit="1" customWidth="1"/>
    <col min="31" max="31" width="25.21875" bestFit="1" customWidth="1"/>
    <col min="32" max="32" width="23.88671875" bestFit="1" customWidth="1"/>
    <col min="33" max="33" width="20.6640625" bestFit="1" customWidth="1"/>
    <col min="34" max="954" width="6" bestFit="1" customWidth="1"/>
    <col min="955" max="955" width="11" bestFit="1" customWidth="1"/>
  </cols>
  <sheetData>
    <row r="3" spans="1:6" ht="18" customHeight="1" x14ac:dyDescent="0.3"/>
    <row r="4" spans="1:6" x14ac:dyDescent="0.3">
      <c r="A4" s="3" t="s">
        <v>925</v>
      </c>
    </row>
    <row r="5" spans="1:6" x14ac:dyDescent="0.3">
      <c r="A5" t="s">
        <v>92</v>
      </c>
      <c r="D5" t="s">
        <v>927</v>
      </c>
      <c r="E5" t="s">
        <v>928</v>
      </c>
      <c r="F5" t="s">
        <v>930</v>
      </c>
    </row>
    <row r="6" spans="1:6" x14ac:dyDescent="0.3">
      <c r="A6" t="s">
        <v>926</v>
      </c>
      <c r="B6" t="s">
        <v>929</v>
      </c>
      <c r="C6" t="s">
        <v>923</v>
      </c>
    </row>
    <row r="7" spans="1:6" x14ac:dyDescent="0.3">
      <c r="A7" s="65">
        <v>77</v>
      </c>
      <c r="B7" s="65">
        <v>62</v>
      </c>
      <c r="C7" s="65">
        <v>15</v>
      </c>
      <c r="D7" s="65">
        <v>77</v>
      </c>
      <c r="E7" s="65">
        <v>62</v>
      </c>
      <c r="F7" s="65">
        <v>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98CF-B810-4763-BB8C-1FB3232CAB85}">
  <dimension ref="A1:K40"/>
  <sheetViews>
    <sheetView topLeftCell="A20" workbookViewId="0">
      <selection activeCell="A35" sqref="A35:XFD40"/>
    </sheetView>
  </sheetViews>
  <sheetFormatPr defaultRowHeight="14.4" x14ac:dyDescent="0.3"/>
  <cols>
    <col min="1" max="1" width="62" bestFit="1" customWidth="1"/>
    <col min="2" max="2" width="5.88671875" bestFit="1" customWidth="1"/>
    <col min="3" max="3" width="10.33203125" bestFit="1" customWidth="1"/>
    <col min="5" max="5" width="23.109375" bestFit="1" customWidth="1"/>
    <col min="6" max="6" width="13.88671875" bestFit="1" customWidth="1"/>
  </cols>
  <sheetData>
    <row r="1" spans="1:11" ht="18" x14ac:dyDescent="0.35">
      <c r="A1" s="60" t="s">
        <v>936</v>
      </c>
      <c r="B1" s="55"/>
      <c r="C1" s="55"/>
      <c r="D1" s="55"/>
      <c r="E1" s="55"/>
      <c r="F1" s="55"/>
      <c r="G1" s="55"/>
      <c r="H1" s="55"/>
      <c r="I1" s="55"/>
      <c r="J1" s="55"/>
      <c r="K1" s="55"/>
    </row>
    <row r="3" spans="1:11" x14ac:dyDescent="0.3">
      <c r="A3" s="12" t="s">
        <v>937</v>
      </c>
      <c r="E3" s="12" t="s">
        <v>968</v>
      </c>
    </row>
    <row r="4" spans="1:11" x14ac:dyDescent="0.3">
      <c r="A4" s="12" t="s">
        <v>938</v>
      </c>
      <c r="B4" s="12" t="s">
        <v>939</v>
      </c>
      <c r="E4" s="12" t="s">
        <v>969</v>
      </c>
      <c r="F4" s="12" t="s">
        <v>970</v>
      </c>
    </row>
    <row r="5" spans="1:11" x14ac:dyDescent="0.3">
      <c r="A5" t="s">
        <v>940</v>
      </c>
      <c r="B5">
        <f>COUNTA(fact_orders_1000!AE2:AE1002)</f>
        <v>1000</v>
      </c>
      <c r="E5" t="s">
        <v>225</v>
      </c>
      <c r="F5">
        <f>ROUND(AVERAGEIF(fact_orders_1000!E2:E1002,"Atlantic Freightways",fact_orders_1000!AE2:AE1002),1)</f>
        <v>11.4</v>
      </c>
    </row>
    <row r="6" spans="1:11" x14ac:dyDescent="0.3">
      <c r="A6" t="s">
        <v>941</v>
      </c>
      <c r="B6">
        <f>ROUND(AVERAGE(fact_orders_1000!AE2:AE1002),1)</f>
        <v>6.5</v>
      </c>
      <c r="E6" t="s">
        <v>84</v>
      </c>
      <c r="F6">
        <f>ROUND(AVERAGEIF(fact_orders_1000!E2:E1002,"Blue Ridge Logistics",fact_orders_1000!AE2:AE1002),1)</f>
        <v>10.199999999999999</v>
      </c>
    </row>
    <row r="7" spans="1:11" x14ac:dyDescent="0.3">
      <c r="A7" t="s">
        <v>942</v>
      </c>
      <c r="B7">
        <f>MEDIAN(fact_orders_1000!AE2:AE1002)</f>
        <v>-14</v>
      </c>
      <c r="E7" t="s">
        <v>92</v>
      </c>
      <c r="F7">
        <f>ROUND(AVERAGEIF(fact_orders_1000!E2:E1002,"Cascade Cargo",fact_orders_1000!AE2:AE1002),1)</f>
        <v>5.8</v>
      </c>
    </row>
    <row r="8" spans="1:11" x14ac:dyDescent="0.3">
      <c r="A8" t="s">
        <v>943</v>
      </c>
      <c r="B8">
        <f>MAX(fact_orders_1000!AE2:AE1002)</f>
        <v>956</v>
      </c>
      <c r="E8" t="s">
        <v>211</v>
      </c>
      <c r="F8">
        <f>ROUND(AVERAGEIF(fact_orders_1000!E2:E1002,"Desert Road Haulers",fact_orders_1000!AE2:AE1002),1)</f>
        <v>-2.1</v>
      </c>
    </row>
    <row r="9" spans="1:11" x14ac:dyDescent="0.3">
      <c r="A9" t="s">
        <v>944</v>
      </c>
      <c r="B9">
        <f>MIN(fact_orders_1000!AE2:AE1002)</f>
        <v>-88</v>
      </c>
      <c r="E9" t="s">
        <v>101</v>
      </c>
      <c r="F9">
        <f>ROUND(AVERAGEIF(fact_orders_1000!E2:E1002,"Great Lakes Carriers",fact_orders_1000!AE2:AE1002),1)</f>
        <v>-2.6</v>
      </c>
    </row>
    <row r="10" spans="1:11" x14ac:dyDescent="0.3">
      <c r="A10" t="s">
        <v>945</v>
      </c>
      <c r="B10">
        <f>ROUND(STDEV(fact_orders_1000!AE2:AE1002),1)</f>
        <v>79.900000000000006</v>
      </c>
      <c r="E10" t="s">
        <v>126</v>
      </c>
      <c r="F10">
        <f>ROUND(AVERAGEIF(fact_orders_1000!E2:E1002,"Keystone Freight",fact_orders_1000!AE2:AE1002),1)</f>
        <v>-3.8</v>
      </c>
    </row>
    <row r="11" spans="1:11" x14ac:dyDescent="0.3">
      <c r="E11" t="s">
        <v>185</v>
      </c>
      <c r="F11">
        <f>ROUND(AVERAGEIF(fact_orders_1000!E2:E1002,"Lone Star Transport",fact_orders_1000!AE2:AE1002),1)</f>
        <v>4.2</v>
      </c>
    </row>
    <row r="12" spans="1:11" x14ac:dyDescent="0.3">
      <c r="A12" s="12" t="s">
        <v>946</v>
      </c>
      <c r="E12" t="s">
        <v>142</v>
      </c>
      <c r="F12">
        <f>ROUND(AVERAGEIF(fact_orders_1000!E2:E1002,"Midwest Express Trucking",fact_orders_1000!AE2:AE1002),1)</f>
        <v>4.2</v>
      </c>
    </row>
    <row r="13" spans="1:11" x14ac:dyDescent="0.3">
      <c r="A13" s="12" t="s">
        <v>947</v>
      </c>
      <c r="B13" s="12" t="s">
        <v>948</v>
      </c>
      <c r="C13" s="12" t="s">
        <v>949</v>
      </c>
      <c r="E13" s="12" t="s">
        <v>106</v>
      </c>
      <c r="F13">
        <f>ROUND(AVERAGEIF(fact_orders_1000!E2:E1002,"Pacific Linehaul",fact_orders_1000!AE2:AE1002),1)</f>
        <v>10.7</v>
      </c>
    </row>
    <row r="14" spans="1:11" x14ac:dyDescent="0.3">
      <c r="A14" t="s">
        <v>950</v>
      </c>
      <c r="B14">
        <f>COUNTIF(fact_orders_1000!AE2:AE1002,"&lt;=0")</f>
        <v>703</v>
      </c>
      <c r="C14" s="13">
        <f>B14/$B$5</f>
        <v>0.70299999999999996</v>
      </c>
      <c r="E14" t="s">
        <v>57</v>
      </c>
      <c r="F14">
        <f>ROUND(AVERAGEIF(fact_orders_1000!E2:E1002,"Sunbelt Haulage",fact_orders_1000!AE2:AE1002),1)</f>
        <v>12.2</v>
      </c>
    </row>
    <row r="15" spans="1:11" x14ac:dyDescent="0.3">
      <c r="A15" t="s">
        <v>951</v>
      </c>
      <c r="B15">
        <f>COUNTIF(fact_orders_1000!AE2:AE1002,"&gt;0")</f>
        <v>297</v>
      </c>
      <c r="C15" s="13">
        <f>B15/$B$5</f>
        <v>0.29699999999999999</v>
      </c>
    </row>
    <row r="17" spans="1:6" x14ac:dyDescent="0.3">
      <c r="A17" s="12" t="s">
        <v>952</v>
      </c>
      <c r="E17" s="12" t="s">
        <v>971</v>
      </c>
    </row>
    <row r="18" spans="1:6" x14ac:dyDescent="0.3">
      <c r="A18" s="12" t="s">
        <v>34</v>
      </c>
      <c r="B18" s="12" t="s">
        <v>948</v>
      </c>
      <c r="C18" s="12" t="s">
        <v>953</v>
      </c>
      <c r="E18" s="12" t="s">
        <v>972</v>
      </c>
      <c r="F18" s="12" t="s">
        <v>970</v>
      </c>
    </row>
    <row r="19" spans="1:6" x14ac:dyDescent="0.3">
      <c r="A19" t="s">
        <v>954</v>
      </c>
      <c r="B19">
        <f>COUNTIF(fact_orders_1000!AD2:AD1002,"detention")</f>
        <v>63</v>
      </c>
      <c r="C19" s="13">
        <f>B19/$B$15</f>
        <v>0.21212121212121213</v>
      </c>
      <c r="E19" t="s">
        <v>63</v>
      </c>
      <c r="F19">
        <f>ROUND(AVERAGEIF(fact_orders_1000!Z2:Z1002,"Dry Van",fact_orders_1000!AE2:AE1002),1)</f>
        <v>11.2</v>
      </c>
    </row>
    <row r="20" spans="1:6" x14ac:dyDescent="0.3">
      <c r="A20" t="s">
        <v>955</v>
      </c>
      <c r="B20">
        <f>COUNTIF(fact_orders_1000!AD2:AD1002,"traffic")</f>
        <v>41</v>
      </c>
      <c r="C20" s="13">
        <f>B20/$B$15</f>
        <v>0.13804713804713806</v>
      </c>
      <c r="E20" t="s">
        <v>112</v>
      </c>
      <c r="F20">
        <f>ROUND(AVERAGEIF(fact_orders_1000!Z2:Z1002,"Flatbed",fact_orders_1000!AE2:AE1002),1)</f>
        <v>2.7</v>
      </c>
    </row>
    <row r="21" spans="1:6" x14ac:dyDescent="0.3">
      <c r="A21" t="s">
        <v>956</v>
      </c>
      <c r="B21">
        <f>COUNTIF(fact_orders_1000!AD2:AD1002,"weather")</f>
        <v>20</v>
      </c>
      <c r="C21" s="13">
        <f>B21/$B$15</f>
        <v>6.7340067340067339E-2</v>
      </c>
      <c r="E21" t="s">
        <v>80</v>
      </c>
      <c r="F21">
        <f>ROUND(AVERAGEIF(fact_orders_1000!Z2:Z1002,"Intermodal",fact_orders_1000!AE2:AE1002),1)</f>
        <v>6.4</v>
      </c>
    </row>
    <row r="22" spans="1:6" x14ac:dyDescent="0.3">
      <c r="A22" t="s">
        <v>957</v>
      </c>
      <c r="B22">
        <f>COUNTIF(fact_orders_1000!AD2:AD1002,"mechanical")</f>
        <v>5</v>
      </c>
      <c r="C22" s="13">
        <f>B22/$B$15</f>
        <v>1.6835016835016835E-2</v>
      </c>
      <c r="E22" t="s">
        <v>2</v>
      </c>
      <c r="F22">
        <f>ROUND(AVERAGEIF(fact_orders_1000!Z2:Z1002,"Reefer",fact_orders_1000!AE2:AE1002),1)</f>
        <v>0.2</v>
      </c>
    </row>
    <row r="23" spans="1:6" x14ac:dyDescent="0.3">
      <c r="A23" t="s">
        <v>958</v>
      </c>
      <c r="B23">
        <f>$B$15-SUM(B19:B22)</f>
        <v>168</v>
      </c>
      <c r="C23" s="13">
        <f>B23/$B$15</f>
        <v>0.56565656565656564</v>
      </c>
      <c r="E23" t="s">
        <v>215</v>
      </c>
      <c r="F23">
        <f>ROUND(AVERAGEIF(fact_orders_1000!Z2:Z1002,"Tanker",fact_orders_1000!AE2:AE1002),1)</f>
        <v>-0.1</v>
      </c>
    </row>
    <row r="25" spans="1:6" x14ac:dyDescent="0.3">
      <c r="A25" s="12" t="s">
        <v>959</v>
      </c>
      <c r="E25" s="12" t="s">
        <v>973</v>
      </c>
    </row>
    <row r="26" spans="1:6" x14ac:dyDescent="0.3">
      <c r="A26" s="12" t="s">
        <v>960</v>
      </c>
      <c r="B26" s="12" t="s">
        <v>948</v>
      </c>
      <c r="C26" s="12" t="s">
        <v>949</v>
      </c>
      <c r="E26" s="12" t="s">
        <v>974</v>
      </c>
      <c r="F26" s="12" t="s">
        <v>970</v>
      </c>
    </row>
    <row r="27" spans="1:6" x14ac:dyDescent="0.3">
      <c r="A27" t="s">
        <v>961</v>
      </c>
      <c r="B27">
        <f>COUNTIF(fact_orders_1000!AE2:AE1002,"&lt;-30")</f>
        <v>245</v>
      </c>
      <c r="C27" s="13">
        <f t="shared" ref="C27:C33" si="0">B27/$B$5</f>
        <v>0.245</v>
      </c>
      <c r="E27" t="s">
        <v>62</v>
      </c>
      <c r="F27">
        <f>ROUND(AVERAGEIF(fact_orders_1000!R2:R1002,"Midwest",fact_orders_1000!AE2:AE1002),1)</f>
        <v>-1.7</v>
      </c>
    </row>
    <row r="28" spans="1:6" x14ac:dyDescent="0.3">
      <c r="A28" t="s">
        <v>962</v>
      </c>
      <c r="B28">
        <f>COUNTIFS(fact_orders_1000!AE2:AE1002,"&gt;=-30",fact_orders_1000!AE2:AE1002,"&lt;0")</f>
        <v>442</v>
      </c>
      <c r="C28" s="13">
        <f t="shared" si="0"/>
        <v>0.442</v>
      </c>
      <c r="E28" t="s">
        <v>123</v>
      </c>
      <c r="F28">
        <f>ROUND(AVERAGEIF(fact_orders_1000!R2:R1002,"Northeast",fact_orders_1000!AE2:AE1002),1)</f>
        <v>14.5</v>
      </c>
    </row>
    <row r="29" spans="1:6" x14ac:dyDescent="0.3">
      <c r="A29" t="s">
        <v>963</v>
      </c>
      <c r="B29">
        <f>COUNTIF(fact_orders_1000!AE2:AE1002,0)</f>
        <v>16</v>
      </c>
      <c r="C29" s="13">
        <f t="shared" si="0"/>
        <v>1.6E-2</v>
      </c>
      <c r="E29" t="s">
        <v>73</v>
      </c>
      <c r="F29">
        <f>ROUND(AVERAGEIF(fact_orders_1000!R2:R1002,"South",fact_orders_1000!AE2:AE1002),1)</f>
        <v>6</v>
      </c>
    </row>
    <row r="30" spans="1:6" x14ac:dyDescent="0.3">
      <c r="A30" t="s">
        <v>964</v>
      </c>
      <c r="B30">
        <f>COUNTIFS(fact_orders_1000!AE2:AE1002,"&gt;=1",fact_orders_1000!AE2:AE1002,"&lt;=30")</f>
        <v>170</v>
      </c>
      <c r="C30" s="13">
        <f t="shared" si="0"/>
        <v>0.17</v>
      </c>
      <c r="E30" t="s">
        <v>88</v>
      </c>
      <c r="F30">
        <f>ROUND(AVERAGEIF(fact_orders_1000!R2:R1002,"West",fact_orders_1000!AE2:AE1002),1)</f>
        <v>8.6</v>
      </c>
    </row>
    <row r="31" spans="1:6" x14ac:dyDescent="0.3">
      <c r="A31" t="s">
        <v>965</v>
      </c>
      <c r="B31">
        <f>COUNTIFS(fact_orders_1000!AE2:AE1002,"&gt;=31",fact_orders_1000!AE2:AE1002,"&lt;=120")</f>
        <v>40</v>
      </c>
      <c r="C31" s="13">
        <f t="shared" si="0"/>
        <v>0.04</v>
      </c>
    </row>
    <row r="32" spans="1:6" x14ac:dyDescent="0.3">
      <c r="A32" t="s">
        <v>966</v>
      </c>
      <c r="B32">
        <f>COUNTIFS(fact_orders_1000!AE2:AE1002,"&gt;=121",fact_orders_1000!AE2:AE1002,"&lt;=300")</f>
        <v>75</v>
      </c>
      <c r="C32" s="13">
        <f t="shared" si="0"/>
        <v>7.4999999999999997E-2</v>
      </c>
    </row>
    <row r="33" spans="1:3" x14ac:dyDescent="0.3">
      <c r="A33" t="s">
        <v>967</v>
      </c>
      <c r="B33">
        <f>COUNTIF(fact_orders_1000!AE2:AE1002,"&gt;300")</f>
        <v>12</v>
      </c>
      <c r="C33" s="13">
        <f t="shared" si="0"/>
        <v>1.2E-2</v>
      </c>
    </row>
    <row r="35" spans="1:3" ht="15.6" x14ac:dyDescent="0.3">
      <c r="A35" s="14" t="s">
        <v>975</v>
      </c>
    </row>
    <row r="36" spans="1:3" x14ac:dyDescent="0.3">
      <c r="A36" t="s">
        <v>976</v>
      </c>
    </row>
    <row r="37" spans="1:3" x14ac:dyDescent="0.3">
      <c r="A37" t="s">
        <v>977</v>
      </c>
    </row>
    <row r="38" spans="1:3" x14ac:dyDescent="0.3">
      <c r="A38" t="s">
        <v>978</v>
      </c>
    </row>
    <row r="39" spans="1:3" x14ac:dyDescent="0.3">
      <c r="A39" t="s">
        <v>979</v>
      </c>
    </row>
    <row r="40" spans="1:3" x14ac:dyDescent="0.3">
      <c r="A40" t="s">
        <v>980</v>
      </c>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0CB4-7ACB-4818-A76D-251334ECD5D4}">
  <dimension ref="A1:D11"/>
  <sheetViews>
    <sheetView workbookViewId="0">
      <selection activeCell="A4" sqref="A4"/>
    </sheetView>
  </sheetViews>
  <sheetFormatPr defaultRowHeight="14.4" x14ac:dyDescent="0.3"/>
  <cols>
    <col min="1" max="1" width="17.21875" bestFit="1" customWidth="1"/>
    <col min="2" max="2" width="24.21875" bestFit="1" customWidth="1"/>
    <col min="3" max="3" width="39.6640625" bestFit="1" customWidth="1"/>
    <col min="4" max="4" width="18.88671875" bestFit="1" customWidth="1"/>
  </cols>
  <sheetData>
    <row r="1" spans="1:4" x14ac:dyDescent="0.3">
      <c r="A1" s="3" t="s">
        <v>30</v>
      </c>
      <c r="B1" t="s">
        <v>924</v>
      </c>
    </row>
    <row r="3" spans="1:4" x14ac:dyDescent="0.3">
      <c r="A3" s="3" t="s">
        <v>33</v>
      </c>
      <c r="B3" t="s">
        <v>919</v>
      </c>
      <c r="C3" t="s">
        <v>935</v>
      </c>
      <c r="D3" t="s">
        <v>933</v>
      </c>
    </row>
    <row r="4" spans="1:4" x14ac:dyDescent="0.3">
      <c r="A4" t="s">
        <v>91</v>
      </c>
      <c r="B4">
        <v>2862857.8400000012</v>
      </c>
      <c r="C4">
        <v>161</v>
      </c>
      <c r="D4">
        <v>364.05999999999989</v>
      </c>
    </row>
    <row r="5" spans="1:4" x14ac:dyDescent="0.3">
      <c r="A5" t="s">
        <v>83</v>
      </c>
      <c r="B5">
        <v>2072542.1500000006</v>
      </c>
      <c r="C5">
        <v>140</v>
      </c>
      <c r="D5">
        <v>314.20999999999992</v>
      </c>
    </row>
    <row r="6" spans="1:4" x14ac:dyDescent="0.3">
      <c r="A6" t="s">
        <v>66</v>
      </c>
      <c r="B6">
        <v>1877273.1</v>
      </c>
      <c r="C6">
        <v>126</v>
      </c>
      <c r="D6">
        <v>283.85000000000002</v>
      </c>
    </row>
    <row r="7" spans="1:4" x14ac:dyDescent="0.3">
      <c r="A7" t="s">
        <v>125</v>
      </c>
      <c r="B7">
        <v>1852551.4299999992</v>
      </c>
      <c r="C7">
        <v>125</v>
      </c>
      <c r="D7">
        <v>282.50999999999993</v>
      </c>
    </row>
    <row r="8" spans="1:4" x14ac:dyDescent="0.3">
      <c r="A8" t="s">
        <v>137</v>
      </c>
      <c r="B8">
        <v>2045148.5500000003</v>
      </c>
      <c r="C8">
        <v>139</v>
      </c>
      <c r="D8">
        <v>318.05999999999995</v>
      </c>
    </row>
    <row r="9" spans="1:4" x14ac:dyDescent="0.3">
      <c r="A9" t="s">
        <v>154</v>
      </c>
      <c r="B9">
        <v>2765744.2199999993</v>
      </c>
      <c r="C9">
        <v>159</v>
      </c>
      <c r="D9">
        <v>358.02</v>
      </c>
    </row>
    <row r="10" spans="1:4" x14ac:dyDescent="0.3">
      <c r="A10" t="s">
        <v>76</v>
      </c>
      <c r="B10">
        <v>2630959.44</v>
      </c>
      <c r="C10">
        <v>150</v>
      </c>
      <c r="D10">
        <v>333.0100000000001</v>
      </c>
    </row>
    <row r="11" spans="1:4" x14ac:dyDescent="0.3">
      <c r="A11" t="s">
        <v>5</v>
      </c>
      <c r="B11">
        <v>16107076.729999991</v>
      </c>
      <c r="C11">
        <v>1000</v>
      </c>
      <c r="D11">
        <v>2253.7199999999971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667E-7AE2-4265-B6D8-30C26113A95D}">
  <dimension ref="A2:E9"/>
  <sheetViews>
    <sheetView workbookViewId="0">
      <selection activeCell="G9" sqref="G9"/>
    </sheetView>
  </sheetViews>
  <sheetFormatPr defaultRowHeight="14.4" x14ac:dyDescent="0.3"/>
  <cols>
    <col min="1" max="1" width="29.5546875" bestFit="1" customWidth="1"/>
    <col min="2" max="4" width="23.109375" bestFit="1" customWidth="1"/>
    <col min="5" max="5" width="12" bestFit="1" customWidth="1"/>
    <col min="6" max="7" width="31.21875" bestFit="1" customWidth="1"/>
    <col min="8" max="8" width="36.109375" bestFit="1" customWidth="1"/>
    <col min="9" max="9" width="23.5546875" bestFit="1" customWidth="1"/>
  </cols>
  <sheetData>
    <row r="2" spans="1:5" x14ac:dyDescent="0.3">
      <c r="A2" s="3" t="s">
        <v>920</v>
      </c>
      <c r="B2" s="3" t="s">
        <v>42</v>
      </c>
    </row>
    <row r="3" spans="1:5" x14ac:dyDescent="0.3">
      <c r="A3" s="3" t="s">
        <v>30</v>
      </c>
      <c r="B3" t="s">
        <v>155</v>
      </c>
      <c r="C3" t="s">
        <v>68</v>
      </c>
      <c r="D3" t="s">
        <v>114</v>
      </c>
      <c r="E3" t="s">
        <v>5</v>
      </c>
    </row>
    <row r="4" spans="1:5" x14ac:dyDescent="0.3">
      <c r="A4" t="s">
        <v>63</v>
      </c>
      <c r="B4">
        <v>1.4640677966101692</v>
      </c>
      <c r="C4">
        <v>1.5048659003831424</v>
      </c>
      <c r="D4">
        <v>1.5046540880503143</v>
      </c>
      <c r="E4">
        <v>1.4997703549060553</v>
      </c>
    </row>
    <row r="5" spans="1:5" x14ac:dyDescent="0.3">
      <c r="A5" t="s">
        <v>112</v>
      </c>
      <c r="B5">
        <v>1.6270000000000002</v>
      </c>
      <c r="C5">
        <v>1.5963636363636358</v>
      </c>
      <c r="D5">
        <v>1.6007843137254905</v>
      </c>
      <c r="E5">
        <v>1.6030158730158728</v>
      </c>
    </row>
    <row r="6" spans="1:5" x14ac:dyDescent="0.3">
      <c r="A6" t="s">
        <v>80</v>
      </c>
      <c r="B6">
        <v>1.3790909090909091</v>
      </c>
      <c r="C6">
        <v>1.4422033898305084</v>
      </c>
      <c r="D6">
        <v>1.4278571428571432</v>
      </c>
      <c r="E6">
        <v>1.4310204081632656</v>
      </c>
    </row>
    <row r="7" spans="1:5" x14ac:dyDescent="0.3">
      <c r="A7" t="s">
        <v>2</v>
      </c>
      <c r="B7">
        <v>1.6456521739130436</v>
      </c>
      <c r="C7">
        <v>1.6606164383561641</v>
      </c>
      <c r="D7">
        <v>1.6536923076923078</v>
      </c>
      <c r="E7">
        <v>1.6572222222222215</v>
      </c>
    </row>
    <row r="8" spans="1:5" x14ac:dyDescent="0.3">
      <c r="A8" t="s">
        <v>215</v>
      </c>
      <c r="B8">
        <v>1.6512500000000001</v>
      </c>
      <c r="C8">
        <v>1.7499999999999998</v>
      </c>
      <c r="D8">
        <v>1.7407692307692306</v>
      </c>
      <c r="E8">
        <v>1.7318</v>
      </c>
    </row>
    <row r="9" spans="1:5" x14ac:dyDescent="0.3">
      <c r="A9" t="s">
        <v>5</v>
      </c>
      <c r="B9">
        <v>1.5301652892561981</v>
      </c>
      <c r="C9">
        <v>1.5615636363636376</v>
      </c>
      <c r="D9">
        <v>1.5537341772151896</v>
      </c>
      <c r="E9">
        <v>1.5552077001013171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0611-10A9-4F97-B241-695B401006DA}">
  <dimension ref="B2:E10"/>
  <sheetViews>
    <sheetView showGridLines="0" workbookViewId="0">
      <selection activeCell="F13" sqref="F13"/>
    </sheetView>
  </sheetViews>
  <sheetFormatPr defaultRowHeight="14.4" x14ac:dyDescent="0.3"/>
  <cols>
    <col min="2" max="2" width="3.6640625" customWidth="1"/>
    <col min="3" max="3" width="15.21875" bestFit="1" customWidth="1"/>
    <col min="4" max="4" width="29.109375" customWidth="1"/>
    <col min="5" max="5" width="24.6640625" customWidth="1"/>
  </cols>
  <sheetData>
    <row r="2" spans="2:5" x14ac:dyDescent="0.3">
      <c r="B2" s="2" t="s">
        <v>921</v>
      </c>
    </row>
    <row r="4" spans="2:5" x14ac:dyDescent="0.3">
      <c r="C4" s="3" t="s">
        <v>34</v>
      </c>
      <c r="D4" t="s">
        <v>922</v>
      </c>
      <c r="E4" t="s">
        <v>922</v>
      </c>
    </row>
    <row r="5" spans="2:5" x14ac:dyDescent="0.3">
      <c r="C5" t="s">
        <v>206</v>
      </c>
      <c r="D5" s="5">
        <v>0.7557839072171143</v>
      </c>
      <c r="E5" t="s">
        <v>922</v>
      </c>
    </row>
    <row r="6" spans="2:5" x14ac:dyDescent="0.3">
      <c r="D6" s="5">
        <v>0.22468601646535666</v>
      </c>
      <c r="E6" t="s">
        <v>922</v>
      </c>
    </row>
    <row r="7" spans="2:5" x14ac:dyDescent="0.3">
      <c r="C7" t="s">
        <v>192</v>
      </c>
      <c r="D7" s="5">
        <v>1.2258878673156661E-2</v>
      </c>
      <c r="E7" t="s">
        <v>922</v>
      </c>
    </row>
    <row r="8" spans="2:5" x14ac:dyDescent="0.3">
      <c r="C8" t="s">
        <v>188</v>
      </c>
      <c r="D8" s="5">
        <v>7.2711976443723333E-3</v>
      </c>
      <c r="E8" t="s">
        <v>922</v>
      </c>
    </row>
    <row r="9" spans="2:5" x14ac:dyDescent="0.3">
      <c r="C9" t="s">
        <v>120</v>
      </c>
      <c r="D9" s="5">
        <v>0</v>
      </c>
      <c r="E9" t="s">
        <v>922</v>
      </c>
    </row>
    <row r="10" spans="2:5" x14ac:dyDescent="0.3">
      <c r="C10" t="s">
        <v>5</v>
      </c>
      <c r="D10" s="5">
        <v>1</v>
      </c>
      <c r="E10" t="s">
        <v>922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B1A4C-D91F-44FD-80D7-A667C59DC32A}">
  <dimension ref="B2:D9"/>
  <sheetViews>
    <sheetView showGridLines="0" zoomScale="91" workbookViewId="0">
      <selection activeCell="N17" sqref="N17"/>
    </sheetView>
  </sheetViews>
  <sheetFormatPr defaultRowHeight="14.4" x14ac:dyDescent="0.3"/>
  <cols>
    <col min="2" max="2" width="3.6640625" customWidth="1"/>
    <col min="3" max="3" width="11" bestFit="1" customWidth="1"/>
    <col min="4" max="4" width="22" bestFit="1" customWidth="1"/>
  </cols>
  <sheetData>
    <row r="2" spans="2:4" x14ac:dyDescent="0.3">
      <c r="B2" s="7" t="s">
        <v>931</v>
      </c>
    </row>
    <row r="4" spans="2:4" x14ac:dyDescent="0.3">
      <c r="C4" s="3" t="s">
        <v>22</v>
      </c>
      <c r="D4" t="s">
        <v>932</v>
      </c>
    </row>
    <row r="5" spans="2:4" x14ac:dyDescent="0.3">
      <c r="C5" t="s">
        <v>62</v>
      </c>
      <c r="D5" s="5">
        <v>0.21048161887295752</v>
      </c>
    </row>
    <row r="6" spans="2:4" x14ac:dyDescent="0.3">
      <c r="C6" t="s">
        <v>123</v>
      </c>
      <c r="D6" s="5">
        <v>0.1950546015338446</v>
      </c>
    </row>
    <row r="7" spans="2:4" x14ac:dyDescent="0.3">
      <c r="C7" t="s">
        <v>73</v>
      </c>
      <c r="D7" s="5">
        <v>0.28574629043014355</v>
      </c>
    </row>
    <row r="8" spans="2:4" x14ac:dyDescent="0.3">
      <c r="C8" t="s">
        <v>88</v>
      </c>
      <c r="D8" s="5">
        <v>0.30871748916305441</v>
      </c>
    </row>
    <row r="9" spans="2:4" x14ac:dyDescent="0.3">
      <c r="C9" t="s">
        <v>5</v>
      </c>
      <c r="D9"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7595-C2E4-4E89-A47D-335D7934F806}">
  <dimension ref="B2:D9"/>
  <sheetViews>
    <sheetView showGridLines="0" workbookViewId="0">
      <selection activeCell="O11" sqref="O11"/>
    </sheetView>
  </sheetViews>
  <sheetFormatPr defaultRowHeight="14.4" x14ac:dyDescent="0.3"/>
  <cols>
    <col min="2" max="2" width="3.6640625" customWidth="1"/>
    <col min="3" max="3" width="10.5546875" bestFit="1" customWidth="1"/>
    <col min="4" max="4" width="22.21875" bestFit="1" customWidth="1"/>
  </cols>
  <sheetData>
    <row r="2" spans="2:4" x14ac:dyDescent="0.3">
      <c r="B2" s="7" t="s">
        <v>931</v>
      </c>
    </row>
    <row r="4" spans="2:4" x14ac:dyDescent="0.3">
      <c r="C4" s="3" t="s">
        <v>22</v>
      </c>
      <c r="D4" t="s">
        <v>934</v>
      </c>
    </row>
    <row r="5" spans="2:4" x14ac:dyDescent="0.3">
      <c r="C5" t="s">
        <v>73</v>
      </c>
      <c r="D5" s="5">
        <v>0.309</v>
      </c>
    </row>
    <row r="6" spans="2:4" x14ac:dyDescent="0.3">
      <c r="C6" t="s">
        <v>62</v>
      </c>
      <c r="D6" s="5">
        <v>0.247</v>
      </c>
    </row>
    <row r="7" spans="2:4" x14ac:dyDescent="0.3">
      <c r="C7" t="s">
        <v>88</v>
      </c>
      <c r="D7" s="5">
        <v>0.24299999999999999</v>
      </c>
    </row>
    <row r="8" spans="2:4" x14ac:dyDescent="0.3">
      <c r="C8" t="s">
        <v>123</v>
      </c>
      <c r="D8" s="5">
        <v>0.20100000000000001</v>
      </c>
    </row>
    <row r="9" spans="2:4" x14ac:dyDescent="0.3">
      <c r="C9" t="s">
        <v>5</v>
      </c>
      <c r="D9" s="5">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C130-D112-4FF0-87AF-FC6A973AC407}">
  <dimension ref="A1:E72"/>
  <sheetViews>
    <sheetView topLeftCell="A60" workbookViewId="0"/>
  </sheetViews>
  <sheetFormatPr defaultRowHeight="14.4" x14ac:dyDescent="0.3"/>
  <cols>
    <col min="1" max="1" width="94.21875" bestFit="1" customWidth="1"/>
    <col min="2" max="2" width="12" bestFit="1" customWidth="1"/>
    <col min="3" max="3" width="16" bestFit="1" customWidth="1"/>
    <col min="4" max="4" width="8.33203125" bestFit="1" customWidth="1"/>
    <col min="5" max="5" width="10.88671875" bestFit="1" customWidth="1"/>
  </cols>
  <sheetData>
    <row r="1" spans="1:5" ht="18" x14ac:dyDescent="0.35">
      <c r="A1" s="15" t="s">
        <v>981</v>
      </c>
    </row>
    <row r="3" spans="1:5" x14ac:dyDescent="0.3">
      <c r="A3" s="12" t="s">
        <v>982</v>
      </c>
    </row>
    <row r="4" spans="1:5" x14ac:dyDescent="0.3">
      <c r="A4" t="s">
        <v>940</v>
      </c>
      <c r="B4">
        <v>1003</v>
      </c>
    </row>
    <row r="5" spans="1:5" x14ac:dyDescent="0.3">
      <c r="A5" t="s">
        <v>983</v>
      </c>
      <c r="B5">
        <v>12</v>
      </c>
    </row>
    <row r="6" spans="1:5" x14ac:dyDescent="0.3">
      <c r="A6" t="s">
        <v>984</v>
      </c>
      <c r="B6" s="5">
        <v>1.2E-2</v>
      </c>
    </row>
    <row r="7" spans="1:5" x14ac:dyDescent="0.3">
      <c r="A7" t="s">
        <v>985</v>
      </c>
      <c r="B7" t="s">
        <v>986</v>
      </c>
    </row>
    <row r="9" spans="1:5" x14ac:dyDescent="0.3">
      <c r="A9" s="12" t="s">
        <v>987</v>
      </c>
    </row>
    <row r="10" spans="1:5" x14ac:dyDescent="0.3">
      <c r="A10" s="12" t="s">
        <v>969</v>
      </c>
      <c r="B10" t="s">
        <v>988</v>
      </c>
      <c r="C10" t="s">
        <v>940</v>
      </c>
      <c r="D10" t="s">
        <v>989</v>
      </c>
      <c r="E10" t="s">
        <v>990</v>
      </c>
    </row>
    <row r="11" spans="1:5" x14ac:dyDescent="0.3">
      <c r="A11" t="s">
        <v>84</v>
      </c>
      <c r="B11">
        <v>3</v>
      </c>
      <c r="C11">
        <v>243</v>
      </c>
      <c r="D11" s="5">
        <v>1.23E-2</v>
      </c>
      <c r="E11" t="s">
        <v>991</v>
      </c>
    </row>
    <row r="12" spans="1:5" x14ac:dyDescent="0.3">
      <c r="A12" t="s">
        <v>57</v>
      </c>
      <c r="B12">
        <v>2</v>
      </c>
      <c r="C12">
        <v>112</v>
      </c>
      <c r="D12" s="5">
        <v>1.7899999999999999E-2</v>
      </c>
      <c r="E12" t="s">
        <v>991</v>
      </c>
    </row>
    <row r="13" spans="1:5" x14ac:dyDescent="0.3">
      <c r="A13" t="s">
        <v>106</v>
      </c>
      <c r="B13">
        <v>2</v>
      </c>
      <c r="C13">
        <v>103</v>
      </c>
      <c r="D13" s="5">
        <v>1.9400000000000001E-2</v>
      </c>
      <c r="E13" t="s">
        <v>991</v>
      </c>
    </row>
    <row r="14" spans="1:5" x14ac:dyDescent="0.3">
      <c r="A14" t="s">
        <v>225</v>
      </c>
      <c r="B14">
        <v>2</v>
      </c>
      <c r="C14">
        <v>72</v>
      </c>
      <c r="D14" s="5">
        <v>2.7799999999999998E-2</v>
      </c>
      <c r="E14" t="s">
        <v>992</v>
      </c>
    </row>
    <row r="15" spans="1:5" x14ac:dyDescent="0.3">
      <c r="A15" t="s">
        <v>92</v>
      </c>
      <c r="B15">
        <v>1</v>
      </c>
      <c r="C15">
        <v>77</v>
      </c>
      <c r="D15" s="5">
        <v>1.2999999999999999E-2</v>
      </c>
      <c r="E15" t="s">
        <v>991</v>
      </c>
    </row>
    <row r="16" spans="1:5" x14ac:dyDescent="0.3">
      <c r="A16" t="s">
        <v>126</v>
      </c>
      <c r="B16">
        <v>1</v>
      </c>
      <c r="C16">
        <v>71</v>
      </c>
      <c r="D16" s="5">
        <v>1.41E-2</v>
      </c>
      <c r="E16" t="s">
        <v>991</v>
      </c>
    </row>
    <row r="17" spans="1:5" x14ac:dyDescent="0.3">
      <c r="A17" t="s">
        <v>185</v>
      </c>
      <c r="B17">
        <v>1</v>
      </c>
      <c r="C17">
        <v>101</v>
      </c>
      <c r="D17" s="5">
        <v>9.9000000000000008E-3</v>
      </c>
      <c r="E17" t="s">
        <v>993</v>
      </c>
    </row>
    <row r="19" spans="1:5" x14ac:dyDescent="0.3">
      <c r="A19" t="s">
        <v>994</v>
      </c>
    </row>
    <row r="20" spans="1:5" x14ac:dyDescent="0.3">
      <c r="A20" t="s">
        <v>972</v>
      </c>
      <c r="B20" t="s">
        <v>988</v>
      </c>
      <c r="C20" t="s">
        <v>940</v>
      </c>
      <c r="D20" t="s">
        <v>989</v>
      </c>
      <c r="E20" t="s">
        <v>990</v>
      </c>
    </row>
    <row r="21" spans="1:5" x14ac:dyDescent="0.3">
      <c r="A21" s="12" t="s">
        <v>80</v>
      </c>
      <c r="B21">
        <v>2</v>
      </c>
      <c r="C21">
        <v>100</v>
      </c>
      <c r="D21" s="5">
        <v>0.02</v>
      </c>
      <c r="E21" t="s">
        <v>991</v>
      </c>
    </row>
    <row r="22" spans="1:5" x14ac:dyDescent="0.3">
      <c r="A22" s="12" t="s">
        <v>63</v>
      </c>
      <c r="B22">
        <v>8</v>
      </c>
      <c r="C22">
        <v>488</v>
      </c>
      <c r="D22" s="5">
        <v>1.6400000000000001E-2</v>
      </c>
      <c r="E22" t="s">
        <v>991</v>
      </c>
    </row>
    <row r="23" spans="1:5" x14ac:dyDescent="0.3">
      <c r="A23" t="s">
        <v>2</v>
      </c>
      <c r="B23">
        <v>2</v>
      </c>
      <c r="C23">
        <v>235</v>
      </c>
      <c r="D23" s="5">
        <v>8.5000000000000006E-3</v>
      </c>
      <c r="E23" t="s">
        <v>993</v>
      </c>
    </row>
    <row r="25" spans="1:5" x14ac:dyDescent="0.3">
      <c r="A25" t="s">
        <v>995</v>
      </c>
    </row>
    <row r="26" spans="1:5" x14ac:dyDescent="0.3">
      <c r="A26" t="s">
        <v>996</v>
      </c>
      <c r="B26" t="s">
        <v>988</v>
      </c>
      <c r="C26" t="s">
        <v>940</v>
      </c>
      <c r="D26" t="s">
        <v>989</v>
      </c>
      <c r="E26" t="s">
        <v>990</v>
      </c>
    </row>
    <row r="27" spans="1:5" x14ac:dyDescent="0.3">
      <c r="A27" t="s">
        <v>140</v>
      </c>
      <c r="B27">
        <v>2</v>
      </c>
      <c r="C27">
        <v>102</v>
      </c>
      <c r="D27" s="5">
        <v>1.9599999999999999E-2</v>
      </c>
      <c r="E27" t="s">
        <v>991</v>
      </c>
    </row>
    <row r="28" spans="1:5" x14ac:dyDescent="0.3">
      <c r="A28" s="12" t="s">
        <v>111</v>
      </c>
      <c r="B28">
        <v>3</v>
      </c>
      <c r="C28">
        <v>233</v>
      </c>
      <c r="D28" s="5">
        <v>1.29E-2</v>
      </c>
      <c r="E28" t="s">
        <v>991</v>
      </c>
    </row>
    <row r="29" spans="1:5" x14ac:dyDescent="0.3">
      <c r="A29" s="12" t="s">
        <v>1</v>
      </c>
      <c r="B29">
        <v>6</v>
      </c>
      <c r="C29">
        <v>494</v>
      </c>
      <c r="D29" s="5">
        <v>1.21E-2</v>
      </c>
      <c r="E29" t="s">
        <v>991</v>
      </c>
    </row>
    <row r="30" spans="1:5" x14ac:dyDescent="0.3">
      <c r="A30" t="s">
        <v>3</v>
      </c>
      <c r="B30">
        <v>1</v>
      </c>
      <c r="C30">
        <v>171</v>
      </c>
      <c r="D30" s="5">
        <v>5.7999999999999996E-3</v>
      </c>
      <c r="E30" t="s">
        <v>993</v>
      </c>
    </row>
    <row r="32" spans="1:5" x14ac:dyDescent="0.3">
      <c r="A32" t="s">
        <v>997</v>
      </c>
    </row>
    <row r="33" spans="1:5" x14ac:dyDescent="0.3">
      <c r="A33" t="s">
        <v>974</v>
      </c>
      <c r="B33" t="s">
        <v>988</v>
      </c>
      <c r="C33" t="s">
        <v>940</v>
      </c>
      <c r="D33" t="s">
        <v>989</v>
      </c>
      <c r="E33" t="s">
        <v>990</v>
      </c>
    </row>
    <row r="34" spans="1:5" x14ac:dyDescent="0.3">
      <c r="A34" s="12" t="s">
        <v>88</v>
      </c>
      <c r="B34">
        <v>4</v>
      </c>
      <c r="C34">
        <v>243</v>
      </c>
      <c r="D34" s="5">
        <v>1.6500000000000001E-2</v>
      </c>
      <c r="E34" t="s">
        <v>991</v>
      </c>
    </row>
    <row r="35" spans="1:5" x14ac:dyDescent="0.3">
      <c r="A35" s="12" t="s">
        <v>123</v>
      </c>
      <c r="B35">
        <v>3</v>
      </c>
      <c r="C35">
        <v>201</v>
      </c>
      <c r="D35" s="5">
        <v>1.49E-2</v>
      </c>
      <c r="E35" t="s">
        <v>991</v>
      </c>
    </row>
    <row r="36" spans="1:5" x14ac:dyDescent="0.3">
      <c r="A36" t="s">
        <v>73</v>
      </c>
      <c r="B36">
        <v>4</v>
      </c>
      <c r="C36">
        <v>309</v>
      </c>
      <c r="D36" s="5">
        <v>1.29E-2</v>
      </c>
      <c r="E36" t="s">
        <v>991</v>
      </c>
    </row>
    <row r="37" spans="1:5" x14ac:dyDescent="0.3">
      <c r="A37" t="s">
        <v>62</v>
      </c>
      <c r="B37">
        <v>1</v>
      </c>
      <c r="C37">
        <v>247</v>
      </c>
      <c r="D37" s="5">
        <v>4.0000000000000001E-3</v>
      </c>
      <c r="E37" t="s">
        <v>993</v>
      </c>
    </row>
    <row r="39" spans="1:5" x14ac:dyDescent="0.3">
      <c r="A39" t="s">
        <v>998</v>
      </c>
    </row>
    <row r="40" spans="1:5" x14ac:dyDescent="0.3">
      <c r="A40" t="s">
        <v>34</v>
      </c>
      <c r="B40" t="s">
        <v>948</v>
      </c>
      <c r="C40" t="s">
        <v>999</v>
      </c>
    </row>
    <row r="41" spans="1:5" x14ac:dyDescent="0.3">
      <c r="A41" t="s">
        <v>188</v>
      </c>
      <c r="B41">
        <v>6</v>
      </c>
      <c r="C41" s="5">
        <v>0.5</v>
      </c>
    </row>
    <row r="42" spans="1:5" x14ac:dyDescent="0.3">
      <c r="A42" s="12" t="s">
        <v>120</v>
      </c>
      <c r="B42">
        <v>3</v>
      </c>
      <c r="C42" s="5">
        <v>0.25</v>
      </c>
    </row>
    <row r="43" spans="1:5" x14ac:dyDescent="0.3">
      <c r="A43" s="12" t="s">
        <v>206</v>
      </c>
      <c r="B43">
        <v>2</v>
      </c>
      <c r="C43" s="5">
        <v>0.16700000000000001</v>
      </c>
    </row>
    <row r="44" spans="1:5" x14ac:dyDescent="0.3">
      <c r="A44" t="s">
        <v>192</v>
      </c>
      <c r="B44">
        <v>1</v>
      </c>
      <c r="C44" s="5">
        <v>8.3000000000000004E-2</v>
      </c>
    </row>
    <row r="46" spans="1:5" x14ac:dyDescent="0.3">
      <c r="A46" t="s">
        <v>1000</v>
      </c>
    </row>
    <row r="48" spans="1:5" x14ac:dyDescent="0.3">
      <c r="A48" t="s">
        <v>1001</v>
      </c>
    </row>
    <row r="49" spans="1:1" x14ac:dyDescent="0.3">
      <c r="A49" s="12" t="s">
        <v>1002</v>
      </c>
    </row>
    <row r="50" spans="1:1" x14ac:dyDescent="0.3">
      <c r="A50" t="s">
        <v>1003</v>
      </c>
    </row>
    <row r="51" spans="1:1" x14ac:dyDescent="0.3">
      <c r="A51" t="s">
        <v>1004</v>
      </c>
    </row>
    <row r="56" spans="1:1" ht="15.6" x14ac:dyDescent="0.3">
      <c r="A56" s="14" t="s">
        <v>1005</v>
      </c>
    </row>
    <row r="58" spans="1:1" x14ac:dyDescent="0.3">
      <c r="A58" t="s">
        <v>1006</v>
      </c>
    </row>
    <row r="59" spans="1:1" x14ac:dyDescent="0.3">
      <c r="A59">
        <f>COUNTIFS(fact_orders_1000[delay_minutes],"&gt;300",fact_orders_1000[carrier_name],"Carrier",fact_orders_1000[truck_types],"Type")</f>
        <v>0</v>
      </c>
    </row>
    <row r="61" spans="1:1" x14ac:dyDescent="0.3">
      <c r="A61" s="12" t="s">
        <v>1007</v>
      </c>
    </row>
    <row r="63" spans="1:1" x14ac:dyDescent="0.3">
      <c r="A63" t="s">
        <v>1008</v>
      </c>
    </row>
    <row r="64" spans="1:1" x14ac:dyDescent="0.3">
      <c r="A64" t="s">
        <v>1009</v>
      </c>
    </row>
    <row r="65" spans="1:2" x14ac:dyDescent="0.3">
      <c r="A65" t="s">
        <v>1010</v>
      </c>
    </row>
    <row r="66" spans="1:2" x14ac:dyDescent="0.3">
      <c r="A66" t="s">
        <v>1011</v>
      </c>
    </row>
    <row r="68" spans="1:2" x14ac:dyDescent="0.3">
      <c r="A68" s="12" t="s">
        <v>1012</v>
      </c>
    </row>
    <row r="69" spans="1:2" x14ac:dyDescent="0.3">
      <c r="A69" t="s">
        <v>1013</v>
      </c>
      <c r="B69">
        <f>COUNTIFS(fact_orders_1000[delay_minutes],"&gt;300",fact_orders_1000[carrier_name],A1)</f>
        <v>0</v>
      </c>
    </row>
    <row r="70" spans="1:2" x14ac:dyDescent="0.3">
      <c r="A70" t="s">
        <v>1014</v>
      </c>
      <c r="B70" t="e">
        <f>COUNTIFS(fact_orders_1000[delay_minutes],"&gt;300",fact_orders_1000[carrier_name],A1)/COUNTIF(fact_orders_1000[carrier_name],A1)</f>
        <v>#DIV/0!</v>
      </c>
    </row>
    <row r="71" spans="1:2" x14ac:dyDescent="0.3">
      <c r="A71" t="s">
        <v>1015</v>
      </c>
      <c r="B71">
        <f>COUNTIF(fact_orders_1000[delay_minutes],"&gt;300")</f>
        <v>12</v>
      </c>
    </row>
    <row r="72" spans="1:2" x14ac:dyDescent="0.3">
      <c r="A72" t="s">
        <v>1016</v>
      </c>
      <c r="B72">
        <f>AVERAGEIF(fact_orders_1000[delay_minutes],"&gt;300")</f>
        <v>455.66666666666669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C71B-4C60-40B3-8FE1-393FE044F301}">
  <dimension ref="A1:F56"/>
  <sheetViews>
    <sheetView workbookViewId="0">
      <selection activeCell="A51" sqref="A51"/>
    </sheetView>
  </sheetViews>
  <sheetFormatPr defaultRowHeight="14.4" x14ac:dyDescent="0.3"/>
  <cols>
    <col min="1" max="1" width="29.6640625" customWidth="1"/>
    <col min="2" max="3" width="24.109375" customWidth="1"/>
    <col min="4" max="4" width="18.5546875" customWidth="1"/>
    <col min="5" max="6" width="14.77734375" customWidth="1"/>
  </cols>
  <sheetData>
    <row r="1" spans="1:6" ht="18" x14ac:dyDescent="0.35">
      <c r="A1" s="56" t="s">
        <v>1017</v>
      </c>
      <c r="B1" s="55"/>
      <c r="C1" s="55"/>
      <c r="D1" s="55"/>
      <c r="E1" s="55"/>
      <c r="F1" s="55"/>
    </row>
    <row r="3" spans="1:6" ht="15.6" x14ac:dyDescent="0.3">
      <c r="A3" s="14" t="s">
        <v>1018</v>
      </c>
    </row>
    <row r="5" spans="1:6" x14ac:dyDescent="0.3">
      <c r="A5" s="16" t="s">
        <v>1019</v>
      </c>
      <c r="B5" s="16" t="s">
        <v>1020</v>
      </c>
      <c r="C5" s="16" t="s">
        <v>1021</v>
      </c>
      <c r="D5" s="16" t="s">
        <v>1022</v>
      </c>
      <c r="E5" s="16" t="s">
        <v>1023</v>
      </c>
      <c r="F5" s="16" t="s">
        <v>1024</v>
      </c>
    </row>
    <row r="6" spans="1:6" x14ac:dyDescent="0.3">
      <c r="A6" t="s">
        <v>1025</v>
      </c>
      <c r="B6" s="17">
        <f>CORREL(fact_orders_1000[distance_miles],fact_orders_1000[delay_minutes])</f>
        <v>2.1456949589917635E-2</v>
      </c>
      <c r="C6" s="17">
        <f t="shared" ref="C6:C15" si="0">B6^2</f>
        <v>4.6040068570426656E-4</v>
      </c>
      <c r="D6" t="str">
        <f t="shared" ref="D6:D15" si="1">IF(ABS(B6)&gt;0.5,"Strong",IF(ABS(B6)&gt;0.3,"Moderate","Weak"))</f>
        <v>Weak</v>
      </c>
      <c r="E6" t="str">
        <f t="shared" ref="E6:E15" si="2">IF(B6&gt;0,"Positive ↑","Negative ↓")</f>
        <v>Positive ↑</v>
      </c>
      <c r="F6" s="17">
        <f t="shared" ref="F6:F15" si="3">ABS(B6)</f>
        <v>2.1456949589917635E-2</v>
      </c>
    </row>
    <row r="7" spans="1:6" x14ac:dyDescent="0.3">
      <c r="A7" t="s">
        <v>1026</v>
      </c>
      <c r="B7" s="17">
        <f>CORREL(fact_orders_1000[traffic_index],fact_orders_1000[delay_minutes])</f>
        <v>6.9512652850175091E-2</v>
      </c>
      <c r="C7" s="17">
        <f t="shared" si="0"/>
        <v>4.8320089062689553E-3</v>
      </c>
      <c r="D7" t="str">
        <f t="shared" si="1"/>
        <v>Weak</v>
      </c>
      <c r="E7" t="str">
        <f t="shared" si="2"/>
        <v>Positive ↑</v>
      </c>
      <c r="F7" s="17">
        <f t="shared" si="3"/>
        <v>6.9512652850175091E-2</v>
      </c>
    </row>
    <row r="8" spans="1:6" x14ac:dyDescent="0.3">
      <c r="A8" t="s">
        <v>1027</v>
      </c>
      <c r="B8" s="17">
        <f>CORREL(fact_orders_1000[weather_severity_index],fact_orders_1000[delay_minutes])</f>
        <v>0.31130427464320376</v>
      </c>
      <c r="C8" s="17">
        <f t="shared" si="0"/>
        <v>9.6910351411131232E-2</v>
      </c>
      <c r="D8" t="str">
        <f t="shared" si="1"/>
        <v>Moderate</v>
      </c>
      <c r="E8" t="str">
        <f t="shared" si="2"/>
        <v>Positive ↑</v>
      </c>
      <c r="F8" s="17">
        <f t="shared" si="3"/>
        <v>0.31130427464320376</v>
      </c>
    </row>
    <row r="9" spans="1:6" x14ac:dyDescent="0.3">
      <c r="A9" t="s">
        <v>1028</v>
      </c>
      <c r="B9" s="17">
        <f>CORREL(fact_orders_1000[detention_minutes],fact_orders_1000[delay_minutes])</f>
        <v>0.53507288639787676</v>
      </c>
      <c r="C9" s="17">
        <f t="shared" si="0"/>
        <v>0.2863029937581551</v>
      </c>
      <c r="D9" t="str">
        <f t="shared" si="1"/>
        <v>Strong</v>
      </c>
      <c r="E9" t="str">
        <f t="shared" si="2"/>
        <v>Positive ↑</v>
      </c>
      <c r="F9" s="17">
        <f t="shared" si="3"/>
        <v>0.53507288639787676</v>
      </c>
    </row>
    <row r="10" spans="1:6" x14ac:dyDescent="0.3">
      <c r="A10" t="s">
        <v>1029</v>
      </c>
      <c r="B10" s="17">
        <f>CORREL(fact_orders_1000[mechanical_flag],fact_orders_1000[delay_minutes])</f>
        <v>0.35158751444868319</v>
      </c>
      <c r="C10" s="17">
        <f t="shared" si="0"/>
        <v>0.12361378031620301</v>
      </c>
      <c r="D10" t="str">
        <f t="shared" si="1"/>
        <v>Moderate</v>
      </c>
      <c r="E10" t="str">
        <f t="shared" si="2"/>
        <v>Positive ↑</v>
      </c>
      <c r="F10" s="17">
        <f t="shared" si="3"/>
        <v>0.35158751444868319</v>
      </c>
    </row>
    <row r="11" spans="1:6" x14ac:dyDescent="0.3">
      <c r="A11" t="s">
        <v>1030</v>
      </c>
      <c r="B11" s="17">
        <f>CORREL(fact_orders_1000[utilization_rate],fact_orders_1000[delay_minutes])</f>
        <v>3.2605931833239003E-3</v>
      </c>
      <c r="C11" s="17">
        <f t="shared" si="0"/>
        <v>1.0631467907138286E-5</v>
      </c>
      <c r="D11" t="str">
        <f t="shared" si="1"/>
        <v>Weak</v>
      </c>
      <c r="E11" t="str">
        <f t="shared" si="2"/>
        <v>Positive ↑</v>
      </c>
      <c r="F11" s="17">
        <f t="shared" si="3"/>
        <v>3.2605931833239003E-3</v>
      </c>
    </row>
    <row r="12" spans="1:6" x14ac:dyDescent="0.3">
      <c r="A12" t="s">
        <v>1031</v>
      </c>
      <c r="B12" s="17">
        <f>CORREL(fact_orders_1000[load_factor],fact_orders_1000[delay_minutes])</f>
        <v>-5.4241531104260148E-3</v>
      </c>
      <c r="C12" s="17">
        <f t="shared" si="0"/>
        <v>2.942143696534421E-5</v>
      </c>
      <c r="D12" t="str">
        <f t="shared" si="1"/>
        <v>Weak</v>
      </c>
      <c r="E12" t="str">
        <f t="shared" si="2"/>
        <v>Negative ↓</v>
      </c>
      <c r="F12" s="17">
        <f t="shared" si="3"/>
        <v>5.4241531104260148E-3</v>
      </c>
    </row>
    <row r="13" spans="1:6" x14ac:dyDescent="0.3">
      <c r="A13" t="s">
        <v>1032</v>
      </c>
      <c r="B13" s="17">
        <f>CORREL(fact_orders_1000[total_miles],fact_orders_1000[delay_minutes])</f>
        <v>2.2335740507777032E-2</v>
      </c>
      <c r="C13" s="17">
        <f t="shared" si="0"/>
        <v>4.9888530403075176E-4</v>
      </c>
      <c r="D13" t="str">
        <f t="shared" si="1"/>
        <v>Weak</v>
      </c>
      <c r="E13" t="str">
        <f t="shared" si="2"/>
        <v>Positive ↑</v>
      </c>
      <c r="F13" s="17">
        <f t="shared" si="3"/>
        <v>2.2335740507777032E-2</v>
      </c>
    </row>
    <row r="14" spans="1:6" x14ac:dyDescent="0.3">
      <c r="A14" t="s">
        <v>1033</v>
      </c>
      <c r="B14" s="17">
        <f>CORREL(fact_orders_1000[maintenance_cost_total],fact_orders_1000[delay_minutes])</f>
        <v>0.28833957310006048</v>
      </c>
      <c r="C14" s="17">
        <f t="shared" si="0"/>
        <v>8.313970941552512E-2</v>
      </c>
      <c r="D14" t="str">
        <f t="shared" si="1"/>
        <v>Weak</v>
      </c>
      <c r="E14" t="str">
        <f t="shared" si="2"/>
        <v>Positive ↑</v>
      </c>
      <c r="F14" s="17">
        <f t="shared" si="3"/>
        <v>0.28833957310006048</v>
      </c>
    </row>
    <row r="15" spans="1:6" x14ac:dyDescent="0.3">
      <c r="A15" t="s">
        <v>1034</v>
      </c>
      <c r="B15" s="17">
        <f>CORREL(fact_orders_1000[insurance_risk_score],fact_orders_1000[delay_minutes])</f>
        <v>-2.7179113158358897E-2</v>
      </c>
      <c r="C15" s="17">
        <f t="shared" si="0"/>
        <v>7.3870419207487767E-4</v>
      </c>
      <c r="D15" t="str">
        <f t="shared" si="1"/>
        <v>Weak</v>
      </c>
      <c r="E15" t="str">
        <f t="shared" si="2"/>
        <v>Negative ↓</v>
      </c>
      <c r="F15" s="17">
        <f t="shared" si="3"/>
        <v>2.7179113158358897E-2</v>
      </c>
    </row>
    <row r="17" spans="1:2" ht="15.6" x14ac:dyDescent="0.3">
      <c r="A17" s="14" t="s">
        <v>1035</v>
      </c>
    </row>
    <row r="19" spans="1:2" x14ac:dyDescent="0.3">
      <c r="A19" s="18" t="s">
        <v>1036</v>
      </c>
    </row>
    <row r="20" spans="1:2" x14ac:dyDescent="0.3">
      <c r="A20" t="s">
        <v>1037</v>
      </c>
      <c r="B20" s="17">
        <f>INTERCEPT(fact_orders_1000[delay_minutes],fact_orders_1000[detention_minutes])</f>
        <v>-6.7921931875014963</v>
      </c>
    </row>
    <row r="21" spans="1:2" x14ac:dyDescent="0.3">
      <c r="A21" t="s">
        <v>1038</v>
      </c>
      <c r="B21" s="17">
        <f>SLOPE(fact_orders_1000[delay_minutes],fact_orders_1000[detention_minutes])</f>
        <v>0.79641807508572193</v>
      </c>
    </row>
    <row r="22" spans="1:2" x14ac:dyDescent="0.3">
      <c r="A22" t="s">
        <v>1039</v>
      </c>
      <c r="B22" s="17">
        <f>RSQ(fact_orders_1000[delay_minutes],fact_orders_1000[detention_minutes])</f>
        <v>0.28630299375815527</v>
      </c>
    </row>
    <row r="23" spans="1:2" x14ac:dyDescent="0.3">
      <c r="A23" t="s">
        <v>1040</v>
      </c>
      <c r="B23" s="17">
        <f>STEYX(fact_orders_1000[delay_minutes],fact_orders_1000[detention_minutes])</f>
        <v>67.542835010133189</v>
      </c>
    </row>
    <row r="25" spans="1:2" x14ac:dyDescent="0.3">
      <c r="A25" s="19" t="s">
        <v>1041</v>
      </c>
    </row>
    <row r="26" spans="1:2" x14ac:dyDescent="0.3">
      <c r="A26" t="s">
        <v>1037</v>
      </c>
      <c r="B26" s="17">
        <f>INTERCEPT(fact_orders_1000[delay_minutes],fact_orders_1000[mechanical_flag])</f>
        <v>4.4703517587939503</v>
      </c>
    </row>
    <row r="27" spans="1:2" x14ac:dyDescent="0.3">
      <c r="A27" t="s">
        <v>1038</v>
      </c>
      <c r="B27" s="17">
        <f>SLOPE(fact_orders_1000[delay_minutes],fact_orders_1000[mechanical_flag])</f>
        <v>398.12964824120996</v>
      </c>
    </row>
    <row r="28" spans="1:2" x14ac:dyDescent="0.3">
      <c r="A28" t="s">
        <v>1039</v>
      </c>
      <c r="B28" s="17">
        <f>RSQ(fact_orders_1000[delay_minutes],fact_orders_1000[mechanical_flag])</f>
        <v>0.12361378031620306</v>
      </c>
    </row>
    <row r="29" spans="1:2" x14ac:dyDescent="0.3">
      <c r="A29" t="s">
        <v>1040</v>
      </c>
      <c r="B29" s="17">
        <f>STEYX(fact_orders_1000[delay_minutes],fact_orders_1000[mechanical_flag])</f>
        <v>74.84626244095044</v>
      </c>
    </row>
    <row r="31" spans="1:2" x14ac:dyDescent="0.3">
      <c r="A31" s="20" t="s">
        <v>1042</v>
      </c>
    </row>
    <row r="32" spans="1:2" x14ac:dyDescent="0.3">
      <c r="A32" t="s">
        <v>1037</v>
      </c>
      <c r="B32" s="17">
        <f>INTERCEPT(fact_orders_1000[delay_minutes],fact_orders_1000[weather_severity_index])</f>
        <v>0.27214937152063889</v>
      </c>
    </row>
    <row r="33" spans="1:5" x14ac:dyDescent="0.3">
      <c r="A33" t="s">
        <v>1038</v>
      </c>
      <c r="B33" s="17">
        <f>SLOPE(fact_orders_1000[delay_minutes],fact_orders_1000[weather_severity_index])</f>
        <v>42.799796877450639</v>
      </c>
    </row>
    <row r="34" spans="1:5" x14ac:dyDescent="0.3">
      <c r="A34" t="s">
        <v>1039</v>
      </c>
      <c r="B34" s="17">
        <f>RSQ(fact_orders_1000[delay_minutes],fact_orders_1000[weather_severity_index])</f>
        <v>9.6910351411131204E-2</v>
      </c>
    </row>
    <row r="35" spans="1:5" x14ac:dyDescent="0.3">
      <c r="A35" t="s">
        <v>1040</v>
      </c>
      <c r="B35" s="17">
        <f>STEYX(fact_orders_1000[delay_minutes],fact_orders_1000[weather_severity_index])</f>
        <v>75.977986519535946</v>
      </c>
    </row>
    <row r="37" spans="1:5" ht="15.6" x14ac:dyDescent="0.3">
      <c r="A37" s="14" t="s">
        <v>1043</v>
      </c>
    </row>
    <row r="39" spans="1:5" x14ac:dyDescent="0.3">
      <c r="A39" s="16" t="s">
        <v>1019</v>
      </c>
      <c r="B39" s="16" t="s">
        <v>1044</v>
      </c>
      <c r="C39" s="16" t="s">
        <v>1045</v>
      </c>
      <c r="D39" s="16" t="s">
        <v>1046</v>
      </c>
      <c r="E39" s="16" t="s">
        <v>1047</v>
      </c>
    </row>
    <row r="40" spans="1:5" x14ac:dyDescent="0.3">
      <c r="A40" t="s">
        <v>1025</v>
      </c>
      <c r="B40" s="21">
        <f>AVERAGEIF(fact_orders_1000[delay_minutes],"&gt;300",fact_orders_1000[distance_miles])</f>
        <v>349.25</v>
      </c>
      <c r="C40" s="21">
        <f>AVERAGEIF(fact_orders_1000[delay_minutes],"&lt;=300",fact_orders_1000[distance_miles])</f>
        <v>288.34109311740889</v>
      </c>
      <c r="D40" s="21">
        <f t="shared" ref="D40:D46" si="4">B40-C40</f>
        <v>60.908906882591111</v>
      </c>
      <c r="E40" s="13">
        <f t="shared" ref="E40:E46" si="5">IF(C40=0,0,(B40-C40)/C40)</f>
        <v>0.21123907877324224</v>
      </c>
    </row>
    <row r="41" spans="1:5" x14ac:dyDescent="0.3">
      <c r="A41" t="s">
        <v>1026</v>
      </c>
      <c r="B41" s="21">
        <f>AVERAGEIF(fact_orders_1000[delay_minutes],"&gt;300",fact_orders_1000[traffic_index])</f>
        <v>48.45000000000001</v>
      </c>
      <c r="C41" s="21">
        <f>AVERAGEIF(fact_orders_1000[delay_minutes],"&lt;=300",fact_orders_1000[traffic_index])</f>
        <v>50.574190283400803</v>
      </c>
      <c r="D41" s="21">
        <f t="shared" si="4"/>
        <v>-2.1241902834007931</v>
      </c>
      <c r="E41" s="13">
        <f t="shared" si="5"/>
        <v>-4.2001468960699971E-2</v>
      </c>
    </row>
    <row r="42" spans="1:5" x14ac:dyDescent="0.3">
      <c r="A42" t="s">
        <v>1027</v>
      </c>
      <c r="B42" s="21">
        <f>AVERAGEIF(fact_orders_1000[delay_minutes],"&gt;300",fact_orders_1000[weather_severity_index])</f>
        <v>1.6583333333333334</v>
      </c>
      <c r="C42" s="21">
        <f>AVERAGEIF(fact_orders_1000[delay_minutes],"&lt;=300",fact_orders_1000[weather_severity_index])</f>
        <v>0.12621457489878538</v>
      </c>
      <c r="D42" s="21">
        <f t="shared" si="4"/>
        <v>1.5321187584345481</v>
      </c>
      <c r="E42" s="13">
        <f t="shared" si="5"/>
        <v>12.139000267308212</v>
      </c>
    </row>
    <row r="43" spans="1:5" x14ac:dyDescent="0.3">
      <c r="A43" t="s">
        <v>1028</v>
      </c>
      <c r="B43" s="21">
        <f>AVERAGEIF(fact_orders_1000[delay_minutes],"&gt;300",fact_orders_1000[detention_minutes])</f>
        <v>46.083333333333336</v>
      </c>
      <c r="C43" s="21">
        <f>AVERAGEIF(fact_orders_1000[delay_minutes],"&lt;=300",fact_orders_1000[detention_minutes])</f>
        <v>16.2834008097166</v>
      </c>
      <c r="D43" s="21">
        <f t="shared" si="4"/>
        <v>29.799932523616736</v>
      </c>
      <c r="E43" s="13">
        <f t="shared" si="5"/>
        <v>1.8300803911818333</v>
      </c>
    </row>
    <row r="44" spans="1:5" x14ac:dyDescent="0.3">
      <c r="A44" t="s">
        <v>1029</v>
      </c>
      <c r="B44" s="21">
        <f>AVERAGEIF(fact_orders_1000[delay_minutes],"&gt;300",fact_orders_1000[mechanical_flag])</f>
        <v>0.25</v>
      </c>
      <c r="C44" s="21">
        <f>AVERAGEIF(fact_orders_1000[delay_minutes],"&lt;=300",fact_orders_1000[mechanical_flag])</f>
        <v>2.0242914979757085E-3</v>
      </c>
      <c r="D44" s="21">
        <f t="shared" si="4"/>
        <v>0.2479757085020243</v>
      </c>
      <c r="E44" s="13">
        <f t="shared" si="5"/>
        <v>122.5</v>
      </c>
    </row>
    <row r="45" spans="1:5" x14ac:dyDescent="0.3">
      <c r="A45" t="s">
        <v>1033</v>
      </c>
      <c r="B45" s="21">
        <f>AVERAGEIF(fact_orders_1000[delay_minutes],"&gt;300",fact_orders_1000[maintenance_cost_total])</f>
        <v>221.38416666666663</v>
      </c>
      <c r="C45" s="21">
        <f>AVERAGEIF(fact_orders_1000[delay_minutes],"&lt;=300",fact_orders_1000[maintenance_cost_total])</f>
        <v>55.728329959514213</v>
      </c>
      <c r="D45" s="21">
        <f t="shared" si="4"/>
        <v>165.65583670715242</v>
      </c>
      <c r="E45" s="13">
        <f t="shared" si="5"/>
        <v>2.9725605778514961</v>
      </c>
    </row>
    <row r="46" spans="1:5" x14ac:dyDescent="0.3">
      <c r="A46" t="s">
        <v>1048</v>
      </c>
      <c r="B46" s="21">
        <f>AVERAGEIF(fact_orders_1000[delay_minutes],"&gt;300",fact_orders_1000[insurance_risk_score])</f>
        <v>20.566666666666663</v>
      </c>
      <c r="C46" s="21">
        <f>AVERAGEIF(fact_orders_1000[delay_minutes],"&lt;=300",fact_orders_1000[insurance_risk_score])</f>
        <v>18.635222672064724</v>
      </c>
      <c r="D46" s="21">
        <f t="shared" si="4"/>
        <v>1.9314439946019384</v>
      </c>
      <c r="E46" s="13">
        <f t="shared" si="5"/>
        <v>0.10364480363828893</v>
      </c>
    </row>
    <row r="48" spans="1:5" ht="15.6" x14ac:dyDescent="0.3">
      <c r="A48" s="14" t="s">
        <v>1049</v>
      </c>
    </row>
    <row r="50" spans="1:1" x14ac:dyDescent="0.3">
      <c r="A50" t="s">
        <v>1050</v>
      </c>
    </row>
    <row r="51" spans="1:1" x14ac:dyDescent="0.3">
      <c r="A51" t="s">
        <v>1051</v>
      </c>
    </row>
    <row r="52" spans="1:1" x14ac:dyDescent="0.3">
      <c r="A52" t="s">
        <v>1052</v>
      </c>
    </row>
    <row r="53" spans="1:1" x14ac:dyDescent="0.3">
      <c r="A53" t="s">
        <v>1053</v>
      </c>
    </row>
    <row r="55" spans="1:1" x14ac:dyDescent="0.3">
      <c r="A55" t="s">
        <v>1054</v>
      </c>
    </row>
    <row r="56" spans="1:1" x14ac:dyDescent="0.3">
      <c r="A56" t="s">
        <v>1055</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7AF9-EBAC-4BFF-BCDF-296EC5B2291D}">
  <dimension ref="A1:H59"/>
  <sheetViews>
    <sheetView topLeftCell="A40" workbookViewId="0">
      <selection activeCell="A51" sqref="A51"/>
    </sheetView>
  </sheetViews>
  <sheetFormatPr defaultRowHeight="14.4" x14ac:dyDescent="0.3"/>
  <cols>
    <col min="1" max="1" width="37" customWidth="1"/>
    <col min="2" max="2" width="22.21875" customWidth="1"/>
    <col min="3" max="3" width="27.77734375" customWidth="1"/>
    <col min="4" max="5" width="18.5546875" customWidth="1"/>
    <col min="6" max="6" width="27.77734375" customWidth="1"/>
  </cols>
  <sheetData>
    <row r="1" spans="1:8" ht="18" x14ac:dyDescent="0.35">
      <c r="A1" s="56" t="s">
        <v>1056</v>
      </c>
      <c r="B1" s="55"/>
      <c r="C1" s="55"/>
      <c r="D1" s="55"/>
      <c r="E1" s="55"/>
      <c r="F1" s="55"/>
      <c r="G1" s="55"/>
      <c r="H1" s="55"/>
    </row>
    <row r="3" spans="1:8" ht="15.6" x14ac:dyDescent="0.3">
      <c r="A3" s="14" t="s">
        <v>1057</v>
      </c>
    </row>
    <row r="5" spans="1:8" x14ac:dyDescent="0.3">
      <c r="A5" s="22" t="s">
        <v>1019</v>
      </c>
      <c r="B5" s="22" t="s">
        <v>1020</v>
      </c>
      <c r="C5" s="22" t="s">
        <v>1058</v>
      </c>
      <c r="D5" s="22" t="s">
        <v>1024</v>
      </c>
      <c r="E5" s="22" t="s">
        <v>1059</v>
      </c>
      <c r="F5" s="22" t="s">
        <v>1060</v>
      </c>
    </row>
    <row r="6" spans="1:8" x14ac:dyDescent="0.3">
      <c r="A6" t="s">
        <v>1061</v>
      </c>
      <c r="B6" s="17">
        <f>CORREL(fact_orders_1000!AU2:AU1002,fact_orders_1000!AV2:AV1002)</f>
        <v>0.7299577172613646</v>
      </c>
      <c r="C6" s="5">
        <f t="shared" ref="C6:C23" si="0">B6^2</f>
        <v>0.53283826898942233</v>
      </c>
      <c r="D6" t="str">
        <f t="shared" ref="D6:D23" si="1">IF(ABS(B6)&gt;=0.7,"🔴 STRONG",IF(ABS(B6)&gt;=0.3,"🟠 Moderate","🟢 Weak"))</f>
        <v>🔴 STRONG</v>
      </c>
      <c r="E6" t="str">
        <f t="shared" ref="E6:E23" si="2">IF(ABS(B6)&gt;=0.7,"✅ YES","❌ No")</f>
        <v>✅ YES</v>
      </c>
      <c r="F6" t="str">
        <f t="shared" ref="F6:F23" si="3">IF(B6&gt;0,"↑ Higher = Higher RPM","↓ Higher = Lower RPM")</f>
        <v>↑ Higher = Higher RPM</v>
      </c>
    </row>
    <row r="7" spans="1:8" x14ac:dyDescent="0.3">
      <c r="A7" t="s">
        <v>1062</v>
      </c>
      <c r="B7" s="17">
        <f>CORREL(fact_orders_1000!AU2:AU1002,fact_orders_1000!AW2:AW1002)</f>
        <v>0.11422493590850194</v>
      </c>
      <c r="C7" s="5">
        <f t="shared" si="0"/>
        <v>1.3047335983301376E-2</v>
      </c>
      <c r="D7" t="str">
        <f t="shared" si="1"/>
        <v>🟢 Weak</v>
      </c>
      <c r="E7" t="str">
        <f t="shared" si="2"/>
        <v>❌ No</v>
      </c>
      <c r="F7" t="str">
        <f t="shared" si="3"/>
        <v>↑ Higher = Higher RPM</v>
      </c>
    </row>
    <row r="8" spans="1:8" x14ac:dyDescent="0.3">
      <c r="A8" t="s">
        <v>1063</v>
      </c>
      <c r="B8" s="17">
        <f>CORREL(fact_orders_1000!AU2:AU1002,fact_orders_1000!AX2:AX1002)</f>
        <v>2.5345029318599336E-2</v>
      </c>
      <c r="C8" s="5">
        <f t="shared" si="0"/>
        <v>6.4237051116065988E-4</v>
      </c>
      <c r="D8" t="str">
        <f t="shared" si="1"/>
        <v>🟢 Weak</v>
      </c>
      <c r="E8" t="str">
        <f t="shared" si="2"/>
        <v>❌ No</v>
      </c>
      <c r="F8" t="str">
        <f t="shared" si="3"/>
        <v>↑ Higher = Higher RPM</v>
      </c>
    </row>
    <row r="9" spans="1:8" x14ac:dyDescent="0.3">
      <c r="A9" t="s">
        <v>1064</v>
      </c>
      <c r="B9" s="17">
        <f>CORREL(fact_orders_1000!AU2:AU1002,fact_orders_1000!AY2:AY1002)</f>
        <v>0.11467579882333834</v>
      </c>
      <c r="C9" s="5">
        <f t="shared" si="0"/>
        <v>1.3150538835770767E-2</v>
      </c>
      <c r="D9" t="str">
        <f t="shared" si="1"/>
        <v>🟢 Weak</v>
      </c>
      <c r="E9" t="str">
        <f t="shared" si="2"/>
        <v>❌ No</v>
      </c>
      <c r="F9" t="str">
        <f t="shared" si="3"/>
        <v>↑ Higher = Higher RPM</v>
      </c>
    </row>
    <row r="10" spans="1:8" x14ac:dyDescent="0.3">
      <c r="A10" t="s">
        <v>1025</v>
      </c>
      <c r="B10" s="17">
        <f>CORREL(fact_orders_1000!AU2:AU1002,fact_orders_1000!U2:U1002)</f>
        <v>0.11326435965588616</v>
      </c>
      <c r="C10" s="5">
        <f t="shared" si="0"/>
        <v>1.2828815168257932E-2</v>
      </c>
      <c r="D10" t="str">
        <f t="shared" si="1"/>
        <v>🟢 Weak</v>
      </c>
      <c r="E10" t="str">
        <f t="shared" si="2"/>
        <v>❌ No</v>
      </c>
      <c r="F10" t="str">
        <f t="shared" si="3"/>
        <v>↑ Higher = Higher RPM</v>
      </c>
    </row>
    <row r="11" spans="1:8" x14ac:dyDescent="0.3">
      <c r="A11" t="s">
        <v>1032</v>
      </c>
      <c r="B11" s="17">
        <f>CORREL(fact_orders_1000!AU2:AU1002,fact_orders_1000!Y2:Y1002)</f>
        <v>0.11596770509625504</v>
      </c>
      <c r="C11" s="5">
        <f t="shared" si="0"/>
        <v>1.3448508625291976E-2</v>
      </c>
      <c r="D11" t="str">
        <f t="shared" si="1"/>
        <v>🟢 Weak</v>
      </c>
      <c r="E11" t="str">
        <f t="shared" si="2"/>
        <v>❌ No</v>
      </c>
      <c r="F11" t="str">
        <f t="shared" si="3"/>
        <v>↑ Higher = Higher RPM</v>
      </c>
    </row>
    <row r="12" spans="1:8" x14ac:dyDescent="0.3">
      <c r="A12" t="s">
        <v>1065</v>
      </c>
      <c r="B12" s="17">
        <f>CORREL(fact_orders_1000!AU2:AU1002,fact_orders_1000!X2:X1002)</f>
        <v>0.11402895655546674</v>
      </c>
      <c r="C12" s="5">
        <f t="shared" si="0"/>
        <v>1.3002602933128523E-2</v>
      </c>
      <c r="D12" t="str">
        <f t="shared" si="1"/>
        <v>🟢 Weak</v>
      </c>
      <c r="E12" t="str">
        <f t="shared" si="2"/>
        <v>❌ No</v>
      </c>
      <c r="F12" t="str">
        <f t="shared" si="3"/>
        <v>↑ Higher = Higher RPM</v>
      </c>
    </row>
    <row r="13" spans="1:8" x14ac:dyDescent="0.3">
      <c r="A13" t="s">
        <v>1066</v>
      </c>
      <c r="B13" s="17">
        <f>CORREL(fact_orders_1000!AU2:AU1002,fact_orders_1000!V2:V1002)</f>
        <v>7.0521686294244962E-2</v>
      </c>
      <c r="C13" s="5">
        <f t="shared" si="0"/>
        <v>4.9733082377838977E-3</v>
      </c>
      <c r="D13" t="str">
        <f t="shared" si="1"/>
        <v>🟢 Weak</v>
      </c>
      <c r="E13" t="str">
        <f t="shared" si="2"/>
        <v>❌ No</v>
      </c>
      <c r="F13" t="str">
        <f t="shared" si="3"/>
        <v>↑ Higher = Higher RPM</v>
      </c>
    </row>
    <row r="14" spans="1:8" x14ac:dyDescent="0.3">
      <c r="A14" t="s">
        <v>1067</v>
      </c>
      <c r="B14" s="17">
        <f>CORREL(fact_orders_1000!AU2:AU1002,fact_orders_1000!W2:W1002)</f>
        <v>-2.4814486723348295E-2</v>
      </c>
      <c r="C14" s="5">
        <f t="shared" si="0"/>
        <v>6.1575875134322873E-4</v>
      </c>
      <c r="D14" t="str">
        <f t="shared" si="1"/>
        <v>🟢 Weak</v>
      </c>
      <c r="E14" t="str">
        <f t="shared" si="2"/>
        <v>❌ No</v>
      </c>
      <c r="F14" t="str">
        <f t="shared" si="3"/>
        <v>↓ Higher = Lower RPM</v>
      </c>
    </row>
    <row r="15" spans="1:8" x14ac:dyDescent="0.3">
      <c r="A15" t="s">
        <v>1068</v>
      </c>
      <c r="B15" s="17">
        <f>CORREL(fact_orders_1000!AU2:AU1002,fact_orders_1000!AL2:AL1002)</f>
        <v>-2.3009144913546793E-2</v>
      </c>
      <c r="C15" s="5">
        <f t="shared" si="0"/>
        <v>5.2942074965259625E-4</v>
      </c>
      <c r="D15" t="str">
        <f t="shared" si="1"/>
        <v>🟢 Weak</v>
      </c>
      <c r="E15" t="str">
        <f t="shared" si="2"/>
        <v>❌ No</v>
      </c>
      <c r="F15" t="str">
        <f t="shared" si="3"/>
        <v>↓ Higher = Lower RPM</v>
      </c>
    </row>
    <row r="16" spans="1:8" x14ac:dyDescent="0.3">
      <c r="A16" t="s">
        <v>1069</v>
      </c>
      <c r="B16" s="17">
        <f>CORREL(fact_orders_1000!AU2:AU1002,fact_orders_1000!AE2:AE1002)</f>
        <v>-3.6328485870329164E-3</v>
      </c>
      <c r="C16" s="5">
        <f t="shared" si="0"/>
        <v>1.3197588856307056E-5</v>
      </c>
      <c r="D16" t="str">
        <f t="shared" si="1"/>
        <v>🟢 Weak</v>
      </c>
      <c r="E16" t="str">
        <f t="shared" si="2"/>
        <v>❌ No</v>
      </c>
      <c r="F16" t="str">
        <f t="shared" si="3"/>
        <v>↓ Higher = Lower RPM</v>
      </c>
    </row>
    <row r="17" spans="1:6" x14ac:dyDescent="0.3">
      <c r="A17" t="s">
        <v>1028</v>
      </c>
      <c r="B17" s="17">
        <f>CORREL(fact_orders_1000!AU2:AU1002,fact_orders_1000!AF2:AF1002)</f>
        <v>-1.9280616984123051E-2</v>
      </c>
      <c r="C17" s="5">
        <f t="shared" si="0"/>
        <v>3.7174219128845425E-4</v>
      </c>
      <c r="D17" t="str">
        <f t="shared" si="1"/>
        <v>🟢 Weak</v>
      </c>
      <c r="E17" t="str">
        <f t="shared" si="2"/>
        <v>❌ No</v>
      </c>
      <c r="F17" t="str">
        <f t="shared" si="3"/>
        <v>↓ Higher = Lower RPM</v>
      </c>
    </row>
    <row r="18" spans="1:6" x14ac:dyDescent="0.3">
      <c r="A18" t="s">
        <v>1027</v>
      </c>
      <c r="B18" s="17">
        <f>CORREL(fact_orders_1000!AU2:AU1002,fact_orders_1000!AG2:AG1002)</f>
        <v>4.2644050533811866E-2</v>
      </c>
      <c r="C18" s="5">
        <f t="shared" si="0"/>
        <v>1.8185150459303001E-3</v>
      </c>
      <c r="D18" t="str">
        <f t="shared" si="1"/>
        <v>🟢 Weak</v>
      </c>
      <c r="E18" t="str">
        <f t="shared" si="2"/>
        <v>❌ No</v>
      </c>
      <c r="F18" t="str">
        <f t="shared" si="3"/>
        <v>↑ Higher = Higher RPM</v>
      </c>
    </row>
    <row r="19" spans="1:6" x14ac:dyDescent="0.3">
      <c r="A19" t="s">
        <v>1026</v>
      </c>
      <c r="B19" s="17">
        <f>CORREL(fact_orders_1000!AU2:AU1002,fact_orders_1000!AH2:AH1002)</f>
        <v>2.528443140725033E-2</v>
      </c>
      <c r="C19" s="5">
        <f t="shared" si="0"/>
        <v>6.3930247158794687E-4</v>
      </c>
      <c r="D19" t="str">
        <f t="shared" si="1"/>
        <v>🟢 Weak</v>
      </c>
      <c r="E19" t="str">
        <f t="shared" si="2"/>
        <v>❌ No</v>
      </c>
      <c r="F19" t="str">
        <f t="shared" si="3"/>
        <v>↑ Higher = Higher RPM</v>
      </c>
    </row>
    <row r="20" spans="1:6" x14ac:dyDescent="0.3">
      <c r="A20" t="s">
        <v>1030</v>
      </c>
      <c r="B20" s="17">
        <f>CORREL(fact_orders_1000!AU2:AU1002,fact_orders_1000!AJ2:AJ1002)</f>
        <v>1.2910874043581173E-2</v>
      </c>
      <c r="C20" s="5">
        <f t="shared" si="0"/>
        <v>1.6669066856921807E-4</v>
      </c>
      <c r="D20" t="str">
        <f t="shared" si="1"/>
        <v>🟢 Weak</v>
      </c>
      <c r="E20" t="str">
        <f t="shared" si="2"/>
        <v>❌ No</v>
      </c>
      <c r="F20" t="str">
        <f t="shared" si="3"/>
        <v>↑ Higher = Higher RPM</v>
      </c>
    </row>
    <row r="21" spans="1:6" x14ac:dyDescent="0.3">
      <c r="A21" t="s">
        <v>1031</v>
      </c>
      <c r="B21" s="17">
        <f>CORREL(fact_orders_1000!AU2:AU1002,fact_orders_1000!AK2:AK1002)</f>
        <v>6.3610922783418386E-2</v>
      </c>
      <c r="C21" s="5">
        <f t="shared" si="0"/>
        <v>4.0463494973580162E-3</v>
      </c>
      <c r="D21" t="str">
        <f t="shared" si="1"/>
        <v>🟢 Weak</v>
      </c>
      <c r="E21" t="str">
        <f t="shared" si="2"/>
        <v>❌ No</v>
      </c>
      <c r="F21" t="str">
        <f t="shared" si="3"/>
        <v>↑ Higher = Higher RPM</v>
      </c>
    </row>
    <row r="22" spans="1:6" x14ac:dyDescent="0.3">
      <c r="A22" t="s">
        <v>1034</v>
      </c>
      <c r="B22" s="17">
        <f>CORREL(fact_orders_1000!AU2:AU1002,fact_orders_1000!AZ2:AZ1002)</f>
        <v>4.3186845388159922E-2</v>
      </c>
      <c r="C22" s="5">
        <f t="shared" si="0"/>
        <v>1.8651036145808299E-3</v>
      </c>
      <c r="D22" t="str">
        <f t="shared" si="1"/>
        <v>🟢 Weak</v>
      </c>
      <c r="E22" t="str">
        <f t="shared" si="2"/>
        <v>❌ No</v>
      </c>
      <c r="F22" t="str">
        <f t="shared" si="3"/>
        <v>↑ Higher = Higher RPM</v>
      </c>
    </row>
    <row r="23" spans="1:6" x14ac:dyDescent="0.3">
      <c r="A23" t="s">
        <v>1070</v>
      </c>
      <c r="B23" s="17">
        <f>CORREL(fact_orders_1000!AU2:AU1002,fact_orders_1000!BA2:BA1002)</f>
        <v>-1.1110011569399059E-2</v>
      </c>
      <c r="C23" s="5">
        <f t="shared" si="0"/>
        <v>1.2343235707218094E-4</v>
      </c>
      <c r="D23" t="str">
        <f t="shared" si="1"/>
        <v>🟢 Weak</v>
      </c>
      <c r="E23" t="str">
        <f t="shared" si="2"/>
        <v>❌ No</v>
      </c>
      <c r="F23" t="str">
        <f t="shared" si="3"/>
        <v>↓ Higher = Lower RPM</v>
      </c>
    </row>
    <row r="26" spans="1:6" ht="15.6" x14ac:dyDescent="0.3">
      <c r="A26" s="23" t="s">
        <v>1071</v>
      </c>
    </row>
    <row r="28" spans="1:6" x14ac:dyDescent="0.3">
      <c r="A28" t="s">
        <v>1072</v>
      </c>
    </row>
    <row r="30" spans="1:6" x14ac:dyDescent="0.3">
      <c r="A30" t="s">
        <v>1073</v>
      </c>
      <c r="B30">
        <f>COUNTIF(E6:E23,"✅ YES")</f>
        <v>1</v>
      </c>
    </row>
    <row r="33" spans="1:2" ht="15.6" x14ac:dyDescent="0.3">
      <c r="A33" s="24" t="s">
        <v>1074</v>
      </c>
    </row>
    <row r="35" spans="1:2" x14ac:dyDescent="0.3">
      <c r="A35" s="12" t="s">
        <v>1075</v>
      </c>
    </row>
    <row r="36" spans="1:2" x14ac:dyDescent="0.3">
      <c r="A36" t="s">
        <v>1037</v>
      </c>
      <c r="B36" s="17">
        <f>INTERCEPT(fact_orders_1000!AU2:AU1002,fact_orders_1000!AV2:AV1002)</f>
        <v>1.072774195727721</v>
      </c>
    </row>
    <row r="37" spans="1:2" x14ac:dyDescent="0.3">
      <c r="A37" t="s">
        <v>1038</v>
      </c>
      <c r="B37" s="17">
        <f>SLOPE(fact_orders_1000!AU2:AU1002,fact_orders_1000!AV2:AV1002)</f>
        <v>0.75913319879395558</v>
      </c>
    </row>
    <row r="38" spans="1:2" x14ac:dyDescent="0.3">
      <c r="A38" t="s">
        <v>1039</v>
      </c>
      <c r="B38" s="5">
        <f>RSQ(fact_orders_1000!AU2:AU1002,fact_orders_1000!AV2:AV1002)</f>
        <v>0.53283826898942233</v>
      </c>
    </row>
    <row r="39" spans="1:2" x14ac:dyDescent="0.3">
      <c r="A39" t="s">
        <v>1076</v>
      </c>
      <c r="B39" t="str">
        <f>"RPM = "&amp;ROUND(B36,2)&amp;" + "&amp;ROUND(B37,2)&amp;" × Variable_CPM"</f>
        <v>RPM = 1.07 + 0.76 × Variable_CPM</v>
      </c>
    </row>
    <row r="42" spans="1:2" x14ac:dyDescent="0.3">
      <c r="A42" s="12" t="s">
        <v>1077</v>
      </c>
    </row>
    <row r="43" spans="1:2" x14ac:dyDescent="0.3">
      <c r="A43" t="s">
        <v>1037</v>
      </c>
      <c r="B43" s="17">
        <f>INTERCEPT(fact_orders_1000!AU2:AU1002,fact_orders_1000!AW2:AW1002)</f>
        <v>2.2146173055575846</v>
      </c>
    </row>
    <row r="44" spans="1:2" x14ac:dyDescent="0.3">
      <c r="A44" t="s">
        <v>1038</v>
      </c>
      <c r="B44" s="17">
        <f>SLOPE(fact_orders_1000!AU2:AU1002,fact_orders_1000!AW2:AW1002)</f>
        <v>1.5124239558412486E-4</v>
      </c>
    </row>
    <row r="45" spans="1:2" x14ac:dyDescent="0.3">
      <c r="A45" t="s">
        <v>1039</v>
      </c>
      <c r="B45" s="5">
        <f>RSQ(fact_orders_1000!AU2:AU1002,fact_orders_1000!AW2:AW1002)</f>
        <v>1.304733598330138E-2</v>
      </c>
    </row>
    <row r="46" spans="1:2" x14ac:dyDescent="0.3">
      <c r="A46" t="s">
        <v>1076</v>
      </c>
      <c r="B46" t="str">
        <f>"RPM = "&amp;ROUND(B43,2)&amp;" + "&amp;ROUND(B44,4)&amp;" × Fuel_Cost"</f>
        <v>RPM = 2.21 + 0.0002 × Fuel_Cost</v>
      </c>
    </row>
    <row r="49" spans="1:4" ht="15.6" x14ac:dyDescent="0.3">
      <c r="A49" s="25" t="s">
        <v>1078</v>
      </c>
    </row>
    <row r="51" spans="1:4" x14ac:dyDescent="0.3">
      <c r="A51" s="22" t="s">
        <v>947</v>
      </c>
      <c r="B51" s="22" t="s">
        <v>1079</v>
      </c>
      <c r="C51" s="22" t="s">
        <v>948</v>
      </c>
      <c r="D51" s="22" t="s">
        <v>1080</v>
      </c>
    </row>
    <row r="52" spans="1:4" x14ac:dyDescent="0.3">
      <c r="A52" t="s">
        <v>1081</v>
      </c>
      <c r="B52" s="26">
        <f>AVERAGE(fact_orders_1000!AU2:AU1002)</f>
        <v>2.2537199999999942</v>
      </c>
      <c r="C52">
        <f>COUNT(fact_orders_1000!AU2:AU1002)</f>
        <v>1000</v>
      </c>
      <c r="D52" t="s">
        <v>1082</v>
      </c>
    </row>
    <row r="54" spans="1:4" x14ac:dyDescent="0.3">
      <c r="A54" s="12" t="s">
        <v>1083</v>
      </c>
    </row>
    <row r="55" spans="1:4" x14ac:dyDescent="0.3">
      <c r="A55" t="s">
        <v>63</v>
      </c>
      <c r="B55" s="26">
        <f>AVERAGEIF(fact_orders_1000!Z2:Z1002,"Dry Van",fact_orders_1000!AU2:AU1002)</f>
        <v>2.1807172131147543</v>
      </c>
      <c r="C55">
        <f>COUNTIF(fact_orders_1000!Z2:Z1002,"Dry Van")</f>
        <v>488</v>
      </c>
      <c r="D55" s="27">
        <f>B55-B52</f>
        <v>-7.3002786885239868E-2</v>
      </c>
    </row>
    <row r="56" spans="1:4" x14ac:dyDescent="0.3">
      <c r="A56" t="s">
        <v>112</v>
      </c>
      <c r="B56" s="26">
        <f>AVERAGEIF(fact_orders_1000!Z2:Z1002,"Flatbed",fact_orders_1000!AU2:AU1002)</f>
        <v>2.3125196850393714</v>
      </c>
      <c r="C56">
        <f>COUNTIF(fact_orders_1000!Z2:Z1002,"Flatbed")</f>
        <v>127</v>
      </c>
      <c r="D56" s="27">
        <f>B56-B52</f>
        <v>5.879968503937727E-2</v>
      </c>
    </row>
    <row r="57" spans="1:4" x14ac:dyDescent="0.3">
      <c r="A57" t="s">
        <v>80</v>
      </c>
      <c r="B57" s="26">
        <f>AVERAGEIF(fact_orders_1000!Z2:Z1002,"Intermodal",fact_orders_1000!AU2:AU1002)</f>
        <v>2.0888999999999998</v>
      </c>
      <c r="C57">
        <f>COUNTIF(fact_orders_1000!Z2:Z1002,"Intermodal")</f>
        <v>100</v>
      </c>
      <c r="D57" s="27">
        <f>B57-B52</f>
        <v>-0.16481999999999442</v>
      </c>
    </row>
    <row r="58" spans="1:4" x14ac:dyDescent="0.3">
      <c r="A58" t="s">
        <v>2</v>
      </c>
      <c r="B58" s="26">
        <f>AVERAGEIF(fact_orders_1000!Z2:Z1002,"Reefer",fact_orders_1000!AU2:AU1002)</f>
        <v>2.3758723404255311</v>
      </c>
      <c r="C58">
        <f>COUNTIF(fact_orders_1000!Z2:Z1002,"Reefer")</f>
        <v>235</v>
      </c>
      <c r="D58" s="27">
        <f>B58-B52</f>
        <v>0.12215234042553691</v>
      </c>
    </row>
    <row r="59" spans="1:4" x14ac:dyDescent="0.3">
      <c r="A59" t="s">
        <v>215</v>
      </c>
      <c r="B59" s="26">
        <f>AVERAGEIF(fact_orders_1000!Z2:Z1002,"Tanker",fact_orders_1000!AU2:AU1002)</f>
        <v>2.5724</v>
      </c>
      <c r="C59">
        <f>COUNTIF(fact_orders_1000!Z2:Z1002,"Tanker")</f>
        <v>50</v>
      </c>
      <c r="D59" s="27">
        <f>B59-B52</f>
        <v>0.31868000000000585</v>
      </c>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029F-FE79-42F2-9BD1-D31F7E130544}">
  <dimension ref="A1:F114"/>
  <sheetViews>
    <sheetView topLeftCell="A20" workbookViewId="0">
      <selection activeCell="C5" sqref="C5"/>
    </sheetView>
  </sheetViews>
  <sheetFormatPr defaultRowHeight="14.4" x14ac:dyDescent="0.3"/>
  <cols>
    <col min="1" max="1" width="75.6640625" customWidth="1"/>
    <col min="2" max="2" width="13.33203125" customWidth="1"/>
    <col min="3" max="3" width="11.77734375" customWidth="1"/>
    <col min="4" max="4" width="19.77734375" customWidth="1"/>
    <col min="5" max="5" width="13.33203125" customWidth="1"/>
  </cols>
  <sheetData>
    <row r="1" spans="1:4" ht="21" x14ac:dyDescent="0.4">
      <c r="A1" s="28" t="s">
        <v>1084</v>
      </c>
    </row>
    <row r="3" spans="1:4" x14ac:dyDescent="0.3">
      <c r="A3" s="29" t="s">
        <v>1085</v>
      </c>
    </row>
    <row r="5" spans="1:4" x14ac:dyDescent="0.3">
      <c r="A5" s="30" t="s">
        <v>938</v>
      </c>
      <c r="B5" s="30" t="s">
        <v>939</v>
      </c>
      <c r="C5" s="30" t="s">
        <v>1086</v>
      </c>
      <c r="D5" s="30" t="s">
        <v>1022</v>
      </c>
    </row>
    <row r="6" spans="1:4" x14ac:dyDescent="0.3">
      <c r="A6" t="s">
        <v>1087</v>
      </c>
      <c r="B6">
        <f>SUM(fact_orders_1000[fuel_cost_total])</f>
        <v>258543.20999999993</v>
      </c>
      <c r="C6" t="s">
        <v>1088</v>
      </c>
      <c r="D6" t="s">
        <v>1089</v>
      </c>
    </row>
    <row r="7" spans="1:4" x14ac:dyDescent="0.3">
      <c r="A7" t="s">
        <v>1090</v>
      </c>
      <c r="B7">
        <f>SUM(fact_orders_1000[maintenance_cost_total])</f>
        <v>57716.200000000019</v>
      </c>
      <c r="C7" t="s">
        <v>1088</v>
      </c>
      <c r="D7" t="s">
        <v>1091</v>
      </c>
    </row>
    <row r="8" spans="1:4" x14ac:dyDescent="0.3">
      <c r="A8" t="s">
        <v>1092</v>
      </c>
      <c r="B8">
        <f>SUM(fact_orders_1000[driver_pay_total])</f>
        <v>201195.05000000045</v>
      </c>
      <c r="C8" t="s">
        <v>1088</v>
      </c>
      <c r="D8" t="s">
        <v>1093</v>
      </c>
    </row>
    <row r="9" spans="1:4" x14ac:dyDescent="0.3">
      <c r="A9" t="s">
        <v>1094</v>
      </c>
      <c r="B9">
        <f>B6+B7+B8</f>
        <v>517454.46000000043</v>
      </c>
      <c r="C9" t="s">
        <v>1088</v>
      </c>
      <c r="D9" t="s">
        <v>1095</v>
      </c>
    </row>
    <row r="11" spans="1:4" x14ac:dyDescent="0.3">
      <c r="A11" t="s">
        <v>1096</v>
      </c>
      <c r="B11">
        <f>AVERAGE(fact_orders_1000[cost_per_mile])</f>
        <v>2.2537199999999942</v>
      </c>
      <c r="C11" t="s">
        <v>1097</v>
      </c>
      <c r="D11" t="s">
        <v>1098</v>
      </c>
    </row>
    <row r="12" spans="1:4" x14ac:dyDescent="0.3">
      <c r="A12" t="s">
        <v>1099</v>
      </c>
      <c r="B12">
        <f>AVERAGE(fact_orders_1000[variable_cost_per_mile])</f>
        <v>1.5552077001013187</v>
      </c>
      <c r="C12" t="s">
        <v>1097</v>
      </c>
      <c r="D12" t="s">
        <v>1100</v>
      </c>
    </row>
    <row r="13" spans="1:4" x14ac:dyDescent="0.3">
      <c r="A13" t="s">
        <v>1101</v>
      </c>
      <c r="B13">
        <f>AVERAGE(fact_orders_1000[fuel_cost_total])</f>
        <v>258.54320999999993</v>
      </c>
      <c r="C13" t="s">
        <v>1088</v>
      </c>
      <c r="D13" t="s">
        <v>1102</v>
      </c>
    </row>
    <row r="14" spans="1:4" x14ac:dyDescent="0.3">
      <c r="A14" t="s">
        <v>1103</v>
      </c>
      <c r="B14">
        <f>AVERAGE(fact_orders_1000[maintenance_cost_total])</f>
        <v>57.716200000000022</v>
      </c>
      <c r="C14" t="s">
        <v>1088</v>
      </c>
      <c r="D14" t="s">
        <v>1104</v>
      </c>
    </row>
    <row r="15" spans="1:4" x14ac:dyDescent="0.3">
      <c r="A15" t="s">
        <v>1105</v>
      </c>
      <c r="B15">
        <f>AVERAGE(fact_orders_1000[driver_pay_total])</f>
        <v>201.19505000000046</v>
      </c>
      <c r="C15" t="s">
        <v>1088</v>
      </c>
      <c r="D15" t="s">
        <v>1106</v>
      </c>
    </row>
    <row r="17" spans="1:5" x14ac:dyDescent="0.3">
      <c r="A17" t="s">
        <v>1107</v>
      </c>
      <c r="B17">
        <f>SUM(fact_orders_1000[total_miles])</f>
        <v>333651.99999999994</v>
      </c>
      <c r="C17" t="s">
        <v>1108</v>
      </c>
      <c r="D17" t="s">
        <v>1109</v>
      </c>
    </row>
    <row r="18" spans="1:5" x14ac:dyDescent="0.3">
      <c r="A18" t="s">
        <v>1110</v>
      </c>
      <c r="B18">
        <f>SUM(fact_orders_1000[deadhead_miles])</f>
        <v>19208.600000000006</v>
      </c>
      <c r="C18" t="s">
        <v>1108</v>
      </c>
      <c r="D18" t="s">
        <v>1111</v>
      </c>
    </row>
    <row r="19" spans="1:5" x14ac:dyDescent="0.3">
      <c r="A19" t="s">
        <v>1112</v>
      </c>
      <c r="B19">
        <f>B18/B17*100</f>
        <v>5.7570762351192286</v>
      </c>
      <c r="C19" t="s">
        <v>1113</v>
      </c>
      <c r="D19" t="s">
        <v>1114</v>
      </c>
    </row>
    <row r="22" spans="1:5" x14ac:dyDescent="0.3">
      <c r="A22" s="29" t="s">
        <v>1115</v>
      </c>
    </row>
    <row r="24" spans="1:5" x14ac:dyDescent="0.3">
      <c r="A24" s="30" t="s">
        <v>1116</v>
      </c>
      <c r="B24" s="30" t="s">
        <v>1117</v>
      </c>
      <c r="C24" s="30" t="s">
        <v>1020</v>
      </c>
      <c r="D24" s="30" t="s">
        <v>1118</v>
      </c>
      <c r="E24" s="30" t="s">
        <v>1024</v>
      </c>
    </row>
    <row r="25" spans="1:5" x14ac:dyDescent="0.3">
      <c r="A25" t="s">
        <v>1119</v>
      </c>
      <c r="B25" t="s">
        <v>1032</v>
      </c>
      <c r="C25">
        <f>CORREL(fact_orders_1000[fuel_cost_total],fact_orders_1000[total_miles])</f>
        <v>0.97898240964157357</v>
      </c>
      <c r="D25">
        <f t="shared" ref="D25:D38" si="0">C25^2*100</f>
        <v>95.840655838762174</v>
      </c>
      <c r="E25" t="str">
        <f t="shared" ref="E25:E38" si="1">IF(ABS(C25)&gt;0.7,"🔴 STRONG",IF(ABS(C25)&gt;0.3,"🟡 MODERATE","🟢 WEAK"))</f>
        <v>🔴 STRONG</v>
      </c>
    </row>
    <row r="26" spans="1:5" x14ac:dyDescent="0.3">
      <c r="A26" t="s">
        <v>1119</v>
      </c>
      <c r="B26" t="s">
        <v>1025</v>
      </c>
      <c r="C26">
        <f>CORREL(fact_orders_1000[fuel_cost_total],fact_orders_1000[distance_miles])</f>
        <v>0.97469484236506065</v>
      </c>
      <c r="D26">
        <f t="shared" si="0"/>
        <v>95.003003573305051</v>
      </c>
      <c r="E26" t="str">
        <f t="shared" si="1"/>
        <v>🔴 STRONG</v>
      </c>
    </row>
    <row r="27" spans="1:5" x14ac:dyDescent="0.3">
      <c r="A27" t="s">
        <v>1119</v>
      </c>
      <c r="B27" t="s">
        <v>1065</v>
      </c>
      <c r="C27">
        <f>CORREL(fact_orders_1000[fuel_cost_total],fact_orders_1000[loaded_miles])</f>
        <v>0.97538374999247235</v>
      </c>
      <c r="D27">
        <f t="shared" si="0"/>
        <v>95.137345974937787</v>
      </c>
      <c r="E27" t="str">
        <f t="shared" si="1"/>
        <v>🔴 STRONG</v>
      </c>
    </row>
    <row r="28" spans="1:5" x14ac:dyDescent="0.3">
      <c r="A28" t="s">
        <v>1119</v>
      </c>
      <c r="B28" t="s">
        <v>1067</v>
      </c>
      <c r="C28">
        <f>CORREL(fact_orders_1000[fuel_cost_total],fact_orders_1000[deadhead_miles])</f>
        <v>6.9066685833248265E-2</v>
      </c>
      <c r="D28">
        <f t="shared" si="0"/>
        <v>0.47702070919886164</v>
      </c>
      <c r="E28" t="str">
        <f t="shared" si="1"/>
        <v>🟢 WEAK</v>
      </c>
    </row>
    <row r="29" spans="1:5" x14ac:dyDescent="0.3">
      <c r="A29" t="s">
        <v>1120</v>
      </c>
      <c r="B29" t="s">
        <v>1032</v>
      </c>
      <c r="C29">
        <f>CORREL(fact_orders_1000[maintenance_cost_total],fact_orders_1000[total_miles])</f>
        <v>0.4558057802488612</v>
      </c>
      <c r="D29">
        <f t="shared" si="0"/>
        <v>20.775890930827316</v>
      </c>
      <c r="E29" t="str">
        <f t="shared" si="1"/>
        <v>🟡 MODERATE</v>
      </c>
    </row>
    <row r="30" spans="1:5" x14ac:dyDescent="0.3">
      <c r="A30" t="s">
        <v>1120</v>
      </c>
      <c r="B30" t="s">
        <v>1069</v>
      </c>
      <c r="C30">
        <f>CORREL(fact_orders_1000[maintenance_cost_total],fact_orders_1000[delay_minutes])</f>
        <v>0.28833957310006048</v>
      </c>
      <c r="D30">
        <f t="shared" si="0"/>
        <v>8.3139709415525118</v>
      </c>
      <c r="E30" t="str">
        <f t="shared" si="1"/>
        <v>🟢 WEAK</v>
      </c>
    </row>
    <row r="31" spans="1:5" x14ac:dyDescent="0.3">
      <c r="A31" t="s">
        <v>1120</v>
      </c>
      <c r="B31" t="s">
        <v>1029</v>
      </c>
      <c r="C31">
        <f>CORREL(fact_orders_1000[maintenance_cost_total],fact_orders_1000[mechanical_flag])</f>
        <v>0.81199917680569655</v>
      </c>
      <c r="D31">
        <f t="shared" si="0"/>
        <v>65.934266313312889</v>
      </c>
      <c r="E31" t="str">
        <f t="shared" si="1"/>
        <v>🔴 STRONG</v>
      </c>
    </row>
    <row r="32" spans="1:5" x14ac:dyDescent="0.3">
      <c r="A32" t="s">
        <v>1121</v>
      </c>
      <c r="B32" t="s">
        <v>1032</v>
      </c>
      <c r="C32">
        <f>CORREL(fact_orders_1000[driver_pay_total],fact_orders_1000[total_miles])</f>
        <v>0.97806999159229202</v>
      </c>
      <c r="D32">
        <f t="shared" si="0"/>
        <v>95.662090845334617</v>
      </c>
      <c r="E32" t="str">
        <f t="shared" si="1"/>
        <v>🔴 STRONG</v>
      </c>
    </row>
    <row r="33" spans="1:5" x14ac:dyDescent="0.3">
      <c r="A33" t="s">
        <v>1121</v>
      </c>
      <c r="B33" t="s">
        <v>1122</v>
      </c>
      <c r="C33" t="e">
        <f>CORREL(fact_orders_1000[driver_pay_total],fact_orders_1000[delivery_times])</f>
        <v>#DIV/0!</v>
      </c>
      <c r="D33" t="e">
        <f t="shared" si="0"/>
        <v>#DIV/0!</v>
      </c>
      <c r="E33" t="e">
        <f t="shared" si="1"/>
        <v>#DIV/0!</v>
      </c>
    </row>
    <row r="34" spans="1:5" x14ac:dyDescent="0.3">
      <c r="A34" t="s">
        <v>1121</v>
      </c>
      <c r="B34" t="s">
        <v>1123</v>
      </c>
      <c r="C34">
        <f>CORREL(fact_orders_1000[driver_pay_total],fact_orders_1000[detention_minutes])</f>
        <v>-2.4261301684738553E-2</v>
      </c>
      <c r="D34">
        <f t="shared" si="0"/>
        <v>5.8861075943789767E-2</v>
      </c>
      <c r="E34" t="str">
        <f t="shared" si="1"/>
        <v>🟢 WEAK</v>
      </c>
    </row>
    <row r="35" spans="1:5" x14ac:dyDescent="0.3">
      <c r="A35" t="s">
        <v>1124</v>
      </c>
      <c r="B35" t="s">
        <v>1125</v>
      </c>
      <c r="C35">
        <f>CORREL(fact_orders_1000[cost_per_mile],fact_orders_1000[variable_cost_per_mile])</f>
        <v>0.7299577172613646</v>
      </c>
      <c r="D35">
        <f t="shared" si="0"/>
        <v>53.28382689894223</v>
      </c>
      <c r="E35" t="str">
        <f t="shared" si="1"/>
        <v>🔴 STRONG</v>
      </c>
    </row>
    <row r="36" spans="1:5" x14ac:dyDescent="0.3">
      <c r="A36" t="s">
        <v>1124</v>
      </c>
      <c r="B36" t="s">
        <v>1126</v>
      </c>
      <c r="C36">
        <f>CORREL(fact_orders_1000[cost_per_mile],fact_orders_1000[utilization_rate])</f>
        <v>1.2910874043581173E-2</v>
      </c>
      <c r="D36">
        <f t="shared" si="0"/>
        <v>1.6669066856921808E-2</v>
      </c>
      <c r="E36" t="str">
        <f t="shared" si="1"/>
        <v>🟢 WEAK</v>
      </c>
    </row>
    <row r="37" spans="1:5" x14ac:dyDescent="0.3">
      <c r="A37" t="s">
        <v>1124</v>
      </c>
      <c r="B37" t="s">
        <v>1031</v>
      </c>
      <c r="C37">
        <f>CORREL(fact_orders_1000[cost_per_mile],fact_orders_1000[load_factor])</f>
        <v>6.3610922783418386E-2</v>
      </c>
      <c r="D37">
        <f t="shared" si="0"/>
        <v>0.40463494973580161</v>
      </c>
      <c r="E37" t="str">
        <f t="shared" si="1"/>
        <v>🟢 WEAK</v>
      </c>
    </row>
    <row r="38" spans="1:5" x14ac:dyDescent="0.3">
      <c r="A38" t="s">
        <v>1124</v>
      </c>
      <c r="B38" t="s">
        <v>1127</v>
      </c>
      <c r="C38">
        <f>CORREL(fact_orders_1000[cost_per_mile],fact_orders_1000[shipment_value_usd])</f>
        <v>-2.3009144913546793E-2</v>
      </c>
      <c r="D38">
        <f t="shared" si="0"/>
        <v>5.2942074965259628E-2</v>
      </c>
      <c r="E38" t="str">
        <f t="shared" si="1"/>
        <v>🟢 WEAK</v>
      </c>
    </row>
    <row r="41" spans="1:5" x14ac:dyDescent="0.3">
      <c r="A41" s="29" t="s">
        <v>1128</v>
      </c>
    </row>
    <row r="43" spans="1:5" x14ac:dyDescent="0.3">
      <c r="A43" s="12" t="s">
        <v>1129</v>
      </c>
    </row>
    <row r="44" spans="1:5" x14ac:dyDescent="0.3">
      <c r="A44" t="s">
        <v>1037</v>
      </c>
      <c r="B44">
        <f>INTERCEPT(fact_orders_1000[fuel_cost_total],fact_orders_1000[total_miles])</f>
        <v>-3.1532925760781723</v>
      </c>
    </row>
    <row r="45" spans="1:5" x14ac:dyDescent="0.3">
      <c r="A45" t="s">
        <v>1038</v>
      </c>
      <c r="B45">
        <f>SLOPE(fact_orders_1000[fuel_cost_total],fact_orders_1000[total_miles])</f>
        <v>0.78433967899511514</v>
      </c>
    </row>
    <row r="46" spans="1:5" x14ac:dyDescent="0.3">
      <c r="A46" t="s">
        <v>1039</v>
      </c>
      <c r="B46">
        <f>RSQ(fact_orders_1000[fuel_cost_total],fact_orders_1000[total_miles])</f>
        <v>0.95840655838762179</v>
      </c>
    </row>
    <row r="47" spans="1:5" x14ac:dyDescent="0.3">
      <c r="A47" t="s">
        <v>1040</v>
      </c>
      <c r="B47">
        <f>STEYX(fact_orders_1000[fuel_cost_total],fact_orders_1000[total_miles])</f>
        <v>34.106144010333999</v>
      </c>
    </row>
    <row r="49" spans="1:2" x14ac:dyDescent="0.3">
      <c r="A49" s="12" t="s">
        <v>1130</v>
      </c>
    </row>
    <row r="50" spans="1:2" x14ac:dyDescent="0.3">
      <c r="A50" t="s">
        <v>1038</v>
      </c>
      <c r="B50">
        <f>SLOPE(fact_orders_1000[maintenance_cost_total],fact_orders_1000[total_miles])</f>
        <v>0.15567304407299515</v>
      </c>
    </row>
    <row r="51" spans="1:2" x14ac:dyDescent="0.3">
      <c r="A51" t="s">
        <v>1039</v>
      </c>
      <c r="B51">
        <f>RSQ(fact_orders_1000[maintenance_cost_total],fact_orders_1000[total_miles])</f>
        <v>0.20775890930827315</v>
      </c>
    </row>
    <row r="52" spans="1:2" x14ac:dyDescent="0.3">
      <c r="A52" t="s">
        <v>1040</v>
      </c>
      <c r="B52">
        <f>STEYX(fact_orders_1000[maintenance_cost_total],fact_orders_1000[total_miles])</f>
        <v>63.453147093685303</v>
      </c>
    </row>
    <row r="55" spans="1:2" x14ac:dyDescent="0.3">
      <c r="A55" s="12" t="s">
        <v>1131</v>
      </c>
    </row>
    <row r="56" spans="1:2" x14ac:dyDescent="0.3">
      <c r="A56" t="s">
        <v>1037</v>
      </c>
      <c r="B56">
        <f>INTERCEPT(fact_orders_1000[driver_pay_total],fact_orders_1000[total_miles])</f>
        <v>-1.622677367288162</v>
      </c>
    </row>
    <row r="57" spans="1:2" x14ac:dyDescent="0.3">
      <c r="A57" t="s">
        <v>1038</v>
      </c>
      <c r="B57">
        <f>SLOPE(fact_orders_1000[driver_pay_total],fact_orders_1000[total_miles])</f>
        <v>0.60787205641593234</v>
      </c>
    </row>
    <row r="58" spans="1:2" x14ac:dyDescent="0.3">
      <c r="A58" t="s">
        <v>1039</v>
      </c>
      <c r="B58">
        <f>RSQ(fact_orders_1000[driver_pay_total],fact_orders_1000[total_miles])</f>
        <v>0.95662090845334602</v>
      </c>
    </row>
    <row r="59" spans="1:2" x14ac:dyDescent="0.3">
      <c r="A59" t="s">
        <v>1040</v>
      </c>
      <c r="B59">
        <f>STEYX(fact_orders_1000[driver_pay_total],fact_orders_1000[total_miles])</f>
        <v>27.019254792551035</v>
      </c>
    </row>
    <row r="61" spans="1:2" x14ac:dyDescent="0.3">
      <c r="A61" s="31" t="s">
        <v>1143</v>
      </c>
    </row>
    <row r="62" spans="1:2" x14ac:dyDescent="0.3">
      <c r="A62" t="s">
        <v>1037</v>
      </c>
      <c r="B62">
        <f>INTERCEPT(fact_orders_1000[cost_per_mile],fact_orders_1000[variable_cost_per_mile])</f>
        <v>1.072774195727721</v>
      </c>
    </row>
    <row r="63" spans="1:2" x14ac:dyDescent="0.3">
      <c r="A63" t="s">
        <v>1038</v>
      </c>
      <c r="B63">
        <f>SLOPE(fact_orders_1000[cost_per_mile],fact_orders_1000[variable_cost_per_mile])</f>
        <v>0.75913319879395558</v>
      </c>
    </row>
    <row r="64" spans="1:2" x14ac:dyDescent="0.3">
      <c r="A64" t="s">
        <v>1039</v>
      </c>
      <c r="B64">
        <f>RSQ(fact_orders_1000[cost_per_mile],fact_orders_1000[variable_cost_per_mile])</f>
        <v>0.53283826898942233</v>
      </c>
    </row>
    <row r="65" spans="1:6" x14ac:dyDescent="0.3">
      <c r="A65" t="s">
        <v>1040</v>
      </c>
      <c r="B65">
        <f>STEYX(fact_orders_1000[cost_per_mile],fact_orders_1000[variable_cost_per_mile])</f>
        <v>0.15154788131040361</v>
      </c>
    </row>
    <row r="68" spans="1:6" x14ac:dyDescent="0.3">
      <c r="A68" s="29" t="s">
        <v>1132</v>
      </c>
    </row>
    <row r="70" spans="1:6" x14ac:dyDescent="0.3">
      <c r="A70" s="30" t="s">
        <v>972</v>
      </c>
      <c r="B70" s="30" t="s">
        <v>1133</v>
      </c>
      <c r="C70" s="30" t="s">
        <v>1134</v>
      </c>
      <c r="D70" s="30" t="s">
        <v>1135</v>
      </c>
      <c r="E70" s="30" t="s">
        <v>1098</v>
      </c>
      <c r="F70" s="30" t="s">
        <v>948</v>
      </c>
    </row>
    <row r="71" spans="1:6" x14ac:dyDescent="0.3">
      <c r="A71" t="s">
        <v>63</v>
      </c>
      <c r="B71">
        <f>AVERAGEIF(fact_orders_1000[truck_types],"Dry Van",fact_orders_1000[fuel_cost_total])</f>
        <v>253.48684426229531</v>
      </c>
      <c r="C71">
        <f>AVERAGEIF(fact_orders_1000[truck_types],"Dry Van",fact_orders_1000[maintenance_cost_total])</f>
        <v>57.627848360655747</v>
      </c>
      <c r="D71">
        <f>AVERAGEIF(fact_orders_1000[truck_types],"Dry Van",fact_orders_1000[driver_pay_total])</f>
        <v>198.62694672131138</v>
      </c>
      <c r="E71">
        <f>AVERAGEIF(fact_orders_1000[truck_types],"Dry Van",fact_orders_1000[cost_per_mile])</f>
        <v>2.1807172131147543</v>
      </c>
      <c r="F71">
        <f>COUNTIF(fact_orders_1000[truck_types],"Dry Van")</f>
        <v>488</v>
      </c>
    </row>
    <row r="72" spans="1:6" x14ac:dyDescent="0.3">
      <c r="A72" t="s">
        <v>112</v>
      </c>
      <c r="B72">
        <f>AVERAGEIF(fact_orders_1000[truck_types],"Flatbed",fact_orders_1000[fuel_cost_total])</f>
        <v>250.06716535433074</v>
      </c>
      <c r="C72">
        <f>AVERAGEIF(fact_orders_1000[truck_types],"Flatbed",fact_orders_1000[maintenance_cost_total])</f>
        <v>52.534724409448799</v>
      </c>
      <c r="D72">
        <f>AVERAGEIF(fact_orders_1000[truck_types],"Flatbed",fact_orders_1000[driver_pay_total])</f>
        <v>194.67582677165362</v>
      </c>
      <c r="E72">
        <f>AVERAGEIF(fact_orders_1000[truck_types],"Flatbed",fact_orders_1000[cost_per_mile])</f>
        <v>2.3125196850393714</v>
      </c>
      <c r="F72">
        <f>COUNTIF(fact_orders_1000[truck_types],"Flatbed")</f>
        <v>127</v>
      </c>
    </row>
    <row r="73" spans="1:6" x14ac:dyDescent="0.3">
      <c r="A73" t="s">
        <v>80</v>
      </c>
      <c r="B73">
        <f>AVERAGEIF(fact_orders_1000[truck_types],"Intermodal",fact_orders_1000[fuel_cost_total])</f>
        <v>256.20549999999997</v>
      </c>
      <c r="C73">
        <f>AVERAGEIF(fact_orders_1000[truck_types],"Intermodal",fact_orders_1000[maintenance_cost_total])</f>
        <v>69.697999999999979</v>
      </c>
      <c r="D73">
        <f>AVERAGEIF(fact_orders_1000[truck_types],"Intermodal",fact_orders_1000[driver_pay_total])</f>
        <v>195.29219999999998</v>
      </c>
      <c r="E73">
        <f>AVERAGEIF(fact_orders_1000[truck_types],"Intermodal",fact_orders_1000[cost_per_mile])</f>
        <v>2.0888999999999998</v>
      </c>
      <c r="F73">
        <f>COUNTIF(fact_orders_1000[truck_types],"Intermodal")</f>
        <v>100</v>
      </c>
    </row>
    <row r="74" spans="1:6" x14ac:dyDescent="0.3">
      <c r="A74" t="s">
        <v>2</v>
      </c>
      <c r="B74">
        <f>AVERAGEIF(fact_orders_1000[truck_types],"Reefer",fact_orders_1000[fuel_cost_total])</f>
        <v>276.38272340425527</v>
      </c>
      <c r="C74">
        <f>AVERAGEIF(fact_orders_1000[truck_types],"Reefer",fact_orders_1000[maintenance_cost_total])</f>
        <v>57.043234042553152</v>
      </c>
      <c r="D74">
        <f>AVERAGEIF(fact_orders_1000[truck_types],"Reefer",fact_orders_1000[driver_pay_total])</f>
        <v>214.04302127659574</v>
      </c>
      <c r="E74">
        <f>AVERAGEIF(fact_orders_1000[truck_types],"Reefer",fact_orders_1000[cost_per_mile])</f>
        <v>2.3758723404255311</v>
      </c>
      <c r="F74">
        <f>COUNTIF(fact_orders_1000[truck_types],"Reefer")</f>
        <v>235</v>
      </c>
    </row>
    <row r="75" spans="1:6" x14ac:dyDescent="0.3">
      <c r="A75" t="s">
        <v>215</v>
      </c>
      <c r="B75">
        <f>AVERAGEIF(fact_orders_1000[truck_types],"Tanker",fact_orders_1000[fuel_cost_total])</f>
        <v>250.25220000000002</v>
      </c>
      <c r="C75">
        <f>AVERAGEIF(fact_orders_1000[truck_types],"Tanker",fact_orders_1000[maintenance_cost_total])</f>
        <v>50.938800000000001</v>
      </c>
      <c r="D75">
        <f>AVERAGEIF(fact_orders_1000[truck_types],"Tanker",fact_orders_1000[driver_pay_total])</f>
        <v>194.23879999999997</v>
      </c>
      <c r="E75">
        <f>AVERAGEIF(fact_orders_1000[truck_types],"Tanker",fact_orders_1000[cost_per_mile])</f>
        <v>2.5724</v>
      </c>
      <c r="F75">
        <f>COUNTIF(fact_orders_1000[truck_types],"Tanker")</f>
        <v>50</v>
      </c>
    </row>
    <row r="78" spans="1:6" x14ac:dyDescent="0.3">
      <c r="A78" s="29" t="s">
        <v>1136</v>
      </c>
    </row>
    <row r="80" spans="1:6" x14ac:dyDescent="0.3">
      <c r="A80" s="30" t="s">
        <v>969</v>
      </c>
      <c r="B80" s="30" t="s">
        <v>1133</v>
      </c>
      <c r="C80" s="30" t="s">
        <v>1134</v>
      </c>
      <c r="D80" s="30" t="s">
        <v>1135</v>
      </c>
      <c r="E80" s="30" t="s">
        <v>1098</v>
      </c>
      <c r="F80" s="30" t="s">
        <v>1137</v>
      </c>
    </row>
    <row r="81" spans="1:6" x14ac:dyDescent="0.3">
      <c r="A81" t="s">
        <v>225</v>
      </c>
      <c r="B81">
        <f>AVERAGEIF(fact_orders_1000[carrier_name],"Atlantic Freightways",fact_orders_1000[fuel_cost_total])</f>
        <v>286.99041666666665</v>
      </c>
      <c r="C81">
        <f>AVERAGEIF(fact_orders_1000[carrier_name],"Atlantic Freightways",fact_orders_1000[maintenance_cost_total])</f>
        <v>74.396944444444429</v>
      </c>
      <c r="D81">
        <f>AVERAGEIF(fact_orders_1000[carrier_name],"Atlantic Freightways",fact_orders_1000[driver_pay_total])</f>
        <v>217.06527777777774</v>
      </c>
      <c r="E81">
        <f>AVERAGEIF(fact_orders_1000[carrier_name],"Atlantic Freightways",fact_orders_1000[cost_per_mile])</f>
        <v>2.2970833333333327</v>
      </c>
      <c r="F81">
        <f>COUNTIF(fact_orders_1000[carrier_name],"Atlantic Freightways")</f>
        <v>72</v>
      </c>
    </row>
    <row r="82" spans="1:6" x14ac:dyDescent="0.3">
      <c r="A82" t="s">
        <v>84</v>
      </c>
      <c r="B82">
        <f>AVERAGEIF(fact_orders_1000[carrier_name],"Blue Ridge Logistics",fact_orders_1000[fuel_cost_total])</f>
        <v>258.90773662551447</v>
      </c>
      <c r="C82">
        <f>AVERAGEIF(fact_orders_1000[carrier_name],"Blue Ridge Logistics",fact_orders_1000[maintenance_cost_total])</f>
        <v>58.19489711934154</v>
      </c>
      <c r="D82">
        <f>AVERAGEIF(fact_orders_1000[carrier_name],"Blue Ridge Logistics",fact_orders_1000[driver_pay_total])</f>
        <v>202.09674897119348</v>
      </c>
      <c r="E82">
        <f>AVERAGEIF(fact_orders_1000[carrier_name],"Blue Ridge Logistics",fact_orders_1000[cost_per_mile])</f>
        <v>2.2439917695473275</v>
      </c>
      <c r="F82">
        <f>COUNTIF(fact_orders_1000[carrier_name],"Blue Ridge Logistics")</f>
        <v>243</v>
      </c>
    </row>
    <row r="83" spans="1:6" x14ac:dyDescent="0.3">
      <c r="A83" t="s">
        <v>92</v>
      </c>
      <c r="B83">
        <f>AVERAGEIF(fact_orders_1000[carrier_name],"Cascade Cargo",fact_orders_1000[fuel_cost_total])</f>
        <v>232.87233766233769</v>
      </c>
      <c r="C83">
        <f>AVERAGEIF(fact_orders_1000[carrier_name],"Cascade Cargo",fact_orders_1000[maintenance_cost_total])</f>
        <v>55.297142857142873</v>
      </c>
      <c r="D83">
        <f>AVERAGEIF(fact_orders_1000[carrier_name],"Cascade Cargo",fact_orders_1000[driver_pay_total])</f>
        <v>182.95558441558444</v>
      </c>
      <c r="E83">
        <f>AVERAGEIF(fact_orders_1000[carrier_name],"Cascade Cargo",fact_orders_1000[cost_per_mile])</f>
        <v>2.2402597402597397</v>
      </c>
      <c r="F83">
        <f>COUNTIF(fact_orders_1000[carrier_name],"Cascade Cargo")</f>
        <v>77</v>
      </c>
    </row>
    <row r="84" spans="1:6" x14ac:dyDescent="0.3">
      <c r="A84" t="s">
        <v>211</v>
      </c>
      <c r="B84">
        <f>AVERAGEIF(fact_orders_1000[carrier_name],"Desert Road Haulers",fact_orders_1000[fuel_cost_total])</f>
        <v>241.50081632653058</v>
      </c>
      <c r="C84">
        <f>AVERAGEIF(fact_orders_1000[carrier_name],"Desert Road Haulers",fact_orders_1000[maintenance_cost_total])</f>
        <v>51.721836734693873</v>
      </c>
      <c r="D84">
        <f>AVERAGEIF(fact_orders_1000[carrier_name],"Desert Road Haulers",fact_orders_1000[driver_pay_total])</f>
        <v>195.56734693877547</v>
      </c>
      <c r="E84">
        <f>AVERAGEIF(fact_orders_1000[carrier_name],"Desert Road Haulers",fact_orders_1000[cost_per_mile])</f>
        <v>2.2959183673469385</v>
      </c>
      <c r="F84">
        <f>COUNTIF(fact_orders_1000[carrier_name],"Desert Road Haulers")</f>
        <v>49</v>
      </c>
    </row>
    <row r="85" spans="1:6" x14ac:dyDescent="0.3">
      <c r="A85" t="s">
        <v>101</v>
      </c>
      <c r="B85">
        <f>AVERAGEIF(fact_orders_1000[carrier_name],"Great Lakes Carriers",fact_orders_1000[fuel_cost_total])</f>
        <v>247.70449999999991</v>
      </c>
      <c r="C85">
        <f>AVERAGEIF(fact_orders_1000[carrier_name],"Great Lakes Carriers",fact_orders_1000[maintenance_cost_total])</f>
        <v>50.291000000000011</v>
      </c>
      <c r="D85">
        <f>AVERAGEIF(fact_orders_1000[carrier_name],"Great Lakes Carriers",fact_orders_1000[driver_pay_total])</f>
        <v>194.03325000000001</v>
      </c>
      <c r="E85">
        <f>AVERAGEIF(fact_orders_1000[carrier_name],"Great Lakes Carriers",fact_orders_1000[cost_per_mile])</f>
        <v>2.2869999999999995</v>
      </c>
      <c r="F85">
        <f>COUNTIF(fact_orders_1000[carrier_name],"Great Lakes Carriers")</f>
        <v>80</v>
      </c>
    </row>
    <row r="86" spans="1:6" x14ac:dyDescent="0.3">
      <c r="A86" t="s">
        <v>126</v>
      </c>
      <c r="B86">
        <f>AVERAGEIF(fact_orders_1000[carrier_name],"Keystone Freight",fact_orders_1000[fuel_cost_total])</f>
        <v>276.9653521126761</v>
      </c>
      <c r="C86">
        <f>AVERAGEIF(fact_orders_1000[carrier_name],"Keystone Freight",fact_orders_1000[maintenance_cost_total])</f>
        <v>58.203098591549299</v>
      </c>
      <c r="D86">
        <f>AVERAGEIF(fact_orders_1000[carrier_name],"Keystone Freight",fact_orders_1000[driver_pay_total])</f>
        <v>225.15239436619711</v>
      </c>
      <c r="E86">
        <f>AVERAGEIF(fact_orders_1000[carrier_name],"Keystone Freight",fact_orders_1000[cost_per_mile])</f>
        <v>2.2785915492957747</v>
      </c>
      <c r="F86">
        <f>COUNTIF(fact_orders_1000[carrier_name],"Keystone Freight")</f>
        <v>71</v>
      </c>
    </row>
    <row r="87" spans="1:6" x14ac:dyDescent="0.3">
      <c r="A87" t="s">
        <v>185</v>
      </c>
      <c r="B87">
        <f>AVERAGEIF(fact_orders_1000[carrier_name],"Lone Star Transport",fact_orders_1000[fuel_cost_total])</f>
        <v>273.17029702970285</v>
      </c>
      <c r="C87">
        <f>AVERAGEIF(fact_orders_1000[carrier_name],"Lone Star Transport",fact_orders_1000[maintenance_cost_total])</f>
        <v>55.972079207920785</v>
      </c>
      <c r="D87">
        <f>AVERAGEIF(fact_orders_1000[carrier_name],"Lone Star Transport",fact_orders_1000[driver_pay_total])</f>
        <v>210.27376237623767</v>
      </c>
      <c r="E87">
        <f>AVERAGEIF(fact_orders_1000[carrier_name],"Lone Star Transport",fact_orders_1000[cost_per_mile])</f>
        <v>2.2043564356435641</v>
      </c>
      <c r="F87">
        <f>COUNTIF(fact_orders_1000[carrier_name],"Lone Star Transport")</f>
        <v>101</v>
      </c>
    </row>
    <row r="88" spans="1:6" x14ac:dyDescent="0.3">
      <c r="A88" t="s">
        <v>142</v>
      </c>
      <c r="B88">
        <f>AVERAGEIF(fact_orders_1000[carrier_name],"Midwest Express Trucking",fact_orders_1000[fuel_cost_total])</f>
        <v>249.7621739130436</v>
      </c>
      <c r="C88">
        <f>AVERAGEIF(fact_orders_1000[carrier_name],"Midwest Express Trucking",fact_orders_1000[maintenance_cost_total])</f>
        <v>53.365978260869568</v>
      </c>
      <c r="D88">
        <f>AVERAGEIF(fact_orders_1000[carrier_name],"Midwest Express Trucking",fact_orders_1000[driver_pay_total])</f>
        <v>191.85293478260866</v>
      </c>
      <c r="E88">
        <f>AVERAGEIF(fact_orders_1000[carrier_name],"Midwest Express Trucking",fact_orders_1000[cost_per_mile])</f>
        <v>2.2974999999999994</v>
      </c>
      <c r="F88">
        <f>COUNTIF(fact_orders_1000[carrier_name],"Midwest Express Trucking")</f>
        <v>92</v>
      </c>
    </row>
    <row r="89" spans="1:6" x14ac:dyDescent="0.3">
      <c r="A89" t="s">
        <v>106</v>
      </c>
      <c r="B89">
        <f>AVERAGEIF(fact_orders_1000[carrier_name],"Pacific Linehaul",fact_orders_1000[fuel_cost_total])</f>
        <v>253.18291262135915</v>
      </c>
      <c r="C89">
        <f>AVERAGEIF(fact_orders_1000[carrier_name],"Pacific Linehaul",fact_orders_1000[maintenance_cost_total])</f>
        <v>66.19941747572814</v>
      </c>
      <c r="D89">
        <f>AVERAGEIF(fact_orders_1000[carrier_name],"Pacific Linehaul",fact_orders_1000[driver_pay_total])</f>
        <v>195.27902912621357</v>
      </c>
      <c r="E89">
        <f>AVERAGEIF(fact_orders_1000[carrier_name],"Pacific Linehaul",fact_orders_1000[cost_per_mile])</f>
        <v>2.2545631067961165</v>
      </c>
      <c r="F89">
        <f>COUNTIF(fact_orders_1000[carrier_name],"Pacific Linehaul")</f>
        <v>103</v>
      </c>
    </row>
    <row r="90" spans="1:6" x14ac:dyDescent="0.3">
      <c r="A90" t="s">
        <v>57</v>
      </c>
      <c r="B90">
        <f>AVERAGEIF(fact_orders_1000[carrier_name],"Sunbelt Haulage",fact_orders_1000[fuel_cost_total])</f>
        <v>259.58526785714298</v>
      </c>
      <c r="C90">
        <f>AVERAGEIF(fact_orders_1000[carrier_name],"Sunbelt Haulage",fact_orders_1000[maintenance_cost_total])</f>
        <v>52.579642857142836</v>
      </c>
      <c r="D90">
        <f>AVERAGEIF(fact_orders_1000[carrier_name],"Sunbelt Haulage",fact_orders_1000[driver_pay_total])</f>
        <v>198.89392857142857</v>
      </c>
      <c r="E90">
        <f>AVERAGEIF(fact_orders_1000[carrier_name],"Sunbelt Haulage",fact_orders_1000[cost_per_mile])</f>
        <v>2.2059821428571444</v>
      </c>
      <c r="F90">
        <f>COUNTIF(fact_orders_1000[carrier_name],"Sunbelt Haulage")</f>
        <v>112</v>
      </c>
    </row>
    <row r="93" spans="1:6" x14ac:dyDescent="0.3">
      <c r="A93" s="29" t="s">
        <v>1138</v>
      </c>
    </row>
    <row r="95" spans="1:6" x14ac:dyDescent="0.3">
      <c r="A95" s="30" t="s">
        <v>1139</v>
      </c>
      <c r="B95" s="30" t="s">
        <v>1140</v>
      </c>
      <c r="C95" s="30" t="s">
        <v>1141</v>
      </c>
      <c r="D95" s="30" t="s">
        <v>1142</v>
      </c>
    </row>
    <row r="96" spans="1:6" x14ac:dyDescent="0.3">
      <c r="A96" t="s">
        <v>1144</v>
      </c>
    </row>
    <row r="97" spans="1:1" x14ac:dyDescent="0.3">
      <c r="A97" t="s">
        <v>1145</v>
      </c>
    </row>
    <row r="98" spans="1:1" x14ac:dyDescent="0.3">
      <c r="A98" t="s">
        <v>1146</v>
      </c>
    </row>
    <row r="99" spans="1:1" x14ac:dyDescent="0.3">
      <c r="A99" t="s">
        <v>1147</v>
      </c>
    </row>
    <row r="100" spans="1:1" x14ac:dyDescent="0.3">
      <c r="A100" t="s">
        <v>1148</v>
      </c>
    </row>
    <row r="101" spans="1:1" x14ac:dyDescent="0.3">
      <c r="A101" t="s">
        <v>1149</v>
      </c>
    </row>
    <row r="103" spans="1:1" x14ac:dyDescent="0.3">
      <c r="A103" s="12" t="s">
        <v>1150</v>
      </c>
    </row>
    <row r="104" spans="1:1" x14ac:dyDescent="0.3">
      <c r="A104" t="s">
        <v>1151</v>
      </c>
    </row>
    <row r="105" spans="1:1" x14ac:dyDescent="0.3">
      <c r="A105" t="s">
        <v>1152</v>
      </c>
    </row>
    <row r="106" spans="1:1" x14ac:dyDescent="0.3">
      <c r="A106" t="s">
        <v>1153</v>
      </c>
    </row>
    <row r="108" spans="1:1" x14ac:dyDescent="0.3">
      <c r="A108" s="31" t="s">
        <v>1154</v>
      </c>
    </row>
    <row r="109" spans="1:1" x14ac:dyDescent="0.3">
      <c r="A109" t="s">
        <v>1155</v>
      </c>
    </row>
    <row r="110" spans="1:1" x14ac:dyDescent="0.3">
      <c r="A110" t="s">
        <v>1156</v>
      </c>
    </row>
    <row r="111" spans="1:1" x14ac:dyDescent="0.3">
      <c r="A111" t="s">
        <v>1157</v>
      </c>
    </row>
    <row r="112" spans="1:1" x14ac:dyDescent="0.3">
      <c r="A112" t="s">
        <v>1158</v>
      </c>
    </row>
    <row r="114" spans="1:1" x14ac:dyDescent="0.3">
      <c r="A114" s="32" t="s">
        <v>1159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CAA2-6C14-43D8-8917-C2B78B804F3D}">
  <dimension ref="A1:F74"/>
  <sheetViews>
    <sheetView workbookViewId="0">
      <selection activeCell="A8" sqref="A8:XFD8"/>
    </sheetView>
  </sheetViews>
  <sheetFormatPr defaultRowHeight="14.4" x14ac:dyDescent="0.3"/>
  <cols>
    <col min="1" max="1" width="42.5546875" customWidth="1"/>
    <col min="2" max="4" width="22.21875" customWidth="1"/>
    <col min="5" max="6" width="27.77734375" customWidth="1"/>
  </cols>
  <sheetData>
    <row r="1" spans="1:6" ht="18" x14ac:dyDescent="0.35">
      <c r="A1" s="56" t="s">
        <v>1160</v>
      </c>
      <c r="B1" s="56"/>
      <c r="C1" s="56"/>
      <c r="D1" s="56"/>
      <c r="E1" s="56"/>
      <c r="F1" s="56"/>
    </row>
    <row r="3" spans="1:6" x14ac:dyDescent="0.3">
      <c r="A3" s="62" t="s">
        <v>1161</v>
      </c>
      <c r="B3" s="62"/>
      <c r="C3" s="62"/>
      <c r="D3" s="62"/>
      <c r="E3" s="62"/>
      <c r="F3" s="62"/>
    </row>
    <row r="5" spans="1:6" x14ac:dyDescent="0.3">
      <c r="A5" s="34" t="s">
        <v>1162</v>
      </c>
      <c r="B5" s="34" t="s">
        <v>1163</v>
      </c>
      <c r="C5" s="34" t="s">
        <v>1164</v>
      </c>
      <c r="D5" s="34" t="s">
        <v>1165</v>
      </c>
      <c r="E5" s="34" t="s">
        <v>1166</v>
      </c>
      <c r="F5" s="34" t="s">
        <v>1167</v>
      </c>
    </row>
    <row r="6" spans="1:6" x14ac:dyDescent="0.3">
      <c r="A6" t="s">
        <v>1061</v>
      </c>
      <c r="B6" t="s">
        <v>1168</v>
      </c>
      <c r="C6" s="5">
        <v>0.53300000000000003</v>
      </c>
      <c r="D6" t="s">
        <v>1169</v>
      </c>
      <c r="E6" t="s">
        <v>1170</v>
      </c>
      <c r="F6" t="s">
        <v>1171</v>
      </c>
    </row>
    <row r="7" spans="1:6" x14ac:dyDescent="0.3">
      <c r="A7" t="s">
        <v>1172</v>
      </c>
      <c r="B7" t="s">
        <v>1173</v>
      </c>
      <c r="C7" s="5">
        <v>0.95799999999999996</v>
      </c>
      <c r="D7" t="s">
        <v>1174</v>
      </c>
      <c r="E7" t="s">
        <v>1170</v>
      </c>
      <c r="F7" t="s">
        <v>1191</v>
      </c>
    </row>
    <row r="8" spans="1:6" x14ac:dyDescent="0.3">
      <c r="A8" t="s">
        <v>1175</v>
      </c>
      <c r="B8" t="s">
        <v>1173</v>
      </c>
      <c r="C8" s="5">
        <v>0.95699999999999996</v>
      </c>
      <c r="D8" t="s">
        <v>1176</v>
      </c>
      <c r="E8" t="s">
        <v>1170</v>
      </c>
      <c r="F8" t="s">
        <v>1192</v>
      </c>
    </row>
    <row r="9" spans="1:6" x14ac:dyDescent="0.3">
      <c r="A9" t="s">
        <v>1177</v>
      </c>
      <c r="B9" t="s">
        <v>1178</v>
      </c>
      <c r="C9" s="5">
        <v>0.65900000000000003</v>
      </c>
      <c r="D9" t="s">
        <v>1179</v>
      </c>
      <c r="E9" t="s">
        <v>1180</v>
      </c>
      <c r="F9" t="s">
        <v>1193</v>
      </c>
    </row>
    <row r="10" spans="1:6" x14ac:dyDescent="0.3">
      <c r="A10" t="s">
        <v>1067</v>
      </c>
      <c r="B10" s="5">
        <v>5.7599999999999998E-2</v>
      </c>
      <c r="C10" t="s">
        <v>1181</v>
      </c>
      <c r="D10" t="s">
        <v>1182</v>
      </c>
      <c r="E10" t="s">
        <v>1180</v>
      </c>
      <c r="F10" t="s">
        <v>1183</v>
      </c>
    </row>
    <row r="11" spans="1:6" x14ac:dyDescent="0.3">
      <c r="A11" t="s">
        <v>1184</v>
      </c>
      <c r="B11" t="s">
        <v>1185</v>
      </c>
      <c r="C11" s="5">
        <v>0.28599999999999998</v>
      </c>
      <c r="D11" t="s">
        <v>1186</v>
      </c>
      <c r="E11" t="s">
        <v>1187</v>
      </c>
      <c r="F11" t="s">
        <v>1188</v>
      </c>
    </row>
    <row r="13" spans="1:6" x14ac:dyDescent="0.3">
      <c r="A13" s="63" t="s">
        <v>1194</v>
      </c>
      <c r="B13" s="63"/>
      <c r="C13" s="63"/>
      <c r="D13" s="63"/>
      <c r="E13" s="63"/>
      <c r="F13" s="63"/>
    </row>
    <row r="15" spans="1:6" x14ac:dyDescent="0.3">
      <c r="A15" s="12" t="s">
        <v>938</v>
      </c>
      <c r="B15" s="12" t="s">
        <v>1189</v>
      </c>
      <c r="C15" s="12" t="s">
        <v>1195</v>
      </c>
      <c r="D15" s="12" t="s">
        <v>1196</v>
      </c>
    </row>
    <row r="16" spans="1:6" x14ac:dyDescent="0.3">
      <c r="A16" t="s">
        <v>1190</v>
      </c>
      <c r="B16" s="26">
        <f>AVERAGE(fact_orders_1000[variable_cost_per_mile])</f>
        <v>1.5552077001013187</v>
      </c>
      <c r="C16" s="26">
        <f>B16*0.9</f>
        <v>1.3996869300911869</v>
      </c>
      <c r="D16" s="26"/>
    </row>
    <row r="17" spans="1:6" x14ac:dyDescent="0.3">
      <c r="A17" t="s">
        <v>1197</v>
      </c>
      <c r="B17" s="26">
        <f>AVERAGE(fact_orders_1000[cost_per_mile])</f>
        <v>2.2537199999999942</v>
      </c>
      <c r="C17" s="26">
        <f>1.073+0.759*C16</f>
        <v>2.135362379939211</v>
      </c>
      <c r="D17" s="26">
        <f>B17-C17</f>
        <v>0.11835762006078321</v>
      </c>
    </row>
    <row r="18" spans="1:6" x14ac:dyDescent="0.3">
      <c r="A18" t="s">
        <v>1198</v>
      </c>
      <c r="B18" t="s">
        <v>1199</v>
      </c>
    </row>
    <row r="20" spans="1:6" x14ac:dyDescent="0.3">
      <c r="A20" t="s">
        <v>1200</v>
      </c>
    </row>
    <row r="22" spans="1:6" x14ac:dyDescent="0.3">
      <c r="A22" s="64" t="s">
        <v>1201</v>
      </c>
      <c r="B22" s="64"/>
      <c r="C22" s="64"/>
      <c r="D22" s="64"/>
      <c r="E22" s="64"/>
      <c r="F22" s="64"/>
    </row>
    <row r="24" spans="1:6" x14ac:dyDescent="0.3">
      <c r="A24" s="12" t="s">
        <v>938</v>
      </c>
      <c r="B24" s="12" t="s">
        <v>1202</v>
      </c>
      <c r="C24" s="12" t="s">
        <v>1203</v>
      </c>
      <c r="D24" s="12" t="s">
        <v>1204</v>
      </c>
    </row>
    <row r="25" spans="1:6" x14ac:dyDescent="0.3">
      <c r="A25" t="s">
        <v>1087</v>
      </c>
      <c r="B25" s="35">
        <f>SUM(fact_orders_1000[fuel_cost_total])</f>
        <v>258543.20999999993</v>
      </c>
      <c r="C25" s="35">
        <f>B25*0.95</f>
        <v>245616.04949999994</v>
      </c>
      <c r="D25" s="35">
        <f>B25-C25</f>
        <v>12927.160499999998</v>
      </c>
    </row>
    <row r="26" spans="1:6" x14ac:dyDescent="0.3">
      <c r="A26" t="s">
        <v>1032</v>
      </c>
      <c r="B26" s="36">
        <f>SUM(fact_orders_1000[total_miles])</f>
        <v>333651.99999999994</v>
      </c>
      <c r="C26" s="36">
        <f>B26*0.95</f>
        <v>316969.39999999991</v>
      </c>
      <c r="D26" s="36">
        <f>B26-C26</f>
        <v>16682.600000000035</v>
      </c>
    </row>
    <row r="27" spans="1:6" x14ac:dyDescent="0.3">
      <c r="A27" t="s">
        <v>1205</v>
      </c>
      <c r="B27" s="26">
        <f>B25/B26</f>
        <v>0.77488883627252336</v>
      </c>
    </row>
    <row r="28" spans="1:6" x14ac:dyDescent="0.3">
      <c r="A28" t="s">
        <v>1198</v>
      </c>
      <c r="B28" t="s">
        <v>1206</v>
      </c>
    </row>
    <row r="30" spans="1:6" x14ac:dyDescent="0.3">
      <c r="A30" t="s">
        <v>1207</v>
      </c>
    </row>
    <row r="32" spans="1:6" x14ac:dyDescent="0.3">
      <c r="A32" s="54" t="s">
        <v>1208</v>
      </c>
      <c r="B32" s="54"/>
      <c r="C32" s="54"/>
      <c r="D32" s="54"/>
      <c r="E32" s="54"/>
      <c r="F32" s="54"/>
    </row>
    <row r="34" spans="1:6" x14ac:dyDescent="0.3">
      <c r="A34" s="12" t="s">
        <v>972</v>
      </c>
      <c r="B34" s="12" t="s">
        <v>1098</v>
      </c>
      <c r="C34" s="12" t="s">
        <v>948</v>
      </c>
      <c r="D34" s="12" t="s">
        <v>1209</v>
      </c>
      <c r="E34" s="12" t="s">
        <v>1210</v>
      </c>
    </row>
    <row r="35" spans="1:6" x14ac:dyDescent="0.3">
      <c r="A35" t="s">
        <v>1211</v>
      </c>
      <c r="B35" s="26">
        <f>AVERAGE(fact_orders_1000[cost_per_mile])</f>
        <v>2.2537199999999942</v>
      </c>
      <c r="C35">
        <f>COUNTA(fact_orders_1000[cost_per_mile])</f>
        <v>1000</v>
      </c>
      <c r="D35" t="s">
        <v>1082</v>
      </c>
      <c r="E35" t="s">
        <v>1212</v>
      </c>
    </row>
    <row r="36" spans="1:6" x14ac:dyDescent="0.3">
      <c r="A36" t="s">
        <v>80</v>
      </c>
      <c r="B36" s="26">
        <f>AVERAGEIF(fact_orders_1000[truck_types],"Intermodal",fact_orders_1000[cost_per_mile])</f>
        <v>2.0888999999999998</v>
      </c>
      <c r="C36">
        <f>COUNTIF(fact_orders_1000[truck_types],"Intermodal")</f>
        <v>100</v>
      </c>
      <c r="D36" s="27">
        <f>B36-$B$35</f>
        <v>-0.16481999999999442</v>
      </c>
      <c r="E36" t="s">
        <v>1213</v>
      </c>
    </row>
    <row r="37" spans="1:6" x14ac:dyDescent="0.3">
      <c r="A37" t="s">
        <v>63</v>
      </c>
      <c r="B37" s="26">
        <f>AVERAGEIF(fact_orders_1000[truck_types],"Dry Van",fact_orders_1000[cost_per_mile])</f>
        <v>2.1807172131147543</v>
      </c>
      <c r="C37">
        <f>COUNTIF(fact_orders_1000[truck_types],"Dry Van")</f>
        <v>488</v>
      </c>
      <c r="D37" s="27">
        <f>B37-$B$35</f>
        <v>-7.3002786885239868E-2</v>
      </c>
      <c r="E37" t="s">
        <v>1214</v>
      </c>
    </row>
    <row r="38" spans="1:6" x14ac:dyDescent="0.3">
      <c r="A38" t="s">
        <v>112</v>
      </c>
      <c r="B38" s="26">
        <f>AVERAGEIF(fact_orders_1000[truck_types],"Flatbed",fact_orders_1000[cost_per_mile])</f>
        <v>2.3125196850393714</v>
      </c>
      <c r="C38">
        <f>COUNTIF(fact_orders_1000[truck_types],"Flatbed")</f>
        <v>127</v>
      </c>
      <c r="D38" s="27">
        <f>B38-$B$35</f>
        <v>5.879968503937727E-2</v>
      </c>
      <c r="E38" t="s">
        <v>1215</v>
      </c>
    </row>
    <row r="39" spans="1:6" x14ac:dyDescent="0.3">
      <c r="A39" t="s">
        <v>2</v>
      </c>
      <c r="B39" s="26">
        <f>AVERAGEIF(fact_orders_1000[truck_types],"Reefer",fact_orders_1000[cost_per_mile])</f>
        <v>2.3758723404255311</v>
      </c>
      <c r="C39">
        <f>COUNTIF(fact_orders_1000[truck_types],"Reefer")</f>
        <v>235</v>
      </c>
      <c r="D39" s="27">
        <f>B39-$B$35</f>
        <v>0.12215234042553691</v>
      </c>
      <c r="E39" t="s">
        <v>1216</v>
      </c>
    </row>
    <row r="40" spans="1:6" x14ac:dyDescent="0.3">
      <c r="A40" t="s">
        <v>215</v>
      </c>
      <c r="B40" s="26">
        <f>AVERAGEIF(fact_orders_1000[truck_types],"Tanker",fact_orders_1000[cost_per_mile])</f>
        <v>2.5724</v>
      </c>
      <c r="C40">
        <f>COUNTIF(fact_orders_1000[truck_types],"Tanker")</f>
        <v>50</v>
      </c>
      <c r="D40" s="27">
        <f>B40-$B$35</f>
        <v>0.31868000000000585</v>
      </c>
      <c r="E40" t="s">
        <v>1217</v>
      </c>
    </row>
    <row r="42" spans="1:6" x14ac:dyDescent="0.3">
      <c r="A42" s="53" t="s">
        <v>1218</v>
      </c>
      <c r="B42" s="53"/>
      <c r="C42" s="53"/>
      <c r="D42" s="53"/>
      <c r="E42" s="53"/>
      <c r="F42" s="53"/>
    </row>
    <row r="44" spans="1:6" x14ac:dyDescent="0.3">
      <c r="A44" s="12" t="s">
        <v>938</v>
      </c>
      <c r="B44" s="12" t="s">
        <v>939</v>
      </c>
    </row>
    <row r="45" spans="1:6" x14ac:dyDescent="0.3">
      <c r="A45" t="s">
        <v>1090</v>
      </c>
      <c r="B45" s="35">
        <f>SUM(fact_orders_1000[maintenance_cost_total])</f>
        <v>57716.200000000019</v>
      </c>
    </row>
    <row r="46" spans="1:6" x14ac:dyDescent="0.3">
      <c r="A46" t="s">
        <v>1219</v>
      </c>
      <c r="B46" s="35">
        <f>AVERAGEIF(fact_orders_1000[mechanical_flag],0,fact_orders_1000[maintenance_cost_total])</f>
        <v>53.616814070351793</v>
      </c>
    </row>
    <row r="47" spans="1:6" x14ac:dyDescent="0.3">
      <c r="A47" t="s">
        <v>1220</v>
      </c>
      <c r="B47" s="35">
        <f>AVERAGEIF(fact_orders_1000[mechanical_flag],1,fact_orders_1000[maintenance_cost_total])</f>
        <v>873.49400000000003</v>
      </c>
    </row>
    <row r="48" spans="1:6" x14ac:dyDescent="0.3">
      <c r="A48" t="s">
        <v>1221</v>
      </c>
      <c r="B48" s="35">
        <f>B47-B46</f>
        <v>819.87718592964825</v>
      </c>
    </row>
    <row r="49" spans="1:6" x14ac:dyDescent="0.3">
      <c r="A49" t="s">
        <v>1222</v>
      </c>
      <c r="B49" s="35">
        <f>COUNTIF(fact_orders_1000[mechanical_flag],1)</f>
        <v>5</v>
      </c>
    </row>
    <row r="50" spans="1:6" x14ac:dyDescent="0.3">
      <c r="A50" t="s">
        <v>1223</v>
      </c>
      <c r="B50" s="35">
        <f>B48*B49</f>
        <v>4099.3859296482415</v>
      </c>
    </row>
    <row r="52" spans="1:6" x14ac:dyDescent="0.3">
      <c r="A52" t="s">
        <v>1224</v>
      </c>
    </row>
    <row r="54" spans="1:6" x14ac:dyDescent="0.3">
      <c r="A54" s="59" t="s">
        <v>1225</v>
      </c>
      <c r="B54" s="59"/>
      <c r="C54" s="59"/>
      <c r="D54" s="59"/>
      <c r="E54" s="59"/>
      <c r="F54" s="59"/>
    </row>
    <row r="56" spans="1:6" x14ac:dyDescent="0.3">
      <c r="A56" s="12" t="s">
        <v>938</v>
      </c>
      <c r="B56" s="12" t="s">
        <v>1202</v>
      </c>
      <c r="C56" s="12" t="s">
        <v>1226</v>
      </c>
      <c r="D56" s="12" t="s">
        <v>1204</v>
      </c>
    </row>
    <row r="57" spans="1:6" x14ac:dyDescent="0.3">
      <c r="A57" t="s">
        <v>1110</v>
      </c>
      <c r="B57" s="36">
        <f>SUM(fact_orders_1000[deadhead_miles])</f>
        <v>19208.600000000006</v>
      </c>
      <c r="C57" s="36">
        <f>B57*0.5</f>
        <v>9604.3000000000029</v>
      </c>
      <c r="D57" s="36">
        <f>B57-C57</f>
        <v>9604.3000000000029</v>
      </c>
    </row>
    <row r="58" spans="1:6" x14ac:dyDescent="0.3">
      <c r="A58" t="s">
        <v>1227</v>
      </c>
      <c r="B58" s="35">
        <f>B57*0.78</f>
        <v>14982.708000000004</v>
      </c>
      <c r="C58" s="35">
        <f>C57*0.78</f>
        <v>7491.3540000000021</v>
      </c>
      <c r="D58" s="35">
        <f>B58-C58</f>
        <v>7491.3540000000021</v>
      </c>
    </row>
    <row r="59" spans="1:6" x14ac:dyDescent="0.3">
      <c r="A59" t="s">
        <v>1228</v>
      </c>
      <c r="B59" s="5">
        <f>SUM(fact_orders_1000[deadhead_miles])/SUM(fact_orders_1000[total_miles])</f>
        <v>5.7570762351192288E-2</v>
      </c>
    </row>
    <row r="61" spans="1:6" x14ac:dyDescent="0.3">
      <c r="A61" t="s">
        <v>1229</v>
      </c>
    </row>
    <row r="63" spans="1:6" x14ac:dyDescent="0.3">
      <c r="A63" s="61" t="s">
        <v>1230</v>
      </c>
      <c r="B63" s="61"/>
      <c r="C63" s="61"/>
      <c r="D63" s="61"/>
      <c r="E63" s="61"/>
      <c r="F63" s="61"/>
    </row>
    <row r="65" spans="1:4" x14ac:dyDescent="0.3">
      <c r="A65" s="34" t="s">
        <v>1167</v>
      </c>
      <c r="B65" s="34" t="s">
        <v>1231</v>
      </c>
      <c r="C65" s="34" t="s">
        <v>1232</v>
      </c>
      <c r="D65" s="34" t="s">
        <v>1233</v>
      </c>
    </row>
    <row r="66" spans="1:4" x14ac:dyDescent="0.3">
      <c r="A66" t="s">
        <v>1234</v>
      </c>
      <c r="B66" s="35">
        <f>SUM(fact_orders_1000[fuel_cost_total])*0.05</f>
        <v>12927.160499999998</v>
      </c>
      <c r="C66" s="35">
        <f>SUM(fact_orders_1000[fuel_cost_total])*0.1</f>
        <v>25854.320999999996</v>
      </c>
      <c r="D66" s="35">
        <f>SUM(fact_orders_1000[fuel_cost_total])*0.15</f>
        <v>38781.481499999987</v>
      </c>
    </row>
    <row r="67" spans="1:4" x14ac:dyDescent="0.3">
      <c r="A67" t="s">
        <v>1235</v>
      </c>
      <c r="B67" s="35">
        <f>SUM(fact_orders_1000[total_miles])*0.05*0.78</f>
        <v>13012.428</v>
      </c>
      <c r="C67" s="35">
        <f>SUM(fact_orders_1000[total_miles])*0.1*0.78</f>
        <v>26024.856</v>
      </c>
      <c r="D67" s="35">
        <f>SUM(fact_orders_1000[total_miles])*0.15*0.78</f>
        <v>39037.283999999992</v>
      </c>
    </row>
    <row r="68" spans="1:4" x14ac:dyDescent="0.3">
      <c r="A68" t="s">
        <v>1236</v>
      </c>
      <c r="B68" s="35">
        <f>B50*0.25</f>
        <v>1024.8464824120604</v>
      </c>
      <c r="C68" s="35">
        <f>B50*0.5</f>
        <v>2049.6929648241207</v>
      </c>
      <c r="D68" s="35">
        <f>B50*0.75</f>
        <v>3074.5394472361813</v>
      </c>
    </row>
    <row r="69" spans="1:4" x14ac:dyDescent="0.3">
      <c r="A69" t="s">
        <v>1237</v>
      </c>
      <c r="B69" s="35">
        <f>B58*0.25</f>
        <v>3745.677000000001</v>
      </c>
      <c r="C69" s="35">
        <f>B58*0.5</f>
        <v>7491.3540000000021</v>
      </c>
      <c r="D69" s="35">
        <f>B58*0.75</f>
        <v>11237.031000000003</v>
      </c>
    </row>
    <row r="70" spans="1:4" x14ac:dyDescent="0.3">
      <c r="B70" s="35"/>
      <c r="C70" s="35"/>
      <c r="D70" s="35"/>
    </row>
    <row r="71" spans="1:4" x14ac:dyDescent="0.3">
      <c r="A71" s="12" t="s">
        <v>1238</v>
      </c>
      <c r="B71" s="37">
        <f>SUM(B66:B69)</f>
        <v>30710.111982412058</v>
      </c>
      <c r="C71" s="37">
        <f>SUM(C66:C69)</f>
        <v>61420.223964824116</v>
      </c>
      <c r="D71" s="37">
        <f>SUM(D66:D69)</f>
        <v>92130.335947236163</v>
      </c>
    </row>
    <row r="72" spans="1:4" x14ac:dyDescent="0.3">
      <c r="A72" t="s">
        <v>1239</v>
      </c>
      <c r="B72" s="35">
        <f>SUM(fact_orders_1000[fuel_cost_total])+SUM(fact_orders_1000[maintenance_cost_total])+SUM(fact_orders_1000[driver_pay_total])</f>
        <v>517454.46000000043</v>
      </c>
    </row>
    <row r="73" spans="1:4" x14ac:dyDescent="0.3">
      <c r="A73" t="s">
        <v>1240</v>
      </c>
      <c r="B73" s="13">
        <f>B71/B72</f>
        <v>5.9348434222428061E-2</v>
      </c>
      <c r="C73" s="13">
        <f>C71/B72</f>
        <v>0.11869686844485612</v>
      </c>
      <c r="D73" s="13">
        <f>D71/B72</f>
        <v>0.17804530266728416</v>
      </c>
    </row>
    <row r="74" spans="1:4" x14ac:dyDescent="0.3">
      <c r="A74" s="12" t="s">
        <v>1241</v>
      </c>
      <c r="B74" s="38">
        <f>SUM($B$66:B73)</f>
        <v>578874.74331325875</v>
      </c>
      <c r="C74" s="38">
        <f>SUM($B$66:C73)</f>
        <v>701715.30993977538</v>
      </c>
      <c r="D74" s="38">
        <f>SUM($B$66:D73)</f>
        <v>885976.15987955034</v>
      </c>
    </row>
  </sheetData>
  <mergeCells count="8">
    <mergeCell ref="A54:F54"/>
    <mergeCell ref="A63:F63"/>
    <mergeCell ref="A1:F1"/>
    <mergeCell ref="A3:F3"/>
    <mergeCell ref="A13:F13"/>
    <mergeCell ref="A22:F22"/>
    <mergeCell ref="A32:F32"/>
    <mergeCell ref="A42:F4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B888-D333-45E0-A4B2-04352A452689}">
  <dimension ref="A1:D158"/>
  <sheetViews>
    <sheetView topLeftCell="A5" workbookViewId="0"/>
  </sheetViews>
  <sheetFormatPr defaultRowHeight="14.4" x14ac:dyDescent="0.3"/>
  <cols>
    <col min="1" max="1" width="64.77734375" customWidth="1"/>
    <col min="2" max="2" width="46.33203125" customWidth="1"/>
    <col min="3" max="4" width="33.33203125" customWidth="1"/>
  </cols>
  <sheetData>
    <row r="1" spans="1:1" ht="21" x14ac:dyDescent="0.4">
      <c r="A1" s="28" t="s">
        <v>1242</v>
      </c>
    </row>
    <row r="2" spans="1:1" ht="15.6" x14ac:dyDescent="0.3">
      <c r="A2" s="39" t="s">
        <v>1243</v>
      </c>
    </row>
    <row r="4" spans="1:1" x14ac:dyDescent="0.3">
      <c r="A4" s="33" t="s">
        <v>1244</v>
      </c>
    </row>
    <row r="6" spans="1:1" x14ac:dyDescent="0.3">
      <c r="A6" s="12" t="s">
        <v>1245</v>
      </c>
    </row>
    <row r="7" spans="1:1" x14ac:dyDescent="0.3">
      <c r="A7" t="s">
        <v>1246</v>
      </c>
    </row>
    <row r="8" spans="1:1" x14ac:dyDescent="0.3">
      <c r="A8" t="s">
        <v>1247</v>
      </c>
    </row>
    <row r="9" spans="1:1" x14ac:dyDescent="0.3">
      <c r="A9" t="s">
        <v>1248</v>
      </c>
    </row>
    <row r="10" spans="1:1" x14ac:dyDescent="0.3">
      <c r="A10" t="s">
        <v>1249</v>
      </c>
    </row>
    <row r="12" spans="1:1" x14ac:dyDescent="0.3">
      <c r="A12" s="12" t="s">
        <v>1250</v>
      </c>
    </row>
    <row r="13" spans="1:1" x14ac:dyDescent="0.3">
      <c r="A13" t="s">
        <v>1251</v>
      </c>
    </row>
    <row r="14" spans="1:1" x14ac:dyDescent="0.3">
      <c r="A14" t="s">
        <v>1252</v>
      </c>
    </row>
    <row r="15" spans="1:1" x14ac:dyDescent="0.3">
      <c r="A15" t="s">
        <v>1253</v>
      </c>
    </row>
    <row r="16" spans="1:1" x14ac:dyDescent="0.3">
      <c r="A16" t="s">
        <v>1254</v>
      </c>
    </row>
    <row r="18" spans="1:4" x14ac:dyDescent="0.3">
      <c r="A18" s="33" t="s">
        <v>1255</v>
      </c>
    </row>
    <row r="20" spans="1:4" x14ac:dyDescent="0.3">
      <c r="A20" s="34" t="s">
        <v>1256</v>
      </c>
      <c r="B20" s="34" t="s">
        <v>1257</v>
      </c>
      <c r="C20" s="34" t="s">
        <v>1258</v>
      </c>
      <c r="D20" s="34" t="s">
        <v>1259</v>
      </c>
    </row>
    <row r="21" spans="1:4" x14ac:dyDescent="0.3">
      <c r="A21" t="s">
        <v>1260</v>
      </c>
      <c r="B21" t="s">
        <v>1261</v>
      </c>
      <c r="C21" t="s">
        <v>1262</v>
      </c>
      <c r="D21" t="s">
        <v>1263</v>
      </c>
    </row>
    <row r="22" spans="1:4" x14ac:dyDescent="0.3">
      <c r="A22" t="s">
        <v>1264</v>
      </c>
      <c r="B22" t="s">
        <v>1265</v>
      </c>
      <c r="C22" t="s">
        <v>1266</v>
      </c>
      <c r="D22" t="s">
        <v>1267</v>
      </c>
    </row>
    <row r="24" spans="1:4" x14ac:dyDescent="0.3">
      <c r="A24" s="12" t="s">
        <v>1268</v>
      </c>
    </row>
    <row r="25" spans="1:4" x14ac:dyDescent="0.3">
      <c r="A25" s="34" t="s">
        <v>947</v>
      </c>
      <c r="B25" s="34" t="s">
        <v>1269</v>
      </c>
      <c r="C25" s="34" t="s">
        <v>1270</v>
      </c>
      <c r="D25" s="34" t="s">
        <v>1142</v>
      </c>
    </row>
    <row r="26" spans="1:4" x14ac:dyDescent="0.3">
      <c r="A26" t="s">
        <v>1271</v>
      </c>
      <c r="B26" t="s">
        <v>1293</v>
      </c>
      <c r="C26" t="s">
        <v>1272</v>
      </c>
      <c r="D26" t="s">
        <v>1294</v>
      </c>
    </row>
    <row r="27" spans="1:4" x14ac:dyDescent="0.3">
      <c r="A27" t="s">
        <v>1273</v>
      </c>
      <c r="B27" t="s">
        <v>1295</v>
      </c>
      <c r="C27" t="s">
        <v>1274</v>
      </c>
      <c r="D27" t="s">
        <v>1275</v>
      </c>
    </row>
    <row r="28" spans="1:4" x14ac:dyDescent="0.3">
      <c r="A28" t="s">
        <v>1276</v>
      </c>
      <c r="B28" t="s">
        <v>1277</v>
      </c>
      <c r="C28" t="s">
        <v>1278</v>
      </c>
      <c r="D28" t="s">
        <v>1279</v>
      </c>
    </row>
    <row r="29" spans="1:4" x14ac:dyDescent="0.3">
      <c r="A29" t="s">
        <v>1280</v>
      </c>
      <c r="B29" t="s">
        <v>1281</v>
      </c>
      <c r="C29" t="s">
        <v>1278</v>
      </c>
      <c r="D29" t="s">
        <v>1282</v>
      </c>
    </row>
    <row r="30" spans="1:4" x14ac:dyDescent="0.3">
      <c r="A30" t="s">
        <v>1283</v>
      </c>
      <c r="B30" t="s">
        <v>1284</v>
      </c>
      <c r="C30" t="s">
        <v>1285</v>
      </c>
      <c r="D30" t="s">
        <v>1286</v>
      </c>
    </row>
    <row r="32" spans="1:4" x14ac:dyDescent="0.3">
      <c r="A32" s="33" t="s">
        <v>1287</v>
      </c>
    </row>
    <row r="34" spans="1:4" x14ac:dyDescent="0.3">
      <c r="A34" s="12" t="s">
        <v>1288</v>
      </c>
    </row>
    <row r="35" spans="1:4" x14ac:dyDescent="0.3">
      <c r="A35" s="34" t="s">
        <v>1139</v>
      </c>
      <c r="B35" s="34" t="s">
        <v>1289</v>
      </c>
      <c r="C35" s="34" t="s">
        <v>1290</v>
      </c>
      <c r="D35" s="34" t="s">
        <v>1291</v>
      </c>
    </row>
    <row r="36" spans="1:4" x14ac:dyDescent="0.3">
      <c r="A36" t="s">
        <v>1292</v>
      </c>
      <c r="B36" t="s">
        <v>1296</v>
      </c>
      <c r="C36" t="s">
        <v>1297</v>
      </c>
      <c r="D36" t="s">
        <v>1298</v>
      </c>
    </row>
    <row r="37" spans="1:4" x14ac:dyDescent="0.3">
      <c r="A37" t="s">
        <v>1299</v>
      </c>
      <c r="B37" t="s">
        <v>1300</v>
      </c>
      <c r="C37" t="s">
        <v>1301</v>
      </c>
      <c r="D37" t="s">
        <v>1302</v>
      </c>
    </row>
    <row r="38" spans="1:4" x14ac:dyDescent="0.3">
      <c r="A38" t="s">
        <v>1303</v>
      </c>
      <c r="B38" t="s">
        <v>1304</v>
      </c>
      <c r="C38" t="s">
        <v>1305</v>
      </c>
      <c r="D38" t="s">
        <v>1306</v>
      </c>
    </row>
    <row r="39" spans="1:4" x14ac:dyDescent="0.3">
      <c r="A39" t="s">
        <v>1307</v>
      </c>
      <c r="B39" t="s">
        <v>1308</v>
      </c>
      <c r="C39" t="s">
        <v>1309</v>
      </c>
      <c r="D39" t="s">
        <v>1310</v>
      </c>
    </row>
    <row r="41" spans="1:4" x14ac:dyDescent="0.3">
      <c r="A41" s="12" t="s">
        <v>1311</v>
      </c>
    </row>
    <row r="42" spans="1:4" x14ac:dyDescent="0.3">
      <c r="A42" s="34" t="s">
        <v>1312</v>
      </c>
      <c r="B42" s="34" t="s">
        <v>1313</v>
      </c>
      <c r="C42" s="34" t="s">
        <v>1142</v>
      </c>
      <c r="D42" s="34" t="s">
        <v>1314</v>
      </c>
    </row>
    <row r="43" spans="1:4" x14ac:dyDescent="0.3">
      <c r="A43" t="s">
        <v>1315</v>
      </c>
      <c r="B43" t="s">
        <v>1316</v>
      </c>
      <c r="C43" t="s">
        <v>1317</v>
      </c>
      <c r="D43" t="s">
        <v>1318</v>
      </c>
    </row>
    <row r="44" spans="1:4" x14ac:dyDescent="0.3">
      <c r="A44" t="s">
        <v>1319</v>
      </c>
      <c r="B44" t="s">
        <v>1320</v>
      </c>
      <c r="C44" t="s">
        <v>1317</v>
      </c>
      <c r="D44" t="s">
        <v>1321</v>
      </c>
    </row>
    <row r="45" spans="1:4" x14ac:dyDescent="0.3">
      <c r="A45" t="s">
        <v>1322</v>
      </c>
      <c r="B45" t="s">
        <v>1323</v>
      </c>
      <c r="C45" t="s">
        <v>1324</v>
      </c>
      <c r="D45" t="s">
        <v>1325</v>
      </c>
    </row>
    <row r="46" spans="1:4" x14ac:dyDescent="0.3">
      <c r="A46" t="s">
        <v>1112</v>
      </c>
      <c r="B46" t="s">
        <v>1326</v>
      </c>
      <c r="C46" t="s">
        <v>1327</v>
      </c>
      <c r="D46" t="s">
        <v>1328</v>
      </c>
    </row>
    <row r="47" spans="1:4" x14ac:dyDescent="0.3">
      <c r="A47" t="s">
        <v>1094</v>
      </c>
      <c r="B47" t="s">
        <v>1329</v>
      </c>
      <c r="C47" t="s">
        <v>1330</v>
      </c>
      <c r="D47" t="s">
        <v>1328</v>
      </c>
    </row>
    <row r="49" spans="1:4" x14ac:dyDescent="0.3">
      <c r="A49" s="33" t="s">
        <v>1331</v>
      </c>
    </row>
    <row r="51" spans="1:4" x14ac:dyDescent="0.3">
      <c r="A51" s="12" t="s">
        <v>1332</v>
      </c>
    </row>
    <row r="52" spans="1:4" x14ac:dyDescent="0.3">
      <c r="A52" s="34" t="s">
        <v>1333</v>
      </c>
      <c r="B52" s="34" t="s">
        <v>1141</v>
      </c>
      <c r="C52" s="34" t="s">
        <v>1142</v>
      </c>
      <c r="D52" s="34" t="s">
        <v>1334</v>
      </c>
    </row>
    <row r="53" spans="1:4" x14ac:dyDescent="0.3">
      <c r="A53" t="s">
        <v>1335</v>
      </c>
      <c r="B53" t="s">
        <v>1336</v>
      </c>
      <c r="C53" t="s">
        <v>1337</v>
      </c>
      <c r="D53" t="s">
        <v>1338</v>
      </c>
    </row>
    <row r="54" spans="1:4" x14ac:dyDescent="0.3">
      <c r="A54" t="s">
        <v>1339</v>
      </c>
      <c r="B54" t="s">
        <v>1340</v>
      </c>
      <c r="C54" t="s">
        <v>1341</v>
      </c>
      <c r="D54" t="s">
        <v>1342</v>
      </c>
    </row>
    <row r="55" spans="1:4" x14ac:dyDescent="0.3">
      <c r="A55" t="s">
        <v>1343</v>
      </c>
      <c r="B55" t="s">
        <v>1344</v>
      </c>
      <c r="C55" t="s">
        <v>1345</v>
      </c>
      <c r="D55" t="s">
        <v>1346</v>
      </c>
    </row>
    <row r="56" spans="1:4" x14ac:dyDescent="0.3">
      <c r="A56" t="s">
        <v>1347</v>
      </c>
      <c r="B56" t="s">
        <v>1348</v>
      </c>
      <c r="C56" t="s">
        <v>1349</v>
      </c>
      <c r="D56" t="s">
        <v>1301</v>
      </c>
    </row>
    <row r="57" spans="1:4" x14ac:dyDescent="0.3">
      <c r="A57" t="s">
        <v>1350</v>
      </c>
      <c r="B57" t="s">
        <v>1351</v>
      </c>
      <c r="C57" t="s">
        <v>1352</v>
      </c>
      <c r="D57" t="s">
        <v>1353</v>
      </c>
    </row>
    <row r="59" spans="1:4" x14ac:dyDescent="0.3">
      <c r="A59" s="12" t="s">
        <v>1354</v>
      </c>
    </row>
    <row r="60" spans="1:4" x14ac:dyDescent="0.3">
      <c r="A60" s="34" t="s">
        <v>1355</v>
      </c>
      <c r="B60" s="34" t="s">
        <v>1356</v>
      </c>
      <c r="C60" s="34" t="s">
        <v>1022</v>
      </c>
      <c r="D60" s="34" t="s">
        <v>1357</v>
      </c>
    </row>
    <row r="61" spans="1:4" x14ac:dyDescent="0.3">
      <c r="A61" t="s">
        <v>1358</v>
      </c>
      <c r="B61" t="s">
        <v>1359</v>
      </c>
      <c r="C61" t="s">
        <v>1360</v>
      </c>
      <c r="D61" t="s">
        <v>1361</v>
      </c>
    </row>
    <row r="62" spans="1:4" x14ac:dyDescent="0.3">
      <c r="A62" t="s">
        <v>1362</v>
      </c>
      <c r="B62" t="s">
        <v>1363</v>
      </c>
      <c r="C62" t="s">
        <v>1364</v>
      </c>
      <c r="D62" t="s">
        <v>1365</v>
      </c>
    </row>
    <row r="63" spans="1:4" x14ac:dyDescent="0.3">
      <c r="A63" t="s">
        <v>1366</v>
      </c>
      <c r="B63" t="s">
        <v>1367</v>
      </c>
      <c r="C63" t="s">
        <v>1368</v>
      </c>
      <c r="D63" t="s">
        <v>1369</v>
      </c>
    </row>
    <row r="65" spans="1:4" x14ac:dyDescent="0.3">
      <c r="A65" s="12" t="s">
        <v>1370</v>
      </c>
    </row>
    <row r="66" spans="1:4" x14ac:dyDescent="0.3">
      <c r="A66" s="34" t="s">
        <v>1371</v>
      </c>
      <c r="B66" s="34" t="s">
        <v>1372</v>
      </c>
      <c r="C66" s="34" t="s">
        <v>1022</v>
      </c>
      <c r="D66" s="34" t="s">
        <v>1373</v>
      </c>
    </row>
    <row r="67" spans="1:4" x14ac:dyDescent="0.3">
      <c r="A67" t="s">
        <v>1038</v>
      </c>
      <c r="B67" t="s">
        <v>1374</v>
      </c>
      <c r="C67" t="s">
        <v>1375</v>
      </c>
      <c r="D67" t="s">
        <v>1376</v>
      </c>
    </row>
    <row r="68" spans="1:4" x14ac:dyDescent="0.3">
      <c r="A68" t="s">
        <v>1037</v>
      </c>
      <c r="B68" t="s">
        <v>1377</v>
      </c>
      <c r="C68" t="s">
        <v>1378</v>
      </c>
      <c r="D68" t="s">
        <v>1379</v>
      </c>
    </row>
    <row r="69" spans="1:4" x14ac:dyDescent="0.3">
      <c r="A69" t="s">
        <v>1039</v>
      </c>
      <c r="B69" t="s">
        <v>1380</v>
      </c>
      <c r="C69" t="s">
        <v>1381</v>
      </c>
      <c r="D69" t="s">
        <v>1382</v>
      </c>
    </row>
    <row r="70" spans="1:4" x14ac:dyDescent="0.3">
      <c r="A70" t="s">
        <v>1383</v>
      </c>
      <c r="B70" t="e" cm="1">
        <f t="array" ref="B70" xml:space="preserve"> a + b * X</f>
        <v>#NAME?</v>
      </c>
      <c r="C70" t="s">
        <v>1384</v>
      </c>
      <c r="D70" t="s">
        <v>1385</v>
      </c>
    </row>
    <row r="72" spans="1:4" x14ac:dyDescent="0.3">
      <c r="A72" s="33" t="s">
        <v>1386</v>
      </c>
    </row>
    <row r="74" spans="1:4" x14ac:dyDescent="0.3">
      <c r="A74" s="12" t="s">
        <v>1387</v>
      </c>
    </row>
    <row r="75" spans="1:4" x14ac:dyDescent="0.3">
      <c r="A75" s="34" t="s">
        <v>1388</v>
      </c>
      <c r="B75" s="34" t="s">
        <v>1163</v>
      </c>
      <c r="C75" s="34" t="s">
        <v>1039</v>
      </c>
      <c r="D75" s="34" t="s">
        <v>1389</v>
      </c>
    </row>
    <row r="76" spans="1:4" x14ac:dyDescent="0.3">
      <c r="A76" t="s">
        <v>1390</v>
      </c>
      <c r="B76" t="s">
        <v>1168</v>
      </c>
      <c r="C76" s="5">
        <v>0.53300000000000003</v>
      </c>
      <c r="D76" t="s">
        <v>1391</v>
      </c>
    </row>
    <row r="77" spans="1:4" x14ac:dyDescent="0.3">
      <c r="A77" t="s">
        <v>1392</v>
      </c>
      <c r="B77" t="s">
        <v>1173</v>
      </c>
      <c r="C77" s="5">
        <v>0.95799999999999996</v>
      </c>
      <c r="D77" t="s">
        <v>1393</v>
      </c>
    </row>
    <row r="78" spans="1:4" x14ac:dyDescent="0.3">
      <c r="A78" t="s">
        <v>1394</v>
      </c>
      <c r="B78" t="s">
        <v>1173</v>
      </c>
      <c r="C78" s="5">
        <v>0.95699999999999996</v>
      </c>
      <c r="D78" t="s">
        <v>1395</v>
      </c>
    </row>
    <row r="79" spans="1:4" x14ac:dyDescent="0.3">
      <c r="A79" t="s">
        <v>1396</v>
      </c>
      <c r="B79" t="s">
        <v>1178</v>
      </c>
      <c r="C79" s="5">
        <v>0.65900000000000003</v>
      </c>
      <c r="D79" t="s">
        <v>1397</v>
      </c>
    </row>
    <row r="81" spans="1:4" x14ac:dyDescent="0.3">
      <c r="A81" s="12" t="s">
        <v>1398</v>
      </c>
    </row>
    <row r="82" spans="1:4" x14ac:dyDescent="0.3">
      <c r="A82" s="34" t="s">
        <v>938</v>
      </c>
      <c r="B82" s="34" t="s">
        <v>939</v>
      </c>
      <c r="C82" s="34" t="s">
        <v>984</v>
      </c>
      <c r="D82" s="34" t="s">
        <v>1399</v>
      </c>
    </row>
    <row r="83" spans="1:4" x14ac:dyDescent="0.3">
      <c r="A83" t="s">
        <v>940</v>
      </c>
      <c r="B83">
        <v>1000</v>
      </c>
      <c r="C83" s="40">
        <v>1</v>
      </c>
      <c r="D83" t="s">
        <v>1400</v>
      </c>
    </row>
    <row r="84" spans="1:4" x14ac:dyDescent="0.3">
      <c r="A84" t="s">
        <v>1401</v>
      </c>
      <c r="B84">
        <v>703</v>
      </c>
      <c r="C84" s="5">
        <v>0.70299999999999996</v>
      </c>
      <c r="D84" t="s">
        <v>1402</v>
      </c>
    </row>
    <row r="85" spans="1:4" x14ac:dyDescent="0.3">
      <c r="A85" t="s">
        <v>1403</v>
      </c>
      <c r="B85">
        <v>297</v>
      </c>
      <c r="C85" s="5">
        <v>0.29699999999999999</v>
      </c>
      <c r="D85" t="s">
        <v>1404</v>
      </c>
    </row>
    <row r="86" spans="1:4" x14ac:dyDescent="0.3">
      <c r="A86" t="s">
        <v>983</v>
      </c>
      <c r="B86">
        <v>12</v>
      </c>
      <c r="C86" s="5">
        <v>1.2E-2</v>
      </c>
      <c r="D86" t="s">
        <v>1405</v>
      </c>
    </row>
    <row r="87" spans="1:4" x14ac:dyDescent="0.3">
      <c r="A87" t="s">
        <v>1406</v>
      </c>
      <c r="B87" t="s">
        <v>986</v>
      </c>
      <c r="C87" t="s">
        <v>1181</v>
      </c>
      <c r="D87" t="s">
        <v>1407</v>
      </c>
    </row>
    <row r="89" spans="1:4" x14ac:dyDescent="0.3">
      <c r="A89" s="12" t="s">
        <v>1408</v>
      </c>
    </row>
    <row r="90" spans="1:4" x14ac:dyDescent="0.3">
      <c r="A90" s="34" t="s">
        <v>1167</v>
      </c>
      <c r="B90" s="34" t="s">
        <v>1165</v>
      </c>
      <c r="C90" s="34" t="s">
        <v>1409</v>
      </c>
      <c r="D90" s="34" t="s">
        <v>1410</v>
      </c>
    </row>
    <row r="91" spans="1:4" x14ac:dyDescent="0.3">
      <c r="A91" t="s">
        <v>1411</v>
      </c>
      <c r="B91" t="s">
        <v>1412</v>
      </c>
      <c r="C91" t="s">
        <v>1191</v>
      </c>
      <c r="D91" t="s">
        <v>1413</v>
      </c>
    </row>
    <row r="92" spans="1:4" x14ac:dyDescent="0.3">
      <c r="A92" t="s">
        <v>1414</v>
      </c>
      <c r="B92" t="s">
        <v>1415</v>
      </c>
      <c r="C92" t="s">
        <v>1416</v>
      </c>
      <c r="D92" t="s">
        <v>1417</v>
      </c>
    </row>
    <row r="93" spans="1:4" x14ac:dyDescent="0.3">
      <c r="A93" t="s">
        <v>1418</v>
      </c>
      <c r="B93" t="s">
        <v>1419</v>
      </c>
      <c r="C93" t="s">
        <v>1420</v>
      </c>
      <c r="D93" t="s">
        <v>1421</v>
      </c>
    </row>
    <row r="94" spans="1:4" x14ac:dyDescent="0.3">
      <c r="A94" s="12" t="s">
        <v>1422</v>
      </c>
      <c r="B94" s="12" t="s">
        <v>1423</v>
      </c>
      <c r="C94" s="12" t="s">
        <v>1424</v>
      </c>
      <c r="D94" s="12" t="s">
        <v>1425</v>
      </c>
    </row>
    <row r="96" spans="1:4" x14ac:dyDescent="0.3">
      <c r="A96" s="33" t="s">
        <v>1426</v>
      </c>
    </row>
    <row r="98" spans="1:4" x14ac:dyDescent="0.3">
      <c r="A98" s="12" t="s">
        <v>1427</v>
      </c>
    </row>
    <row r="99" spans="1:4" x14ac:dyDescent="0.3">
      <c r="A99" t="s">
        <v>1428</v>
      </c>
    </row>
    <row r="101" spans="1:4" x14ac:dyDescent="0.3">
      <c r="A101" s="34" t="s">
        <v>1139</v>
      </c>
      <c r="B101" s="34" t="s">
        <v>1429</v>
      </c>
      <c r="C101" s="34" t="s">
        <v>1430</v>
      </c>
      <c r="D101" s="34" t="s">
        <v>1431</v>
      </c>
    </row>
    <row r="102" spans="1:4" x14ac:dyDescent="0.3">
      <c r="A102" t="s">
        <v>1432</v>
      </c>
      <c r="B102" t="s">
        <v>1433</v>
      </c>
      <c r="C102" t="s">
        <v>1434</v>
      </c>
      <c r="D102" t="s">
        <v>1435</v>
      </c>
    </row>
    <row r="103" spans="1:4" x14ac:dyDescent="0.3">
      <c r="A103" t="s">
        <v>1436</v>
      </c>
      <c r="B103" t="s">
        <v>1437</v>
      </c>
      <c r="C103" t="s">
        <v>1438</v>
      </c>
      <c r="D103" t="s">
        <v>1439</v>
      </c>
    </row>
    <row r="104" spans="1:4" x14ac:dyDescent="0.3">
      <c r="A104" t="s">
        <v>1440</v>
      </c>
      <c r="B104" t="s">
        <v>1441</v>
      </c>
      <c r="C104" t="s">
        <v>1442</v>
      </c>
      <c r="D104" t="s">
        <v>1443</v>
      </c>
    </row>
    <row r="105" spans="1:4" x14ac:dyDescent="0.3">
      <c r="A105" t="s">
        <v>1444</v>
      </c>
      <c r="B105" t="s">
        <v>1445</v>
      </c>
      <c r="C105" t="s">
        <v>1446</v>
      </c>
      <c r="D105" t="s">
        <v>1447</v>
      </c>
    </row>
    <row r="106" spans="1:4" x14ac:dyDescent="0.3">
      <c r="A106" t="s">
        <v>1448</v>
      </c>
      <c r="B106" t="s">
        <v>1449</v>
      </c>
      <c r="C106" t="s">
        <v>1450</v>
      </c>
      <c r="D106" t="s">
        <v>1451</v>
      </c>
    </row>
    <row r="107" spans="1:4" x14ac:dyDescent="0.3">
      <c r="A107" t="s">
        <v>1452</v>
      </c>
      <c r="B107" t="s">
        <v>1453</v>
      </c>
      <c r="C107" t="s">
        <v>1454</v>
      </c>
      <c r="D107" t="s">
        <v>1455</v>
      </c>
    </row>
    <row r="109" spans="1:4" x14ac:dyDescent="0.3">
      <c r="A109" s="12" t="s">
        <v>1456</v>
      </c>
    </row>
    <row r="110" spans="1:4" x14ac:dyDescent="0.3">
      <c r="A110" s="34" t="s">
        <v>1142</v>
      </c>
      <c r="B110" s="34" t="s">
        <v>1457</v>
      </c>
      <c r="C110" s="34" t="s">
        <v>1458</v>
      </c>
    </row>
    <row r="111" spans="1:4" x14ac:dyDescent="0.3">
      <c r="A111" t="s">
        <v>1163</v>
      </c>
      <c r="B111" t="s">
        <v>1467</v>
      </c>
      <c r="C111" t="s">
        <v>1459</v>
      </c>
    </row>
    <row r="112" spans="1:4" x14ac:dyDescent="0.3">
      <c r="A112" t="s">
        <v>1039</v>
      </c>
      <c r="B112" t="s">
        <v>1468</v>
      </c>
      <c r="C112" t="s">
        <v>1469</v>
      </c>
    </row>
    <row r="113" spans="1:3" x14ac:dyDescent="0.3">
      <c r="A113" t="s">
        <v>1460</v>
      </c>
      <c r="B113" t="s">
        <v>1470</v>
      </c>
      <c r="C113" t="s">
        <v>1461</v>
      </c>
    </row>
    <row r="114" spans="1:3" x14ac:dyDescent="0.3">
      <c r="A114" t="s">
        <v>1462</v>
      </c>
      <c r="B114" t="s">
        <v>1471</v>
      </c>
      <c r="C114" t="s">
        <v>1472</v>
      </c>
    </row>
    <row r="115" spans="1:3" x14ac:dyDescent="0.3">
      <c r="A115" t="s">
        <v>1383</v>
      </c>
      <c r="B115" t="s">
        <v>1473</v>
      </c>
      <c r="C115" t="s">
        <v>1463</v>
      </c>
    </row>
    <row r="116" spans="1:3" x14ac:dyDescent="0.3">
      <c r="A116" t="s">
        <v>1464</v>
      </c>
      <c r="B116" t="s">
        <v>1474</v>
      </c>
      <c r="C116" t="s">
        <v>1465</v>
      </c>
    </row>
    <row r="117" spans="1:3" x14ac:dyDescent="0.3">
      <c r="A117" t="s">
        <v>1466</v>
      </c>
      <c r="B117" t="s">
        <v>1475</v>
      </c>
      <c r="C117" t="s">
        <v>1476</v>
      </c>
    </row>
    <row r="119" spans="1:3" x14ac:dyDescent="0.3">
      <c r="A119" s="12" t="s">
        <v>1477</v>
      </c>
    </row>
    <row r="120" spans="1:3" x14ac:dyDescent="0.3">
      <c r="A120" t="s">
        <v>1478</v>
      </c>
    </row>
    <row r="121" spans="1:3" x14ac:dyDescent="0.3">
      <c r="A121" t="s">
        <v>1479</v>
      </c>
    </row>
    <row r="122" spans="1:3" x14ac:dyDescent="0.3">
      <c r="A122" t="s">
        <v>1480</v>
      </c>
    </row>
    <row r="123" spans="1:3" x14ac:dyDescent="0.3">
      <c r="A123" t="s">
        <v>1481</v>
      </c>
    </row>
    <row r="124" spans="1:3" x14ac:dyDescent="0.3">
      <c r="A124" t="s">
        <v>1482</v>
      </c>
    </row>
    <row r="125" spans="1:3" x14ac:dyDescent="0.3">
      <c r="A125" t="s">
        <v>1483</v>
      </c>
    </row>
    <row r="126" spans="1:3" x14ac:dyDescent="0.3">
      <c r="A126" t="s">
        <v>1484</v>
      </c>
    </row>
    <row r="127" spans="1:3" x14ac:dyDescent="0.3">
      <c r="A127" t="s">
        <v>1485</v>
      </c>
    </row>
    <row r="128" spans="1:3" x14ac:dyDescent="0.3">
      <c r="A128" t="s">
        <v>1486</v>
      </c>
    </row>
    <row r="129" spans="1:4" x14ac:dyDescent="0.3">
      <c r="A129" t="s">
        <v>1487</v>
      </c>
    </row>
    <row r="131" spans="1:4" x14ac:dyDescent="0.3">
      <c r="A131" s="33" t="s">
        <v>1488</v>
      </c>
    </row>
    <row r="133" spans="1:4" x14ac:dyDescent="0.3">
      <c r="A133" s="34" t="s">
        <v>1489</v>
      </c>
      <c r="B133" s="34" t="s">
        <v>1490</v>
      </c>
      <c r="C133" s="34" t="s">
        <v>1491</v>
      </c>
      <c r="D133" s="34" t="s">
        <v>1492</v>
      </c>
    </row>
    <row r="134" spans="1:4" x14ac:dyDescent="0.3">
      <c r="A134" t="s">
        <v>1493</v>
      </c>
      <c r="B134" t="s">
        <v>1494</v>
      </c>
      <c r="C134" t="s">
        <v>1495</v>
      </c>
      <c r="D134" t="s">
        <v>1496</v>
      </c>
    </row>
    <row r="135" spans="1:4" x14ac:dyDescent="0.3">
      <c r="A135" t="s">
        <v>1325</v>
      </c>
      <c r="B135" t="s">
        <v>1497</v>
      </c>
      <c r="C135" t="s">
        <v>1498</v>
      </c>
      <c r="D135" t="s">
        <v>1499</v>
      </c>
    </row>
    <row r="136" spans="1:4" x14ac:dyDescent="0.3">
      <c r="A136" t="s">
        <v>1500</v>
      </c>
      <c r="B136" t="s">
        <v>1501</v>
      </c>
      <c r="C136" t="s">
        <v>1502</v>
      </c>
      <c r="D136" t="s">
        <v>1503</v>
      </c>
    </row>
    <row r="137" spans="1:4" x14ac:dyDescent="0.3">
      <c r="A137" t="s">
        <v>1504</v>
      </c>
      <c r="B137" t="s">
        <v>1505</v>
      </c>
      <c r="C137" t="s">
        <v>1506</v>
      </c>
      <c r="D137" t="s">
        <v>1507</v>
      </c>
    </row>
    <row r="138" spans="1:4" x14ac:dyDescent="0.3">
      <c r="A138" t="s">
        <v>1328</v>
      </c>
      <c r="B138" t="s">
        <v>1508</v>
      </c>
      <c r="C138" t="s">
        <v>1509</v>
      </c>
      <c r="D138" t="s">
        <v>1510</v>
      </c>
    </row>
    <row r="139" spans="1:4" x14ac:dyDescent="0.3">
      <c r="A139" t="s">
        <v>1511</v>
      </c>
      <c r="B139" t="s">
        <v>1512</v>
      </c>
      <c r="C139" t="s">
        <v>1513</v>
      </c>
      <c r="D139" t="s">
        <v>1514</v>
      </c>
    </row>
    <row r="141" spans="1:4" x14ac:dyDescent="0.3">
      <c r="A141" s="33" t="s">
        <v>1515</v>
      </c>
    </row>
    <row r="143" spans="1:4" x14ac:dyDescent="0.3">
      <c r="A143" s="12" t="s">
        <v>1516</v>
      </c>
    </row>
    <row r="144" spans="1:4" x14ac:dyDescent="0.3">
      <c r="A144" t="s">
        <v>1517</v>
      </c>
    </row>
    <row r="145" spans="1:1" x14ac:dyDescent="0.3">
      <c r="A145" t="s">
        <v>1518</v>
      </c>
    </row>
    <row r="147" spans="1:1" x14ac:dyDescent="0.3">
      <c r="A147" s="12" t="s">
        <v>1519</v>
      </c>
    </row>
    <row r="148" spans="1:1" x14ac:dyDescent="0.3">
      <c r="A148" t="s">
        <v>1520</v>
      </c>
    </row>
    <row r="149" spans="1:1" x14ac:dyDescent="0.3">
      <c r="A149" t="s">
        <v>1521</v>
      </c>
    </row>
    <row r="150" spans="1:1" x14ac:dyDescent="0.3">
      <c r="A150" t="s">
        <v>1522</v>
      </c>
    </row>
    <row r="151" spans="1:1" x14ac:dyDescent="0.3">
      <c r="A151" t="s">
        <v>1523</v>
      </c>
    </row>
    <row r="152" spans="1:1" x14ac:dyDescent="0.3">
      <c r="A152" t="s">
        <v>1524</v>
      </c>
    </row>
    <row r="154" spans="1:1" x14ac:dyDescent="0.3">
      <c r="A154" s="12" t="s">
        <v>1525</v>
      </c>
    </row>
    <row r="155" spans="1:1" x14ac:dyDescent="0.3">
      <c r="A155" t="s">
        <v>1526</v>
      </c>
    </row>
    <row r="156" spans="1:1" x14ac:dyDescent="0.3">
      <c r="A156" t="s">
        <v>1527</v>
      </c>
    </row>
    <row r="157" spans="1:1" x14ac:dyDescent="0.3">
      <c r="A157" t="s">
        <v>1528</v>
      </c>
    </row>
    <row r="158" spans="1:1" x14ac:dyDescent="0.3">
      <c r="A158" t="s">
        <v>1529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3BCD-03C0-48F7-BEE3-3D9A6BB77041}">
  <dimension ref="A1:G110"/>
  <sheetViews>
    <sheetView topLeftCell="A15" workbookViewId="0">
      <selection activeCell="E107" sqref="E107"/>
    </sheetView>
  </sheetViews>
  <sheetFormatPr defaultRowHeight="14.4" x14ac:dyDescent="0.3"/>
  <cols>
    <col min="1" max="1" width="38.109375" bestFit="1" customWidth="1"/>
    <col min="2" max="2" width="26.88671875" bestFit="1" customWidth="1"/>
    <col min="3" max="3" width="31" bestFit="1" customWidth="1"/>
    <col min="4" max="4" width="27" bestFit="1" customWidth="1"/>
    <col min="5" max="5" width="27.5546875" bestFit="1" customWidth="1"/>
    <col min="6" max="6" width="22.6640625" bestFit="1" customWidth="1"/>
    <col min="7" max="7" width="38.33203125" bestFit="1" customWidth="1"/>
  </cols>
  <sheetData>
    <row r="1" spans="1:7" ht="18" x14ac:dyDescent="0.35">
      <c r="A1" s="56" t="s">
        <v>1783</v>
      </c>
      <c r="B1" s="55"/>
      <c r="C1" s="55"/>
      <c r="D1" s="55"/>
      <c r="E1" s="55"/>
      <c r="F1" s="55"/>
      <c r="G1" s="55"/>
    </row>
    <row r="3" spans="1:7" x14ac:dyDescent="0.3">
      <c r="A3" s="57" t="s">
        <v>1784</v>
      </c>
      <c r="B3" s="55"/>
      <c r="C3" s="55"/>
      <c r="D3" s="55"/>
      <c r="E3" s="55"/>
      <c r="F3" s="55"/>
      <c r="G3" s="55"/>
    </row>
    <row r="5" spans="1:7" x14ac:dyDescent="0.3">
      <c r="A5" s="50" t="s">
        <v>1785</v>
      </c>
      <c r="B5" s="50" t="s">
        <v>1786</v>
      </c>
      <c r="C5" s="50" t="s">
        <v>1787</v>
      </c>
      <c r="D5" s="50" t="s">
        <v>1788</v>
      </c>
      <c r="E5" s="50" t="s">
        <v>1789</v>
      </c>
      <c r="F5" s="50" t="s">
        <v>1790</v>
      </c>
      <c r="G5" s="50" t="s">
        <v>1791</v>
      </c>
    </row>
    <row r="6" spans="1:7" x14ac:dyDescent="0.3">
      <c r="A6" s="51">
        <v>1</v>
      </c>
      <c r="B6" s="51" t="s">
        <v>1726</v>
      </c>
      <c r="C6" s="51" t="s">
        <v>1728</v>
      </c>
      <c r="D6" s="51" t="s">
        <v>1730</v>
      </c>
      <c r="E6" s="51"/>
      <c r="F6" s="51" t="s">
        <v>1792</v>
      </c>
      <c r="G6" s="51" t="s">
        <v>1793</v>
      </c>
    </row>
    <row r="7" spans="1:7" x14ac:dyDescent="0.3">
      <c r="A7" s="51">
        <v>2</v>
      </c>
      <c r="B7" s="51" t="s">
        <v>1794</v>
      </c>
      <c r="C7" s="51" t="s">
        <v>1795</v>
      </c>
      <c r="D7" s="51" t="s">
        <v>93</v>
      </c>
      <c r="E7" s="51">
        <v>27</v>
      </c>
      <c r="F7" s="51" t="s">
        <v>1796</v>
      </c>
      <c r="G7" s="51" t="s">
        <v>1797</v>
      </c>
    </row>
    <row r="8" spans="1:7" x14ac:dyDescent="0.3">
      <c r="A8" s="51">
        <v>3</v>
      </c>
      <c r="B8" s="51" t="s">
        <v>1798</v>
      </c>
      <c r="C8" s="51" t="s">
        <v>110</v>
      </c>
      <c r="D8" s="51" t="s">
        <v>1799</v>
      </c>
      <c r="E8" s="51">
        <v>-15</v>
      </c>
      <c r="F8" s="51" t="s">
        <v>1800</v>
      </c>
      <c r="G8" s="51" t="s">
        <v>1801</v>
      </c>
    </row>
    <row r="9" spans="1:7" x14ac:dyDescent="0.3">
      <c r="A9" s="51">
        <v>4</v>
      </c>
      <c r="B9" s="51" t="s">
        <v>1802</v>
      </c>
      <c r="C9" s="51" t="s">
        <v>1803</v>
      </c>
      <c r="D9" s="51" t="s">
        <v>200</v>
      </c>
      <c r="E9" s="51" t="s">
        <v>1804</v>
      </c>
      <c r="F9" s="51" t="s">
        <v>80</v>
      </c>
      <c r="G9" s="51" t="s">
        <v>1805</v>
      </c>
    </row>
    <row r="10" spans="1:7" x14ac:dyDescent="0.3">
      <c r="A10" s="51">
        <v>5</v>
      </c>
      <c r="B10" s="51" t="s">
        <v>1806</v>
      </c>
      <c r="C10" s="51" t="s">
        <v>1807</v>
      </c>
      <c r="D10" s="51" t="s">
        <v>1808</v>
      </c>
      <c r="E10" s="51">
        <v>42</v>
      </c>
      <c r="F10" s="51" t="s">
        <v>1809</v>
      </c>
      <c r="G10" s="51" t="s">
        <v>1810</v>
      </c>
    </row>
    <row r="11" spans="1:7" x14ac:dyDescent="0.3">
      <c r="A11" s="51">
        <v>6</v>
      </c>
      <c r="B11" s="51" t="s">
        <v>1811</v>
      </c>
      <c r="C11" s="51" t="s">
        <v>1812</v>
      </c>
      <c r="D11" s="51" t="s">
        <v>1813</v>
      </c>
      <c r="E11" s="51"/>
      <c r="F11" s="51" t="s">
        <v>1814</v>
      </c>
      <c r="G11" s="51" t="s">
        <v>1815</v>
      </c>
    </row>
    <row r="12" spans="1:7" x14ac:dyDescent="0.3">
      <c r="A12" s="51">
        <v>7</v>
      </c>
      <c r="B12" s="51" t="s">
        <v>1816</v>
      </c>
      <c r="C12" s="51" t="s">
        <v>1817</v>
      </c>
      <c r="D12" s="51" t="s">
        <v>176</v>
      </c>
      <c r="E12" s="51">
        <v>-8</v>
      </c>
      <c r="F12" s="51" t="s">
        <v>1818</v>
      </c>
      <c r="G12" s="51" t="s">
        <v>1819</v>
      </c>
    </row>
    <row r="13" spans="1:7" x14ac:dyDescent="0.3">
      <c r="A13" s="51">
        <v>8</v>
      </c>
      <c r="B13" s="51" t="s">
        <v>211</v>
      </c>
      <c r="C13" s="51" t="s">
        <v>1820</v>
      </c>
      <c r="D13" s="51" t="s">
        <v>1821</v>
      </c>
      <c r="E13" s="51">
        <v>15</v>
      </c>
      <c r="F13" s="51" t="s">
        <v>1822</v>
      </c>
      <c r="G13" s="51" t="s">
        <v>1823</v>
      </c>
    </row>
    <row r="14" spans="1:7" x14ac:dyDescent="0.3">
      <c r="A14" s="51">
        <v>9</v>
      </c>
      <c r="B14" s="51" t="s">
        <v>1824</v>
      </c>
      <c r="C14" s="51" t="s">
        <v>1825</v>
      </c>
      <c r="D14" s="51" t="s">
        <v>150</v>
      </c>
      <c r="E14" s="51" t="s">
        <v>1181</v>
      </c>
      <c r="F14" s="51" t="s">
        <v>63</v>
      </c>
      <c r="G14" s="51" t="s">
        <v>1826</v>
      </c>
    </row>
    <row r="15" spans="1:7" x14ac:dyDescent="0.3">
      <c r="A15" s="51">
        <v>10</v>
      </c>
      <c r="B15" s="51" t="s">
        <v>1827</v>
      </c>
      <c r="C15" s="51" t="s">
        <v>1828</v>
      </c>
      <c r="D15" s="51" t="s">
        <v>1829</v>
      </c>
      <c r="E15" s="51">
        <v>0</v>
      </c>
      <c r="F15" s="51" t="s">
        <v>1830</v>
      </c>
      <c r="G15" s="51" t="s">
        <v>1831</v>
      </c>
    </row>
    <row r="18" spans="1:6" x14ac:dyDescent="0.3">
      <c r="A18" s="58" t="s">
        <v>1832</v>
      </c>
      <c r="B18" s="55"/>
      <c r="C18" s="55"/>
      <c r="D18" s="55"/>
      <c r="E18" s="55"/>
    </row>
    <row r="20" spans="1:6" x14ac:dyDescent="0.3">
      <c r="A20" s="67" t="s">
        <v>1833</v>
      </c>
      <c r="B20" s="67" t="s">
        <v>1834</v>
      </c>
      <c r="C20" s="67" t="s">
        <v>1835</v>
      </c>
      <c r="D20" s="67" t="s">
        <v>1836</v>
      </c>
      <c r="E20" s="67" t="s">
        <v>1837</v>
      </c>
      <c r="F20" s="67" t="s">
        <v>1925</v>
      </c>
    </row>
    <row r="21" spans="1:6" x14ac:dyDescent="0.3">
      <c r="A21" t="s">
        <v>1838</v>
      </c>
      <c r="B21" t="s">
        <v>1726</v>
      </c>
      <c r="C21" t="str">
        <f>TRIM(B21)</f>
        <v>blue ridge logistics</v>
      </c>
      <c r="D21" t="str">
        <f>TRIM(B21)</f>
        <v>blue ridge logistics</v>
      </c>
      <c r="E21" s="71" t="s">
        <v>1930</v>
      </c>
      <c r="F21" s="72" t="str">
        <f>TRIM(B6)</f>
        <v>blue ridge logistics</v>
      </c>
    </row>
    <row r="22" spans="1:6" x14ac:dyDescent="0.3">
      <c r="A22" t="s">
        <v>1839</v>
      </c>
      <c r="B22" t="s">
        <v>1728</v>
      </c>
      <c r="C22" t="str">
        <f>PROPER(B22)</f>
        <v>Toledo</v>
      </c>
      <c r="D22" t="str">
        <f>PROPER(B22)</f>
        <v>Toledo</v>
      </c>
      <c r="E22" s="71" t="s">
        <v>1931</v>
      </c>
      <c r="F22" s="72" t="str">
        <f>PROPER(C6)</f>
        <v>Toledo</v>
      </c>
    </row>
    <row r="23" spans="1:6" x14ac:dyDescent="0.3">
      <c r="A23" t="s">
        <v>1840</v>
      </c>
      <c r="B23" t="s">
        <v>1730</v>
      </c>
      <c r="C23" t="str">
        <f>UPPER(B23)</f>
        <v>OH</v>
      </c>
      <c r="D23" t="str">
        <f>UPPER(B23)</f>
        <v>OH</v>
      </c>
      <c r="E23" s="71" t="s">
        <v>1932</v>
      </c>
      <c r="F23" s="72" t="str">
        <f>UPPER(D6)</f>
        <v>OH</v>
      </c>
    </row>
    <row r="24" spans="1:6" x14ac:dyDescent="0.3">
      <c r="A24" t="s">
        <v>1841</v>
      </c>
      <c r="B24" t="s">
        <v>1848</v>
      </c>
      <c r="C24" t="str">
        <f>PROPER(TRIM(B24))</f>
        <v>Blue Ridge Logistics</v>
      </c>
      <c r="D24" t="str">
        <f>PROPER(TRIM(B24))</f>
        <v>Blue Ridge Logistics</v>
      </c>
      <c r="E24" s="71" t="s">
        <v>1933</v>
      </c>
      <c r="F24" s="72" t="str">
        <f>PROPER(TRIM(B6))</f>
        <v>Blue Ridge Logistics</v>
      </c>
    </row>
    <row r="25" spans="1:6" x14ac:dyDescent="0.3">
      <c r="A25" t="s">
        <v>1842</v>
      </c>
      <c r="C25">
        <f>IFERROR(VALUE(B25),0)</f>
        <v>0</v>
      </c>
      <c r="D25">
        <f>IFERROR(VALUE(B25),0)</f>
        <v>0</v>
      </c>
      <c r="E25" s="71" t="s">
        <v>1934</v>
      </c>
      <c r="F25" s="72">
        <f>IF(E6="",0,E6)</f>
        <v>0</v>
      </c>
    </row>
    <row r="26" spans="1:6" x14ac:dyDescent="0.3">
      <c r="A26" t="s">
        <v>1843</v>
      </c>
      <c r="B26" t="s">
        <v>1804</v>
      </c>
      <c r="C26">
        <f>IFERROR(VALUE(B26),0)</f>
        <v>0</v>
      </c>
      <c r="D26">
        <f>IFERROR(VALUE(B26),0)</f>
        <v>0</v>
      </c>
      <c r="E26" s="71" t="s">
        <v>1935</v>
      </c>
      <c r="F26" s="72">
        <f>IFERROR(VALUE(E9),0)</f>
        <v>0</v>
      </c>
    </row>
    <row r="27" spans="1:6" x14ac:dyDescent="0.3">
      <c r="A27" t="s">
        <v>1844</v>
      </c>
      <c r="B27" t="s">
        <v>1181</v>
      </c>
      <c r="C27">
        <f>IF(B27="N/A",0,B27)</f>
        <v>0</v>
      </c>
      <c r="D27">
        <f>IF(B27="N/A",0,B27)</f>
        <v>0</v>
      </c>
      <c r="E27" s="71" t="s">
        <v>1936</v>
      </c>
      <c r="F27" s="72">
        <f>IF(E14="N/A",0,E14)</f>
        <v>0</v>
      </c>
    </row>
    <row r="28" spans="1:6" x14ac:dyDescent="0.3">
      <c r="A28" t="s">
        <v>1845</v>
      </c>
      <c r="B28" t="s">
        <v>1802</v>
      </c>
      <c r="C28" t="str">
        <f>CLEAN(TRIM(B28))</f>
        <v>Cascade Cargo</v>
      </c>
      <c r="D28" t="str">
        <f>CLEAN(TRIM(B28))</f>
        <v>Cascade Cargo</v>
      </c>
      <c r="E28" s="71" t="s">
        <v>1937</v>
      </c>
      <c r="F28" s="72" t="str">
        <f>TRIM(CLEAN(B9))</f>
        <v>Cascade Cargo</v>
      </c>
    </row>
    <row r="29" spans="1:6" x14ac:dyDescent="0.3">
      <c r="A29" t="s">
        <v>1846</v>
      </c>
      <c r="B29" t="s">
        <v>1849</v>
      </c>
      <c r="C29" t="s">
        <v>1554</v>
      </c>
      <c r="D29" t="s">
        <v>1181</v>
      </c>
      <c r="E29" s="66" t="s">
        <v>1852</v>
      </c>
    </row>
    <row r="30" spans="1:6" x14ac:dyDescent="0.3">
      <c r="A30" t="s">
        <v>1847</v>
      </c>
      <c r="B30" t="s">
        <v>1850</v>
      </c>
      <c r="C30" t="s">
        <v>1851</v>
      </c>
      <c r="D30" t="s">
        <v>1181</v>
      </c>
      <c r="E30" s="66" t="s">
        <v>1853</v>
      </c>
    </row>
    <row r="31" spans="1:6" x14ac:dyDescent="0.3">
      <c r="A31" s="67" t="s">
        <v>1926</v>
      </c>
    </row>
    <row r="32" spans="1:6" x14ac:dyDescent="0.3">
      <c r="A32" s="22" t="s">
        <v>1560</v>
      </c>
      <c r="B32" s="22" t="s">
        <v>1142</v>
      </c>
      <c r="C32" s="22" t="s">
        <v>1939</v>
      </c>
      <c r="D32" s="22" t="s">
        <v>1938</v>
      </c>
      <c r="E32" s="22" t="s">
        <v>1940</v>
      </c>
      <c r="F32" s="22" t="s">
        <v>1941</v>
      </c>
    </row>
    <row r="33" spans="1:7" x14ac:dyDescent="0.3">
      <c r="A33" t="s">
        <v>1942</v>
      </c>
      <c r="B33" t="s">
        <v>1943</v>
      </c>
      <c r="C33" t="s">
        <v>1944</v>
      </c>
      <c r="D33" s="69" t="s">
        <v>1945</v>
      </c>
      <c r="E33" s="70" t="str">
        <f>SUBSTITUTE(C33," ","")</f>
        <v>NewYorkCity</v>
      </c>
      <c r="F33" t="s">
        <v>1946</v>
      </c>
    </row>
    <row r="34" spans="1:7" x14ac:dyDescent="0.3">
      <c r="A34" s="12" t="s">
        <v>1947</v>
      </c>
      <c r="D34" s="66"/>
    </row>
    <row r="35" spans="1:7" x14ac:dyDescent="0.3">
      <c r="A35" s="34" t="s">
        <v>1785</v>
      </c>
      <c r="B35" s="34" t="s">
        <v>1854</v>
      </c>
      <c r="C35" s="34" t="s">
        <v>1855</v>
      </c>
      <c r="D35" s="68" t="s">
        <v>1856</v>
      </c>
      <c r="E35" s="34" t="s">
        <v>1857</v>
      </c>
      <c r="F35" s="34" t="s">
        <v>1858</v>
      </c>
      <c r="G35" s="34" t="s">
        <v>1859</v>
      </c>
    </row>
    <row r="36" spans="1:7" x14ac:dyDescent="0.3">
      <c r="A36">
        <v>1</v>
      </c>
      <c r="B36" t="str">
        <f t="shared" ref="B36:C45" si="0">PROPER(TRIM(B6))</f>
        <v>Blue Ridge Logistics</v>
      </c>
      <c r="C36" t="str">
        <f t="shared" si="0"/>
        <v>Toledo</v>
      </c>
      <c r="D36" s="66" t="str">
        <f t="shared" ref="D36:D45" si="1">UPPER(TRIM(D6))</f>
        <v>OH</v>
      </c>
      <c r="E36">
        <f>IFERROR(VALUE(E6),0)</f>
        <v>0</v>
      </c>
      <c r="F36" t="str">
        <f t="shared" ref="F36:F45" si="2">PROPER(TRIM(F6))</f>
        <v>Dry Van</v>
      </c>
      <c r="G36" t="s">
        <v>1860</v>
      </c>
    </row>
    <row r="37" spans="1:7" x14ac:dyDescent="0.3">
      <c r="A37">
        <v>2</v>
      </c>
      <c r="B37" t="str">
        <f t="shared" si="0"/>
        <v>Sunbelt Haulage</v>
      </c>
      <c r="C37" t="str">
        <f t="shared" si="0"/>
        <v>Miami</v>
      </c>
      <c r="D37" s="66" t="str">
        <f t="shared" si="1"/>
        <v>FL</v>
      </c>
      <c r="E37">
        <f>IFERROR(VALUE(E7),E7)</f>
        <v>27</v>
      </c>
      <c r="F37" t="str">
        <f t="shared" si="2"/>
        <v>Reefer</v>
      </c>
      <c r="G37" t="s">
        <v>1861</v>
      </c>
    </row>
    <row r="38" spans="1:7" x14ac:dyDescent="0.3">
      <c r="A38">
        <v>3</v>
      </c>
      <c r="B38" t="str">
        <f t="shared" si="0"/>
        <v>Pacific Linehaul</v>
      </c>
      <c r="C38" t="str">
        <f t="shared" si="0"/>
        <v>Denver</v>
      </c>
      <c r="D38" s="66" t="str">
        <f t="shared" si="1"/>
        <v>CO</v>
      </c>
      <c r="E38">
        <f>IFERROR(VALUE(E8),E8)</f>
        <v>-15</v>
      </c>
      <c r="F38" t="str">
        <f t="shared" si="2"/>
        <v>Flatbed</v>
      </c>
      <c r="G38" t="s">
        <v>1862</v>
      </c>
    </row>
    <row r="39" spans="1:7" x14ac:dyDescent="0.3">
      <c r="A39">
        <v>4</v>
      </c>
      <c r="B39" t="str">
        <f t="shared" si="0"/>
        <v>Cascade Cargo</v>
      </c>
      <c r="C39" t="str">
        <f t="shared" si="0"/>
        <v>Chicago</v>
      </c>
      <c r="D39" t="str">
        <f t="shared" si="1"/>
        <v>IL</v>
      </c>
      <c r="E39">
        <f>IFERROR(VALUE(E9),0)</f>
        <v>0</v>
      </c>
      <c r="F39" t="str">
        <f t="shared" si="2"/>
        <v>Intermodal</v>
      </c>
      <c r="G39" t="s">
        <v>1863</v>
      </c>
    </row>
    <row r="40" spans="1:7" x14ac:dyDescent="0.3">
      <c r="A40">
        <v>5</v>
      </c>
      <c r="B40" t="str">
        <f t="shared" si="0"/>
        <v>Keystone Freight</v>
      </c>
      <c r="C40" t="str">
        <f t="shared" si="0"/>
        <v>Boston</v>
      </c>
      <c r="D40" t="str">
        <f t="shared" si="1"/>
        <v>MA</v>
      </c>
      <c r="E40">
        <f>IFERROR(VALUE(E10),E10)</f>
        <v>42</v>
      </c>
      <c r="F40" t="str">
        <f t="shared" si="2"/>
        <v>Tanker</v>
      </c>
      <c r="G40" t="s">
        <v>1861</v>
      </c>
    </row>
    <row r="41" spans="1:7" x14ac:dyDescent="0.3">
      <c r="A41">
        <v>6</v>
      </c>
      <c r="B41" t="str">
        <f t="shared" si="0"/>
        <v>Great Lakes Carriers</v>
      </c>
      <c r="C41" t="str">
        <f t="shared" si="0"/>
        <v>Phoenix</v>
      </c>
      <c r="D41" t="str">
        <f t="shared" si="1"/>
        <v>AZ</v>
      </c>
      <c r="E41">
        <f>IFERROR(VALUE(E11),0)</f>
        <v>0</v>
      </c>
      <c r="F41" t="str">
        <f t="shared" si="2"/>
        <v>Dry Van</v>
      </c>
      <c r="G41" t="s">
        <v>1860</v>
      </c>
    </row>
    <row r="42" spans="1:7" x14ac:dyDescent="0.3">
      <c r="A42">
        <v>7</v>
      </c>
      <c r="B42" t="str">
        <f t="shared" si="0"/>
        <v>Midwest Express Trucking</v>
      </c>
      <c r="C42" t="str">
        <f t="shared" si="0"/>
        <v>Seattle</v>
      </c>
      <c r="D42" t="str">
        <f t="shared" si="1"/>
        <v>WA</v>
      </c>
      <c r="E42">
        <f>IFERROR(VALUE(E12),E12)</f>
        <v>-8</v>
      </c>
      <c r="F42" t="str">
        <f t="shared" si="2"/>
        <v>Reefer</v>
      </c>
      <c r="G42" t="s">
        <v>1861</v>
      </c>
    </row>
    <row r="43" spans="1:7" x14ac:dyDescent="0.3">
      <c r="A43">
        <v>8</v>
      </c>
      <c r="B43" t="str">
        <f t="shared" si="0"/>
        <v>Desert Road Haulers</v>
      </c>
      <c r="C43" t="str">
        <f t="shared" si="0"/>
        <v>Los Angeles</v>
      </c>
      <c r="D43" t="str">
        <f t="shared" si="1"/>
        <v>CA</v>
      </c>
      <c r="E43">
        <f>IFERROR(VALUE(E13),E13)</f>
        <v>15</v>
      </c>
      <c r="F43" t="str">
        <f t="shared" si="2"/>
        <v>Flatbed</v>
      </c>
      <c r="G43" t="s">
        <v>1864</v>
      </c>
    </row>
    <row r="44" spans="1:7" x14ac:dyDescent="0.3">
      <c r="A44">
        <v>9</v>
      </c>
      <c r="B44" t="str">
        <f t="shared" si="0"/>
        <v>Lone Star Transport</v>
      </c>
      <c r="C44" t="str">
        <f t="shared" si="0"/>
        <v>Houston</v>
      </c>
      <c r="D44" t="str">
        <f t="shared" si="1"/>
        <v>TX</v>
      </c>
      <c r="E44">
        <f>IF(E14="N/A",0,IFERROR(VALUE(E14),0))</f>
        <v>0</v>
      </c>
      <c r="F44" t="str">
        <f t="shared" si="2"/>
        <v>Dry Van</v>
      </c>
      <c r="G44" t="s">
        <v>1865</v>
      </c>
    </row>
    <row r="45" spans="1:7" x14ac:dyDescent="0.3">
      <c r="A45">
        <v>10</v>
      </c>
      <c r="B45" t="str">
        <f t="shared" si="0"/>
        <v>Atlantic Freightways</v>
      </c>
      <c r="C45" t="str">
        <f t="shared" si="0"/>
        <v>New York</v>
      </c>
      <c r="D45" t="str">
        <f t="shared" si="1"/>
        <v>NY</v>
      </c>
      <c r="E45">
        <f>IFERROR(VALUE(E15),E15)</f>
        <v>0</v>
      </c>
      <c r="F45" t="str">
        <f t="shared" si="2"/>
        <v>Intermodal</v>
      </c>
      <c r="G45" t="s">
        <v>1864</v>
      </c>
    </row>
    <row r="48" spans="1:7" ht="15.6" x14ac:dyDescent="0.3">
      <c r="A48" s="73" t="s">
        <v>1983</v>
      </c>
      <c r="B48" s="55"/>
      <c r="C48" s="55"/>
      <c r="D48" s="55"/>
      <c r="E48" s="55"/>
      <c r="F48" s="55"/>
      <c r="G48" s="55"/>
    </row>
    <row r="50" spans="1:7" x14ac:dyDescent="0.3">
      <c r="A50" s="22" t="s">
        <v>947</v>
      </c>
      <c r="B50" s="22" t="s">
        <v>1560</v>
      </c>
      <c r="C50" s="22" t="s">
        <v>1871</v>
      </c>
      <c r="D50" s="22" t="s">
        <v>1257</v>
      </c>
      <c r="E50" s="22" t="s">
        <v>1948</v>
      </c>
      <c r="F50" s="22" t="s">
        <v>1940</v>
      </c>
      <c r="G50" s="22" t="s">
        <v>1949</v>
      </c>
    </row>
    <row r="51" spans="1:7" x14ac:dyDescent="0.3">
      <c r="A51" t="s">
        <v>1950</v>
      </c>
      <c r="B51" t="s">
        <v>1951</v>
      </c>
      <c r="C51" s="74" t="s">
        <v>1984</v>
      </c>
      <c r="D51" t="s">
        <v>1952</v>
      </c>
      <c r="E51" t="s">
        <v>1953</v>
      </c>
      <c r="F51" t="s">
        <v>1954</v>
      </c>
      <c r="G51" t="s">
        <v>1955</v>
      </c>
    </row>
    <row r="52" spans="1:7" x14ac:dyDescent="0.3">
      <c r="A52" t="s">
        <v>1950</v>
      </c>
      <c r="B52" t="s">
        <v>1956</v>
      </c>
      <c r="C52" s="74" t="s">
        <v>1985</v>
      </c>
      <c r="D52" t="s">
        <v>1986</v>
      </c>
      <c r="E52" t="s">
        <v>1957</v>
      </c>
      <c r="F52" t="s">
        <v>1958</v>
      </c>
      <c r="G52" t="s">
        <v>1959</v>
      </c>
    </row>
    <row r="53" spans="1:7" x14ac:dyDescent="0.3">
      <c r="A53" t="s">
        <v>1950</v>
      </c>
      <c r="B53" t="s">
        <v>1960</v>
      </c>
      <c r="C53" s="74" t="s">
        <v>1987</v>
      </c>
      <c r="D53" t="s">
        <v>1961</v>
      </c>
      <c r="E53" t="s">
        <v>1962</v>
      </c>
      <c r="F53" t="s">
        <v>1963</v>
      </c>
      <c r="G53" t="s">
        <v>1964</v>
      </c>
    </row>
    <row r="54" spans="1:7" x14ac:dyDescent="0.3">
      <c r="A54" t="s">
        <v>1950</v>
      </c>
      <c r="B54" t="s">
        <v>1965</v>
      </c>
      <c r="C54" s="74" t="s">
        <v>1988</v>
      </c>
      <c r="D54" t="s">
        <v>1966</v>
      </c>
      <c r="E54" t="s">
        <v>1967</v>
      </c>
      <c r="F54" t="s">
        <v>1968</v>
      </c>
      <c r="G54" t="s">
        <v>1572</v>
      </c>
    </row>
    <row r="55" spans="1:7" x14ac:dyDescent="0.3">
      <c r="A55" t="s">
        <v>1950</v>
      </c>
      <c r="B55" t="s">
        <v>1969</v>
      </c>
      <c r="C55" s="74" t="s">
        <v>1989</v>
      </c>
      <c r="D55" t="s">
        <v>1970</v>
      </c>
      <c r="E55" t="s">
        <v>1968</v>
      </c>
      <c r="F55" t="s">
        <v>1967</v>
      </c>
      <c r="G55" t="s">
        <v>1971</v>
      </c>
    </row>
    <row r="56" spans="1:7" x14ac:dyDescent="0.3">
      <c r="A56" t="s">
        <v>1950</v>
      </c>
      <c r="B56" t="s">
        <v>1972</v>
      </c>
      <c r="C56" s="74" t="s">
        <v>1990</v>
      </c>
      <c r="D56" t="s">
        <v>1973</v>
      </c>
      <c r="E56" t="s">
        <v>195</v>
      </c>
      <c r="F56" t="s">
        <v>1974</v>
      </c>
      <c r="G56" t="s">
        <v>1975</v>
      </c>
    </row>
    <row r="57" spans="1:7" x14ac:dyDescent="0.3">
      <c r="A57" t="s">
        <v>1976</v>
      </c>
      <c r="B57" t="s">
        <v>1977</v>
      </c>
      <c r="C57" s="74" t="s">
        <v>1991</v>
      </c>
      <c r="D57" t="s">
        <v>1978</v>
      </c>
      <c r="E57" t="s">
        <v>1731</v>
      </c>
      <c r="F57">
        <v>0</v>
      </c>
      <c r="G57" t="s">
        <v>1979</v>
      </c>
    </row>
    <row r="58" spans="1:7" x14ac:dyDescent="0.3">
      <c r="A58" t="s">
        <v>1976</v>
      </c>
      <c r="B58" t="s">
        <v>1886</v>
      </c>
      <c r="C58" s="74" t="s">
        <v>1992</v>
      </c>
      <c r="D58" t="s">
        <v>1887</v>
      </c>
      <c r="E58" t="s">
        <v>1804</v>
      </c>
      <c r="F58">
        <v>0</v>
      </c>
      <c r="G58" t="s">
        <v>1993</v>
      </c>
    </row>
    <row r="59" spans="1:7" x14ac:dyDescent="0.3">
      <c r="A59" t="s">
        <v>1976</v>
      </c>
      <c r="B59" t="s">
        <v>1980</v>
      </c>
      <c r="C59" s="74" t="s">
        <v>1994</v>
      </c>
      <c r="D59" t="s">
        <v>1981</v>
      </c>
      <c r="E59" t="s">
        <v>1181</v>
      </c>
      <c r="F59" t="s">
        <v>1731</v>
      </c>
      <c r="G59" t="s">
        <v>1982</v>
      </c>
    </row>
    <row r="60" spans="1:7" x14ac:dyDescent="0.3">
      <c r="A60" t="s">
        <v>1976</v>
      </c>
      <c r="B60" t="s">
        <v>1995</v>
      </c>
      <c r="C60" s="74" t="s">
        <v>1996</v>
      </c>
      <c r="D60" t="s">
        <v>1997</v>
      </c>
      <c r="E60" t="s">
        <v>1731</v>
      </c>
      <c r="F60" t="s">
        <v>1998</v>
      </c>
      <c r="G60" t="s">
        <v>1999</v>
      </c>
    </row>
    <row r="61" spans="1:7" x14ac:dyDescent="0.3">
      <c r="A61" t="s">
        <v>2000</v>
      </c>
      <c r="B61" t="s">
        <v>2001</v>
      </c>
      <c r="C61" s="74" t="s">
        <v>2002</v>
      </c>
      <c r="D61" t="s">
        <v>2003</v>
      </c>
      <c r="E61" t="s">
        <v>2004</v>
      </c>
      <c r="F61" t="s">
        <v>2005</v>
      </c>
      <c r="G61" t="s">
        <v>2006</v>
      </c>
    </row>
    <row r="62" spans="1:7" x14ac:dyDescent="0.3">
      <c r="A62" t="s">
        <v>2000</v>
      </c>
      <c r="B62" t="s">
        <v>2007</v>
      </c>
      <c r="C62" s="74" t="s">
        <v>2008</v>
      </c>
      <c r="D62" t="s">
        <v>2009</v>
      </c>
      <c r="E62" t="s">
        <v>2010</v>
      </c>
      <c r="F62" t="s">
        <v>78</v>
      </c>
      <c r="G62" t="s">
        <v>1572</v>
      </c>
    </row>
    <row r="63" spans="1:7" x14ac:dyDescent="0.3">
      <c r="A63" t="s">
        <v>2000</v>
      </c>
      <c r="B63" t="s">
        <v>2011</v>
      </c>
      <c r="C63" s="74" t="s">
        <v>2012</v>
      </c>
      <c r="D63" t="s">
        <v>2013</v>
      </c>
      <c r="E63" t="s">
        <v>2014</v>
      </c>
      <c r="F63" t="s">
        <v>2015</v>
      </c>
      <c r="G63" t="s">
        <v>2016</v>
      </c>
    </row>
    <row r="64" spans="1:7" x14ac:dyDescent="0.3">
      <c r="A64" t="s">
        <v>2017</v>
      </c>
      <c r="B64" t="s">
        <v>2018</v>
      </c>
      <c r="C64" s="74" t="s">
        <v>2019</v>
      </c>
      <c r="D64" t="s">
        <v>2020</v>
      </c>
      <c r="E64">
        <v>123</v>
      </c>
      <c r="F64" t="b">
        <v>1</v>
      </c>
      <c r="G64" t="s">
        <v>2021</v>
      </c>
    </row>
    <row r="65" spans="1:7" x14ac:dyDescent="0.3">
      <c r="A65" t="s">
        <v>2017</v>
      </c>
      <c r="B65" t="s">
        <v>2022</v>
      </c>
      <c r="C65" s="74" t="s">
        <v>2023</v>
      </c>
      <c r="D65" t="s">
        <v>2024</v>
      </c>
      <c r="E65" t="s">
        <v>1967</v>
      </c>
      <c r="F65" t="b">
        <v>1</v>
      </c>
      <c r="G65" t="s">
        <v>2025</v>
      </c>
    </row>
    <row r="66" spans="1:7" x14ac:dyDescent="0.3">
      <c r="A66" t="s">
        <v>2017</v>
      </c>
      <c r="B66" t="s">
        <v>2026</v>
      </c>
      <c r="C66" s="74" t="s">
        <v>2027</v>
      </c>
      <c r="D66" t="s">
        <v>2028</v>
      </c>
      <c r="E66" t="s">
        <v>1731</v>
      </c>
      <c r="F66" t="b">
        <v>1</v>
      </c>
      <c r="G66" t="s">
        <v>2029</v>
      </c>
    </row>
    <row r="67" spans="1:7" x14ac:dyDescent="0.3">
      <c r="A67" t="s">
        <v>2017</v>
      </c>
      <c r="B67" t="s">
        <v>2030</v>
      </c>
      <c r="C67" s="74" t="s">
        <v>2031</v>
      </c>
      <c r="D67" t="s">
        <v>2032</v>
      </c>
      <c r="E67" t="s">
        <v>2033</v>
      </c>
      <c r="F67">
        <v>5</v>
      </c>
      <c r="G67" t="s">
        <v>2034</v>
      </c>
    </row>
    <row r="68" spans="1:7" x14ac:dyDescent="0.3">
      <c r="A68" t="s">
        <v>1655</v>
      </c>
      <c r="B68" t="s">
        <v>2035</v>
      </c>
      <c r="C68" s="74" t="s">
        <v>2036</v>
      </c>
      <c r="D68" t="s">
        <v>2037</v>
      </c>
      <c r="E68" t="s">
        <v>2038</v>
      </c>
      <c r="F68">
        <v>5</v>
      </c>
      <c r="G68" t="s">
        <v>2039</v>
      </c>
    </row>
    <row r="69" spans="1:7" x14ac:dyDescent="0.3">
      <c r="A69" t="s">
        <v>1655</v>
      </c>
      <c r="B69" t="s">
        <v>2040</v>
      </c>
      <c r="C69" s="74" t="s">
        <v>2041</v>
      </c>
      <c r="D69" t="s">
        <v>1881</v>
      </c>
      <c r="E69" t="s">
        <v>2038</v>
      </c>
      <c r="F69">
        <v>12</v>
      </c>
      <c r="G69" t="s">
        <v>1615</v>
      </c>
    </row>
    <row r="70" spans="1:7" x14ac:dyDescent="0.3">
      <c r="A70" t="s">
        <v>1655</v>
      </c>
      <c r="B70" t="s">
        <v>2042</v>
      </c>
      <c r="C70" s="74" t="s">
        <v>2043</v>
      </c>
      <c r="D70" t="s">
        <v>1882</v>
      </c>
      <c r="E70" t="s">
        <v>2038</v>
      </c>
      <c r="F70">
        <v>1000</v>
      </c>
      <c r="G70" t="s">
        <v>2044</v>
      </c>
    </row>
    <row r="71" spans="1:7" x14ac:dyDescent="0.3">
      <c r="A71" t="s">
        <v>1655</v>
      </c>
      <c r="B71" t="s">
        <v>2045</v>
      </c>
      <c r="C71" s="74" t="s">
        <v>2046</v>
      </c>
      <c r="D71" t="s">
        <v>2047</v>
      </c>
      <c r="E71" t="s">
        <v>2038</v>
      </c>
      <c r="F71">
        <v>45.5</v>
      </c>
      <c r="G71" t="s">
        <v>1617</v>
      </c>
    </row>
    <row r="76" spans="1:7" x14ac:dyDescent="0.3">
      <c r="A76" t="s">
        <v>1866</v>
      </c>
      <c r="B76">
        <f>COUNTIF(fact_orders_1000[delay_minutes],"&gt;300")</f>
        <v>12</v>
      </c>
      <c r="D76" t="e" cm="1">
        <f t="array" ref="D76">COUNTIF(range,"&gt;300")</f>
        <v>#NAME?</v>
      </c>
    </row>
    <row r="77" spans="1:7" x14ac:dyDescent="0.3">
      <c r="A77" t="s">
        <v>1867</v>
      </c>
      <c r="B77">
        <f>COUNTIF(fact_orders_1000[on_time_flag],1)</f>
        <v>829</v>
      </c>
      <c r="D77" t="e" cm="1">
        <f t="array" ref="D77">COUNTIF(on_time_flag,1)</f>
        <v>#NAME?</v>
      </c>
    </row>
    <row r="78" spans="1:7" x14ac:dyDescent="0.3">
      <c r="A78" t="s">
        <v>1868</v>
      </c>
      <c r="B78">
        <f>COUNTIF(fact_orders_1000[late_flag],1)</f>
        <v>171</v>
      </c>
      <c r="D78" t="e" cm="1">
        <f t="array" ref="D78">COUNTIF(late_flag,1)</f>
        <v>#NAME?</v>
      </c>
    </row>
    <row r="79" spans="1:7" x14ac:dyDescent="0.3">
      <c r="A79" t="s">
        <v>1869</v>
      </c>
      <c r="B79">
        <f>AVERAGE(fact_orders_1000[delay_minutes])</f>
        <v>6.4610000000000003</v>
      </c>
      <c r="D79" t="e">
        <f>AVERAGE(delay_minutes)</f>
        <v>#NAME?</v>
      </c>
    </row>
    <row r="82" spans="1:5" x14ac:dyDescent="0.3">
      <c r="A82" s="53" t="s">
        <v>1870</v>
      </c>
      <c r="B82" s="53"/>
      <c r="C82" s="53"/>
      <c r="D82" s="53"/>
      <c r="E82" s="53"/>
    </row>
    <row r="84" spans="1:5" x14ac:dyDescent="0.3">
      <c r="A84" s="49" t="s">
        <v>1605</v>
      </c>
      <c r="B84" s="49" t="s">
        <v>1142</v>
      </c>
      <c r="C84" s="49" t="s">
        <v>1871</v>
      </c>
      <c r="D84" s="49" t="s">
        <v>1872</v>
      </c>
      <c r="E84" s="49" t="s">
        <v>1548</v>
      </c>
    </row>
    <row r="85" spans="1:5" x14ac:dyDescent="0.3">
      <c r="A85" t="s">
        <v>1873</v>
      </c>
      <c r="B85" t="s">
        <v>1874</v>
      </c>
      <c r="C85">
        <f>CORREL(fact_orders_1000[cost_per_mile],fact_orders_1000[variable_cost_per_mile])</f>
        <v>0.7299577172613646</v>
      </c>
      <c r="D85" t="s">
        <v>1500</v>
      </c>
      <c r="E85">
        <v>0.73</v>
      </c>
    </row>
    <row r="86" spans="1:5" x14ac:dyDescent="0.3">
      <c r="A86" t="s">
        <v>1875</v>
      </c>
      <c r="B86" t="s">
        <v>1876</v>
      </c>
      <c r="C86">
        <f>SLOPE(fact_orders_1000[cost_per_mile],fact_orders_1000[variable_cost_per_mile])</f>
        <v>0.75913319879395558</v>
      </c>
      <c r="D86" t="s">
        <v>1500</v>
      </c>
      <c r="E86">
        <v>0.75900000000000001</v>
      </c>
    </row>
    <row r="87" spans="1:5" x14ac:dyDescent="0.3">
      <c r="A87" t="s">
        <v>1877</v>
      </c>
      <c r="B87" t="s">
        <v>1878</v>
      </c>
      <c r="C87">
        <f>INTERCEPT(fact_orders_1000[cost_per_mile],fact_orders_1000[variable_cost_per_mile])</f>
        <v>1.072774195727721</v>
      </c>
      <c r="D87" t="s">
        <v>1500</v>
      </c>
      <c r="E87">
        <v>1.073</v>
      </c>
    </row>
    <row r="88" spans="1:5" x14ac:dyDescent="0.3">
      <c r="A88" t="s">
        <v>1879</v>
      </c>
      <c r="B88" t="s">
        <v>1880</v>
      </c>
      <c r="C88">
        <f>RSQ(fact_orders_1000[cost_per_mile],fact_orders_1000[variable_cost_per_mile])</f>
        <v>0.53283826898942233</v>
      </c>
      <c r="D88" t="s">
        <v>1500</v>
      </c>
      <c r="E88">
        <v>0.53300000000000003</v>
      </c>
    </row>
    <row r="89" spans="1:5" x14ac:dyDescent="0.3">
      <c r="A89" t="s">
        <v>1613</v>
      </c>
      <c r="B89" t="s">
        <v>1881</v>
      </c>
      <c r="C89">
        <f>COUNTIFS(fact_orders_1000[delay_minutes],"&gt;300")</f>
        <v>12</v>
      </c>
      <c r="D89" t="s">
        <v>1325</v>
      </c>
      <c r="E89">
        <v>12</v>
      </c>
    </row>
    <row r="90" spans="1:5" x14ac:dyDescent="0.3">
      <c r="A90" t="s">
        <v>1609</v>
      </c>
      <c r="B90" t="s">
        <v>1882</v>
      </c>
      <c r="C90">
        <f>SUMIFS(fact_orders_1000[fuel_cost_total],fact_orders_1000[truck_types],"Reefer")</f>
        <v>64949.939999999995</v>
      </c>
      <c r="D90" t="s">
        <v>1328</v>
      </c>
      <c r="E90" s="75">
        <v>64950</v>
      </c>
    </row>
    <row r="91" spans="1:5" x14ac:dyDescent="0.3">
      <c r="A91" t="s">
        <v>1616</v>
      </c>
      <c r="B91" t="s">
        <v>1883</v>
      </c>
      <c r="C91">
        <f>AVERAGEIFS(fact_orders_1000[cost_per_mile],fact_orders_1000[truck_types],"Reefer")</f>
        <v>2.3758723404255311</v>
      </c>
      <c r="D91" t="s">
        <v>1328</v>
      </c>
      <c r="E91">
        <v>2.38</v>
      </c>
    </row>
    <row r="92" spans="1:5" x14ac:dyDescent="0.3">
      <c r="A92" t="s">
        <v>1884</v>
      </c>
      <c r="B92" t="s">
        <v>1885</v>
      </c>
      <c r="C92">
        <f>IF(1&lt;=0,1,0)</f>
        <v>0</v>
      </c>
      <c r="D92" t="s">
        <v>1260</v>
      </c>
      <c r="E92" t="s">
        <v>2048</v>
      </c>
    </row>
    <row r="93" spans="1:5" x14ac:dyDescent="0.3">
      <c r="A93" t="s">
        <v>1886</v>
      </c>
      <c r="B93" t="s">
        <v>1887</v>
      </c>
      <c r="C93" cm="1">
        <f t="array" ref="C93">IFERROR(formula,0)</f>
        <v>0</v>
      </c>
      <c r="D93" t="s">
        <v>1888</v>
      </c>
      <c r="E93" t="s">
        <v>1889</v>
      </c>
    </row>
    <row r="94" spans="1:5" x14ac:dyDescent="0.3">
      <c r="A94" t="s">
        <v>1608</v>
      </c>
      <c r="B94" t="s">
        <v>1890</v>
      </c>
      <c r="C94" t="str">
        <f>_xlfn.XLOOKUP(770487,dim_fleet_260[truck_id],dim_fleet_260[carrier_name])</f>
        <v>Desert Road Haulers</v>
      </c>
      <c r="D94" t="s">
        <v>1891</v>
      </c>
      <c r="E94" t="s">
        <v>211</v>
      </c>
    </row>
    <row r="95" spans="1:5" x14ac:dyDescent="0.3">
      <c r="A95" t="s">
        <v>1892</v>
      </c>
      <c r="B95" t="s">
        <v>1893</v>
      </c>
      <c r="C95">
        <f>MEDIAN(fact_orders_1000[delay_minutes])</f>
        <v>-14</v>
      </c>
      <c r="D95" t="s">
        <v>1493</v>
      </c>
      <c r="E95" t="s">
        <v>1894</v>
      </c>
    </row>
    <row r="98" spans="1:5" x14ac:dyDescent="0.3">
      <c r="A98" s="54" t="s">
        <v>1895</v>
      </c>
      <c r="B98" s="55"/>
      <c r="C98" s="55"/>
      <c r="D98" s="55"/>
      <c r="E98" s="55"/>
    </row>
    <row r="100" spans="1:5" x14ac:dyDescent="0.3">
      <c r="A100" s="34" t="s">
        <v>1489</v>
      </c>
      <c r="B100" s="34" t="s">
        <v>1142</v>
      </c>
      <c r="C100" s="34" t="s">
        <v>1738</v>
      </c>
      <c r="D100" s="34" t="s">
        <v>1896</v>
      </c>
      <c r="E100" s="34" t="s">
        <v>1740</v>
      </c>
    </row>
    <row r="101" spans="1:5" x14ac:dyDescent="0.3">
      <c r="A101" t="s">
        <v>1260</v>
      </c>
      <c r="B101" t="s">
        <v>1744</v>
      </c>
      <c r="C101" t="s">
        <v>1897</v>
      </c>
      <c r="D101" t="s">
        <v>1898</v>
      </c>
      <c r="E101" t="s">
        <v>1899</v>
      </c>
    </row>
    <row r="102" spans="1:5" x14ac:dyDescent="0.3">
      <c r="A102" t="s">
        <v>1264</v>
      </c>
      <c r="B102" t="s">
        <v>1745</v>
      </c>
      <c r="C102" t="s">
        <v>1900</v>
      </c>
      <c r="D102" t="s">
        <v>1901</v>
      </c>
      <c r="E102" t="s">
        <v>1902</v>
      </c>
    </row>
    <row r="103" spans="1:5" x14ac:dyDescent="0.3">
      <c r="A103" s="52" t="s">
        <v>1903</v>
      </c>
      <c r="B103" s="52" t="s">
        <v>1904</v>
      </c>
      <c r="C103" s="52" t="s">
        <v>1905</v>
      </c>
      <c r="D103" s="52" t="s">
        <v>1906</v>
      </c>
      <c r="E103" s="52" t="s">
        <v>1907</v>
      </c>
    </row>
    <row r="104" spans="1:5" x14ac:dyDescent="0.3">
      <c r="A104" t="s">
        <v>1493</v>
      </c>
      <c r="B104" t="s">
        <v>1908</v>
      </c>
      <c r="C104" t="s">
        <v>1909</v>
      </c>
      <c r="D104" t="s">
        <v>1910</v>
      </c>
      <c r="E104" t="s">
        <v>1911</v>
      </c>
    </row>
    <row r="105" spans="1:5" x14ac:dyDescent="0.3">
      <c r="A105" t="s">
        <v>1325</v>
      </c>
      <c r="B105" t="s">
        <v>1753</v>
      </c>
      <c r="C105" t="s">
        <v>1912</v>
      </c>
      <c r="D105" t="s">
        <v>1913</v>
      </c>
      <c r="E105" t="s">
        <v>1914</v>
      </c>
    </row>
    <row r="106" spans="1:5" x14ac:dyDescent="0.3">
      <c r="A106" t="s">
        <v>1500</v>
      </c>
      <c r="B106" t="s">
        <v>1915</v>
      </c>
      <c r="C106" t="s">
        <v>1758</v>
      </c>
      <c r="D106" t="s">
        <v>1718</v>
      </c>
      <c r="E106" t="s">
        <v>1760</v>
      </c>
    </row>
    <row r="107" spans="1:5" x14ac:dyDescent="0.3">
      <c r="A107" t="s">
        <v>1504</v>
      </c>
      <c r="B107" t="s">
        <v>1916</v>
      </c>
      <c r="C107" t="s">
        <v>1762</v>
      </c>
      <c r="D107" t="s">
        <v>1917</v>
      </c>
      <c r="E107" t="s">
        <v>1918</v>
      </c>
    </row>
    <row r="108" spans="1:5" ht="15" customHeight="1" x14ac:dyDescent="0.3">
      <c r="A108" t="s">
        <v>1328</v>
      </c>
      <c r="B108" t="s">
        <v>1919</v>
      </c>
      <c r="C108" t="s">
        <v>1766</v>
      </c>
      <c r="D108" t="s">
        <v>1920</v>
      </c>
      <c r="E108" t="s">
        <v>1921</v>
      </c>
    </row>
    <row r="109" spans="1:5" x14ac:dyDescent="0.3">
      <c r="A109" t="s">
        <v>1511</v>
      </c>
      <c r="B109" t="s">
        <v>1769</v>
      </c>
      <c r="C109" t="s">
        <v>1770</v>
      </c>
      <c r="D109" t="s">
        <v>1922</v>
      </c>
      <c r="E109" t="s">
        <v>1772</v>
      </c>
    </row>
    <row r="110" spans="1:5" x14ac:dyDescent="0.3">
      <c r="A110" t="s">
        <v>1773</v>
      </c>
      <c r="B110" t="s">
        <v>1774</v>
      </c>
      <c r="C110" t="s">
        <v>1775</v>
      </c>
      <c r="D110" t="s">
        <v>1923</v>
      </c>
      <c r="E110" t="s">
        <v>1924</v>
      </c>
    </row>
  </sheetData>
  <mergeCells count="6">
    <mergeCell ref="A82:E82"/>
    <mergeCell ref="A98:E98"/>
    <mergeCell ref="A1:G1"/>
    <mergeCell ref="A3:G3"/>
    <mergeCell ref="A18:E18"/>
    <mergeCell ref="A48:G4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2A77-0D13-45AE-9CB5-118DC971F694}">
  <dimension ref="A1:E115"/>
  <sheetViews>
    <sheetView topLeftCell="A93" workbookViewId="0">
      <selection activeCell="A110" sqref="A110"/>
    </sheetView>
  </sheetViews>
  <sheetFormatPr defaultRowHeight="14.4" x14ac:dyDescent="0.3"/>
  <cols>
    <col min="1" max="1" width="71.88671875" bestFit="1" customWidth="1"/>
    <col min="2" max="2" width="26.109375" bestFit="1" customWidth="1"/>
    <col min="3" max="3" width="44.33203125" bestFit="1" customWidth="1"/>
    <col min="4" max="4" width="21.33203125" bestFit="1" customWidth="1"/>
    <col min="5" max="5" width="23" bestFit="1" customWidth="1"/>
  </cols>
  <sheetData>
    <row r="1" spans="1:5" ht="21" x14ac:dyDescent="0.4">
      <c r="A1" s="28" t="s">
        <v>1530</v>
      </c>
    </row>
    <row r="2" spans="1:5" x14ac:dyDescent="0.3">
      <c r="A2" t="s">
        <v>1531</v>
      </c>
    </row>
    <row r="4" spans="1:5" x14ac:dyDescent="0.3">
      <c r="A4" s="41" t="s">
        <v>1532</v>
      </c>
      <c r="B4" s="41"/>
      <c r="C4" s="41"/>
      <c r="D4" s="41"/>
      <c r="E4" s="41"/>
    </row>
    <row r="6" spans="1:5" x14ac:dyDescent="0.3">
      <c r="A6" t="s">
        <v>1533</v>
      </c>
    </row>
    <row r="7" spans="1:5" x14ac:dyDescent="0.3">
      <c r="A7" s="42" t="s">
        <v>938</v>
      </c>
      <c r="B7" s="42" t="s">
        <v>1260</v>
      </c>
      <c r="C7" s="42" t="s">
        <v>1264</v>
      </c>
      <c r="D7" s="42" t="s">
        <v>1372</v>
      </c>
      <c r="E7" s="42" t="s">
        <v>1534</v>
      </c>
    </row>
    <row r="8" spans="1:5" x14ac:dyDescent="0.3">
      <c r="A8" t="s">
        <v>1535</v>
      </c>
      <c r="B8">
        <f>COUNTA(fact_orders_1000!A:A)-1</f>
        <v>1000</v>
      </c>
      <c r="C8">
        <f>COUNTA(dim_fleet_260!A:A)-1</f>
        <v>260</v>
      </c>
      <c r="D8" t="s">
        <v>1536</v>
      </c>
      <c r="E8" t="s">
        <v>1537</v>
      </c>
    </row>
    <row r="9" spans="1:5" x14ac:dyDescent="0.3">
      <c r="A9" t="s">
        <v>1538</v>
      </c>
      <c r="B9">
        <v>53</v>
      </c>
      <c r="C9">
        <v>21</v>
      </c>
      <c r="D9" t="s">
        <v>1539</v>
      </c>
      <c r="E9" t="s">
        <v>1540</v>
      </c>
    </row>
    <row r="10" spans="1:5" x14ac:dyDescent="0.3">
      <c r="A10" t="s">
        <v>1541</v>
      </c>
      <c r="B10">
        <f>COUNTBLANK(fact_orders_1000!A2:BA1002)</f>
        <v>935</v>
      </c>
      <c r="C10">
        <f>COUNTBLANK(dim_fleet_260!A2:U261)</f>
        <v>0</v>
      </c>
      <c r="D10" t="s">
        <v>1542</v>
      </c>
      <c r="E10" t="s">
        <v>1543</v>
      </c>
    </row>
    <row r="12" spans="1:5" x14ac:dyDescent="0.3">
      <c r="A12" t="s">
        <v>1544</v>
      </c>
    </row>
    <row r="13" spans="1:5" x14ac:dyDescent="0.3">
      <c r="A13" s="42" t="s">
        <v>1545</v>
      </c>
      <c r="B13" s="42" t="s">
        <v>1546</v>
      </c>
      <c r="C13" s="42" t="s">
        <v>1547</v>
      </c>
      <c r="D13" s="42" t="s">
        <v>1548</v>
      </c>
      <c r="E13" s="42" t="s">
        <v>1549</v>
      </c>
    </row>
    <row r="14" spans="1:5" x14ac:dyDescent="0.3">
      <c r="A14" t="s">
        <v>1292</v>
      </c>
      <c r="B14" t="e" cm="1">
        <f t="array" ref="B14">COUNTBLANK(range)</f>
        <v>#NAME?</v>
      </c>
      <c r="C14" t="s">
        <v>1550</v>
      </c>
      <c r="D14" t="s">
        <v>1551</v>
      </c>
      <c r="E14" t="s">
        <v>1552</v>
      </c>
    </row>
    <row r="15" spans="1:5" x14ac:dyDescent="0.3">
      <c r="A15" t="s">
        <v>1307</v>
      </c>
      <c r="B15" cm="1">
        <f t="array" ref="B15">SUMPRODUCT((COUNTIF(A:A,A2:A1002)&gt;1)*1)</f>
        <v>16</v>
      </c>
      <c r="C15" t="s">
        <v>6</v>
      </c>
      <c r="D15" t="s">
        <v>1553</v>
      </c>
      <c r="E15" t="s">
        <v>1554</v>
      </c>
    </row>
    <row r="16" spans="1:5" x14ac:dyDescent="0.3">
      <c r="A16" t="s">
        <v>1555</v>
      </c>
      <c r="B16" cm="1">
        <f t="array" ref="B16">SUMPRODUCT(ISNUMBER(range)*1)</f>
        <v>0</v>
      </c>
      <c r="C16" t="s">
        <v>1556</v>
      </c>
      <c r="D16" t="s">
        <v>1557</v>
      </c>
      <c r="E16" t="s">
        <v>1558</v>
      </c>
    </row>
    <row r="18" spans="1:5" x14ac:dyDescent="0.3">
      <c r="A18" t="s">
        <v>1559</v>
      </c>
    </row>
    <row r="19" spans="1:5" x14ac:dyDescent="0.3">
      <c r="A19" s="42" t="s">
        <v>1560</v>
      </c>
      <c r="B19" s="42" t="s">
        <v>1142</v>
      </c>
      <c r="C19" s="42" t="s">
        <v>1373</v>
      </c>
      <c r="D19" s="42" t="s">
        <v>1547</v>
      </c>
      <c r="E19" s="42" t="s">
        <v>1561</v>
      </c>
    </row>
    <row r="20" spans="1:5" x14ac:dyDescent="0.3">
      <c r="A20" t="s">
        <v>1562</v>
      </c>
      <c r="B20" t="s">
        <v>1563</v>
      </c>
      <c r="C20" t="str">
        <f>TRIM(A2)</f>
        <v>For ScribeHow Recording - Capstone Project</v>
      </c>
      <c r="D20" t="s">
        <v>1564</v>
      </c>
      <c r="E20" t="s">
        <v>1565</v>
      </c>
    </row>
    <row r="21" spans="1:5" x14ac:dyDescent="0.3">
      <c r="A21" t="s">
        <v>1566</v>
      </c>
      <c r="B21" t="s">
        <v>1567</v>
      </c>
      <c r="C21" t="str">
        <f>PROPER(A2)</f>
        <v>For Scribehow Recording - Capstone Project</v>
      </c>
      <c r="D21" t="s">
        <v>1568</v>
      </c>
      <c r="E21" t="s">
        <v>1569</v>
      </c>
    </row>
    <row r="22" spans="1:5" x14ac:dyDescent="0.3">
      <c r="A22" t="s">
        <v>1570</v>
      </c>
      <c r="B22" t="s">
        <v>1571</v>
      </c>
      <c r="C22" t="str">
        <f>UPPER(A2)</f>
        <v>FOR SCRIBEHOW RECORDING - CAPSTONE PROJECT</v>
      </c>
      <c r="D22" t="s">
        <v>1572</v>
      </c>
      <c r="E22" t="s">
        <v>1573</v>
      </c>
    </row>
    <row r="23" spans="1:5" x14ac:dyDescent="0.3">
      <c r="A23" t="s">
        <v>1574</v>
      </c>
      <c r="B23" t="s">
        <v>1575</v>
      </c>
      <c r="C23" t="str">
        <f>CLEAN(A2)</f>
        <v>For ScribeHow Recording - Capstone Project</v>
      </c>
      <c r="D23" t="s">
        <v>1576</v>
      </c>
      <c r="E23" t="s">
        <v>1577</v>
      </c>
    </row>
    <row r="25" spans="1:5" x14ac:dyDescent="0.3">
      <c r="A25" s="42" t="s">
        <v>1578</v>
      </c>
      <c r="B25" s="42"/>
      <c r="C25" s="42"/>
      <c r="D25" s="42"/>
      <c r="E25" s="42"/>
    </row>
    <row r="26" spans="1:5" x14ac:dyDescent="0.3">
      <c r="A26" t="s">
        <v>1579</v>
      </c>
      <c r="B26" t="s">
        <v>1580</v>
      </c>
      <c r="C26" t="s">
        <v>1291</v>
      </c>
      <c r="D26" t="s">
        <v>1372</v>
      </c>
      <c r="E26" t="s">
        <v>1581</v>
      </c>
    </row>
    <row r="27" spans="1:5" x14ac:dyDescent="0.3">
      <c r="A27" t="s">
        <v>35</v>
      </c>
      <c r="B27">
        <f>COUNTBLANK(fact_orders_1000!AE2:AE1002)</f>
        <v>1</v>
      </c>
      <c r="C27" t="s">
        <v>1582</v>
      </c>
      <c r="D27">
        <f>IFERROR(AE2,0)</f>
        <v>0</v>
      </c>
      <c r="E27" t="s">
        <v>1583</v>
      </c>
    </row>
    <row r="28" spans="1:5" x14ac:dyDescent="0.3">
      <c r="A28" t="s">
        <v>34</v>
      </c>
      <c r="B28">
        <f>COUNTBLANK(fact_orders_1000!AD2:AD1002)</f>
        <v>872</v>
      </c>
      <c r="C28" t="s">
        <v>1584</v>
      </c>
      <c r="D28" t="s">
        <v>1181</v>
      </c>
      <c r="E28" t="s">
        <v>1585</v>
      </c>
    </row>
    <row r="30" spans="1:5" x14ac:dyDescent="0.3">
      <c r="A30" s="41" t="s">
        <v>1586</v>
      </c>
      <c r="B30" s="41"/>
      <c r="C30" s="41"/>
      <c r="D30" s="41"/>
      <c r="E30" s="41"/>
    </row>
    <row r="32" spans="1:5" x14ac:dyDescent="0.3">
      <c r="A32" t="s">
        <v>1587</v>
      </c>
    </row>
    <row r="33" spans="1:5" x14ac:dyDescent="0.3">
      <c r="A33" s="42" t="s">
        <v>1588</v>
      </c>
      <c r="B33" s="42" t="s">
        <v>1589</v>
      </c>
      <c r="C33" s="42" t="s">
        <v>1372</v>
      </c>
      <c r="D33" s="42" t="s">
        <v>1142</v>
      </c>
      <c r="E33" s="42" t="s">
        <v>1590</v>
      </c>
    </row>
    <row r="34" spans="1:5" x14ac:dyDescent="0.3">
      <c r="A34" t="s">
        <v>48</v>
      </c>
      <c r="B34" t="s">
        <v>1591</v>
      </c>
      <c r="C34" t="e" cm="1">
        <f t="array" ref="C34">IF(delay_minutes&lt;=0,1,0)</f>
        <v>#NAME?</v>
      </c>
      <c r="D34" t="s">
        <v>1592</v>
      </c>
      <c r="E34" t="s">
        <v>1593</v>
      </c>
    </row>
    <row r="35" spans="1:5" x14ac:dyDescent="0.3">
      <c r="A35" t="s">
        <v>49</v>
      </c>
      <c r="B35" t="s">
        <v>1594</v>
      </c>
      <c r="C35" t="e" cm="1">
        <f t="array" ref="C35">IF(delay_minutes&gt;0,1,0)</f>
        <v>#NAME?</v>
      </c>
      <c r="D35" t="s">
        <v>1595</v>
      </c>
      <c r="E35" t="s">
        <v>1596</v>
      </c>
    </row>
    <row r="36" spans="1:5" x14ac:dyDescent="0.3">
      <c r="A36" t="s">
        <v>46</v>
      </c>
      <c r="B36" t="s">
        <v>1597</v>
      </c>
      <c r="C36" t="e" cm="1">
        <f t="array" ref="C36">on_time_flag</f>
        <v>#NAME?</v>
      </c>
      <c r="D36" t="s">
        <v>1598</v>
      </c>
      <c r="E36" t="s">
        <v>1599</v>
      </c>
    </row>
    <row r="37" spans="1:5" x14ac:dyDescent="0.3">
      <c r="A37" t="s">
        <v>47</v>
      </c>
      <c r="B37" t="s">
        <v>1600</v>
      </c>
      <c r="C37" t="e" cm="1">
        <f t="array" ref="C37">late_flag</f>
        <v>#NAME?</v>
      </c>
      <c r="D37" t="s">
        <v>1598</v>
      </c>
      <c r="E37" t="s">
        <v>1599</v>
      </c>
    </row>
    <row r="38" spans="1:5" x14ac:dyDescent="0.3">
      <c r="A38" t="s">
        <v>43</v>
      </c>
      <c r="B38" t="s">
        <v>1601</v>
      </c>
      <c r="C38">
        <f>1</f>
        <v>1</v>
      </c>
      <c r="D38" t="s">
        <v>1602</v>
      </c>
      <c r="E38" t="s">
        <v>1603</v>
      </c>
    </row>
    <row r="40" spans="1:5" x14ac:dyDescent="0.3">
      <c r="A40" t="s">
        <v>1604</v>
      </c>
    </row>
    <row r="41" spans="1:5" x14ac:dyDescent="0.3">
      <c r="A41" s="42" t="s">
        <v>1605</v>
      </c>
      <c r="B41" s="42" t="s">
        <v>1373</v>
      </c>
      <c r="C41" s="42" t="s">
        <v>1142</v>
      </c>
      <c r="D41" s="42" t="s">
        <v>1606</v>
      </c>
      <c r="E41" s="42" t="s">
        <v>1607</v>
      </c>
    </row>
    <row r="42" spans="1:5" x14ac:dyDescent="0.3">
      <c r="A42" t="s">
        <v>1608</v>
      </c>
    </row>
    <row r="43" spans="1:5" x14ac:dyDescent="0.3">
      <c r="A43" t="s">
        <v>1609</v>
      </c>
      <c r="B43" t="s">
        <v>1610</v>
      </c>
      <c r="C43" t="s">
        <v>1611</v>
      </c>
      <c r="D43" t="s">
        <v>1612</v>
      </c>
    </row>
    <row r="44" spans="1:5" x14ac:dyDescent="0.3">
      <c r="A44" t="s">
        <v>1613</v>
      </c>
      <c r="B44" t="s">
        <v>1614</v>
      </c>
      <c r="C44" t="s">
        <v>1325</v>
      </c>
      <c r="D44" t="s">
        <v>1615</v>
      </c>
    </row>
    <row r="45" spans="1:5" x14ac:dyDescent="0.3">
      <c r="A45" t="s">
        <v>1616</v>
      </c>
      <c r="B45" t="s">
        <v>1617</v>
      </c>
      <c r="C45" t="s">
        <v>1328</v>
      </c>
      <c r="D45" t="s">
        <v>1618</v>
      </c>
    </row>
    <row r="47" spans="1:5" x14ac:dyDescent="0.3">
      <c r="A47" s="41" t="s">
        <v>1619</v>
      </c>
      <c r="B47" s="41"/>
      <c r="C47" s="41"/>
      <c r="D47" s="41"/>
      <c r="E47" s="41"/>
    </row>
    <row r="49" spans="1:5" x14ac:dyDescent="0.3">
      <c r="A49" t="s">
        <v>1620</v>
      </c>
    </row>
    <row r="50" spans="1:5" x14ac:dyDescent="0.3">
      <c r="A50" s="42" t="s">
        <v>1621</v>
      </c>
      <c r="B50" s="42" t="s">
        <v>1256</v>
      </c>
      <c r="C50" s="42" t="s">
        <v>1142</v>
      </c>
      <c r="D50" s="42" t="s">
        <v>1622</v>
      </c>
      <c r="E50" s="42" t="s">
        <v>1590</v>
      </c>
    </row>
    <row r="51" spans="1:5" x14ac:dyDescent="0.3">
      <c r="A51" t="s">
        <v>1623</v>
      </c>
      <c r="B51" t="s">
        <v>1624</v>
      </c>
      <c r="C51" t="s">
        <v>1625</v>
      </c>
      <c r="D51" t="s">
        <v>1626</v>
      </c>
      <c r="E51" t="s">
        <v>1627</v>
      </c>
    </row>
    <row r="52" spans="1:5" x14ac:dyDescent="0.3">
      <c r="A52" t="s">
        <v>1628</v>
      </c>
      <c r="B52" t="s">
        <v>1629</v>
      </c>
      <c r="C52" t="s">
        <v>1630</v>
      </c>
      <c r="D52" t="s">
        <v>1631</v>
      </c>
      <c r="E52" t="s">
        <v>1632</v>
      </c>
    </row>
    <row r="53" spans="1:5" x14ac:dyDescent="0.3">
      <c r="A53" t="s">
        <v>1633</v>
      </c>
      <c r="B53" t="s">
        <v>1634</v>
      </c>
      <c r="C53" t="s">
        <v>1635</v>
      </c>
      <c r="D53" t="s">
        <v>1511</v>
      </c>
      <c r="E53" t="s">
        <v>1636</v>
      </c>
    </row>
    <row r="55" spans="1:5" x14ac:dyDescent="0.3">
      <c r="A55" t="s">
        <v>1637</v>
      </c>
    </row>
    <row r="56" spans="1:5" x14ac:dyDescent="0.3">
      <c r="A56" s="42" t="s">
        <v>1638</v>
      </c>
      <c r="B56" s="42" t="s">
        <v>1639</v>
      </c>
      <c r="C56" s="42" t="s">
        <v>1547</v>
      </c>
      <c r="D56" s="42" t="s">
        <v>1142</v>
      </c>
      <c r="E56" s="42" t="s">
        <v>1549</v>
      </c>
    </row>
    <row r="57" spans="1:5" x14ac:dyDescent="0.3">
      <c r="A57" t="s">
        <v>1640</v>
      </c>
      <c r="B57" t="s">
        <v>1641</v>
      </c>
      <c r="C57" t="s">
        <v>35</v>
      </c>
      <c r="D57" t="s">
        <v>1642</v>
      </c>
      <c r="E57" t="s">
        <v>1643</v>
      </c>
    </row>
    <row r="58" spans="1:5" x14ac:dyDescent="0.3">
      <c r="A58" t="s">
        <v>1644</v>
      </c>
      <c r="B58" t="s">
        <v>1645</v>
      </c>
      <c r="C58" t="s">
        <v>1556</v>
      </c>
      <c r="D58" t="s">
        <v>1646</v>
      </c>
      <c r="E58" t="s">
        <v>1647</v>
      </c>
    </row>
    <row r="59" spans="1:5" x14ac:dyDescent="0.3">
      <c r="A59" t="s">
        <v>1648</v>
      </c>
      <c r="B59" t="s">
        <v>1649</v>
      </c>
      <c r="C59" t="s">
        <v>1650</v>
      </c>
      <c r="D59" t="s">
        <v>1651</v>
      </c>
      <c r="E59" t="s">
        <v>1652</v>
      </c>
    </row>
    <row r="61" spans="1:5" x14ac:dyDescent="0.3">
      <c r="A61" s="41" t="s">
        <v>1653</v>
      </c>
      <c r="B61" s="41"/>
      <c r="C61" s="41"/>
      <c r="D61" s="41"/>
      <c r="E61" s="41"/>
    </row>
    <row r="63" spans="1:5" x14ac:dyDescent="0.3">
      <c r="A63" t="s">
        <v>1654</v>
      </c>
    </row>
    <row r="64" spans="1:5" x14ac:dyDescent="0.3">
      <c r="A64" s="42" t="s">
        <v>1655</v>
      </c>
      <c r="B64" s="42" t="s">
        <v>1372</v>
      </c>
      <c r="C64" s="42" t="s">
        <v>1548</v>
      </c>
      <c r="D64" s="42" t="s">
        <v>1022</v>
      </c>
      <c r="E64" s="42" t="s">
        <v>1590</v>
      </c>
    </row>
    <row r="65" spans="1:5" x14ac:dyDescent="0.3">
      <c r="A65" t="s">
        <v>1163</v>
      </c>
      <c r="B65" t="e">
        <f>CORREL(CPM,VCPM)</f>
        <v>#NAME?</v>
      </c>
      <c r="C65">
        <v>0.73</v>
      </c>
      <c r="D65" t="s">
        <v>1656</v>
      </c>
      <c r="E65" t="s">
        <v>1500</v>
      </c>
    </row>
    <row r="66" spans="1:5" x14ac:dyDescent="0.3">
      <c r="A66" t="s">
        <v>1657</v>
      </c>
      <c r="B66" t="e">
        <f>SLOPE(CPM,VCPM)</f>
        <v>#NAME?</v>
      </c>
      <c r="C66">
        <v>0.75900000000000001</v>
      </c>
      <c r="D66" t="s">
        <v>1658</v>
      </c>
      <c r="E66" t="s">
        <v>1659</v>
      </c>
    </row>
    <row r="67" spans="1:5" x14ac:dyDescent="0.3">
      <c r="A67" t="s">
        <v>1660</v>
      </c>
      <c r="B67" t="e">
        <f>INTERCEPT(CPM,VCPM)</f>
        <v>#NAME?</v>
      </c>
      <c r="C67">
        <v>1.073</v>
      </c>
      <c r="D67" t="s">
        <v>1661</v>
      </c>
      <c r="E67" t="s">
        <v>1662</v>
      </c>
    </row>
    <row r="68" spans="1:5" x14ac:dyDescent="0.3">
      <c r="A68" t="s">
        <v>1039</v>
      </c>
      <c r="B68" t="e">
        <f>RSQ(CPM,VCPM)</f>
        <v>#NAME?</v>
      </c>
      <c r="C68" s="5">
        <v>0.53300000000000003</v>
      </c>
      <c r="D68" t="s">
        <v>1663</v>
      </c>
      <c r="E68" t="s">
        <v>1664</v>
      </c>
    </row>
    <row r="70" spans="1:5" x14ac:dyDescent="0.3">
      <c r="A70" t="s">
        <v>1665</v>
      </c>
    </row>
    <row r="71" spans="1:5" x14ac:dyDescent="0.3">
      <c r="A71" s="42" t="s">
        <v>1666</v>
      </c>
      <c r="B71" s="42" t="s">
        <v>1667</v>
      </c>
      <c r="C71" s="42" t="s">
        <v>1668</v>
      </c>
      <c r="D71" s="42" t="s">
        <v>1669</v>
      </c>
      <c r="E71" s="42" t="s">
        <v>1670</v>
      </c>
    </row>
    <row r="72" spans="1:5" x14ac:dyDescent="0.3">
      <c r="A72">
        <v>1</v>
      </c>
      <c r="B72" t="s">
        <v>1671</v>
      </c>
      <c r="C72" t="e">
        <f>AVERAGE(on_time_flag)</f>
        <v>#NAME?</v>
      </c>
      <c r="D72" t="s">
        <v>1672</v>
      </c>
      <c r="E72" t="s">
        <v>1611</v>
      </c>
    </row>
    <row r="73" spans="1:5" x14ac:dyDescent="0.3">
      <c r="A73">
        <v>2</v>
      </c>
      <c r="B73" t="s">
        <v>1673</v>
      </c>
      <c r="C73" t="s">
        <v>1674</v>
      </c>
      <c r="D73" t="s">
        <v>1675</v>
      </c>
      <c r="E73" t="s">
        <v>1504</v>
      </c>
    </row>
    <row r="74" spans="1:5" x14ac:dyDescent="0.3">
      <c r="A74">
        <v>3</v>
      </c>
      <c r="B74" t="s">
        <v>1676</v>
      </c>
      <c r="C74" t="s">
        <v>1677</v>
      </c>
      <c r="D74" t="s">
        <v>1397</v>
      </c>
      <c r="E74" t="s">
        <v>1328</v>
      </c>
    </row>
    <row r="75" spans="1:5" x14ac:dyDescent="0.3">
      <c r="A75">
        <v>4</v>
      </c>
      <c r="B75" t="s">
        <v>1678</v>
      </c>
      <c r="C75" t="s">
        <v>1679</v>
      </c>
      <c r="D75" t="s">
        <v>1680</v>
      </c>
      <c r="E75" t="s">
        <v>1511</v>
      </c>
    </row>
    <row r="76" spans="1:5" x14ac:dyDescent="0.3">
      <c r="A76">
        <v>5</v>
      </c>
      <c r="B76" t="s">
        <v>1681</v>
      </c>
      <c r="C76" t="s">
        <v>1682</v>
      </c>
      <c r="D76" t="s">
        <v>1683</v>
      </c>
      <c r="E76" t="s">
        <v>1684</v>
      </c>
    </row>
    <row r="78" spans="1:5" x14ac:dyDescent="0.3">
      <c r="A78" s="43" t="s">
        <v>1685</v>
      </c>
      <c r="B78" s="43"/>
      <c r="C78" s="43"/>
      <c r="D78" s="43"/>
      <c r="E78" s="43"/>
    </row>
    <row r="80" spans="1:5" x14ac:dyDescent="0.3">
      <c r="A80" s="44" t="s">
        <v>1686</v>
      </c>
      <c r="B80" s="44" t="s">
        <v>1687</v>
      </c>
      <c r="C80" s="44" t="s">
        <v>1688</v>
      </c>
      <c r="D80" s="44" t="s">
        <v>1689</v>
      </c>
      <c r="E80" s="44" t="s">
        <v>1690</v>
      </c>
    </row>
    <row r="81" spans="1:5" x14ac:dyDescent="0.3">
      <c r="A81" t="s">
        <v>1691</v>
      </c>
      <c r="B81" t="s">
        <v>1692</v>
      </c>
      <c r="C81" t="s">
        <v>1693</v>
      </c>
      <c r="D81" t="s">
        <v>1694</v>
      </c>
      <c r="E81" t="s">
        <v>1695</v>
      </c>
    </row>
    <row r="82" spans="1:5" x14ac:dyDescent="0.3">
      <c r="A82" t="s">
        <v>1691</v>
      </c>
      <c r="B82" t="s">
        <v>1696</v>
      </c>
      <c r="C82" t="s">
        <v>1697</v>
      </c>
      <c r="D82" t="s">
        <v>1698</v>
      </c>
      <c r="E82" t="s">
        <v>1695</v>
      </c>
    </row>
    <row r="83" spans="1:5" x14ac:dyDescent="0.3">
      <c r="A83" t="s">
        <v>1691</v>
      </c>
      <c r="B83" t="s">
        <v>1699</v>
      </c>
      <c r="C83" t="s">
        <v>1700</v>
      </c>
      <c r="D83" t="s">
        <v>1698</v>
      </c>
      <c r="E83" t="s">
        <v>1695</v>
      </c>
    </row>
    <row r="84" spans="1:5" x14ac:dyDescent="0.3">
      <c r="A84" t="s">
        <v>1701</v>
      </c>
      <c r="B84" t="s">
        <v>1702</v>
      </c>
      <c r="C84" t="s">
        <v>1703</v>
      </c>
      <c r="D84" t="s">
        <v>1704</v>
      </c>
      <c r="E84" t="s">
        <v>1695</v>
      </c>
    </row>
    <row r="85" spans="1:5" x14ac:dyDescent="0.3">
      <c r="A85" t="s">
        <v>1701</v>
      </c>
      <c r="B85" t="s">
        <v>1705</v>
      </c>
      <c r="C85" t="s">
        <v>1706</v>
      </c>
      <c r="D85" t="s">
        <v>1707</v>
      </c>
      <c r="E85" t="s">
        <v>1695</v>
      </c>
    </row>
    <row r="86" spans="1:5" x14ac:dyDescent="0.3">
      <c r="A86" t="s">
        <v>1701</v>
      </c>
      <c r="B86" t="s">
        <v>1708</v>
      </c>
      <c r="C86" t="s">
        <v>1709</v>
      </c>
      <c r="D86" t="s">
        <v>1704</v>
      </c>
      <c r="E86" t="s">
        <v>1695</v>
      </c>
    </row>
    <row r="87" spans="1:5" x14ac:dyDescent="0.3">
      <c r="A87" t="s">
        <v>1710</v>
      </c>
      <c r="B87" t="s">
        <v>1711</v>
      </c>
      <c r="C87" t="s">
        <v>1712</v>
      </c>
      <c r="D87" t="s">
        <v>1704</v>
      </c>
      <c r="E87" t="s">
        <v>1695</v>
      </c>
    </row>
    <row r="88" spans="1:5" x14ac:dyDescent="0.3">
      <c r="A88" t="s">
        <v>1710</v>
      </c>
      <c r="B88" t="s">
        <v>1558</v>
      </c>
      <c r="C88" t="s">
        <v>1713</v>
      </c>
      <c r="D88" t="s">
        <v>1704</v>
      </c>
      <c r="E88" t="s">
        <v>1695</v>
      </c>
    </row>
    <row r="89" spans="1:5" x14ac:dyDescent="0.3">
      <c r="A89" t="s">
        <v>1710</v>
      </c>
      <c r="B89" t="s">
        <v>1714</v>
      </c>
      <c r="C89" t="s">
        <v>1715</v>
      </c>
      <c r="D89" t="s">
        <v>1716</v>
      </c>
      <c r="E89" t="s">
        <v>1695</v>
      </c>
    </row>
    <row r="90" spans="1:5" x14ac:dyDescent="0.3">
      <c r="A90" t="s">
        <v>1493</v>
      </c>
      <c r="B90" t="s">
        <v>1717</v>
      </c>
      <c r="C90" t="s">
        <v>1718</v>
      </c>
      <c r="D90" t="s">
        <v>1704</v>
      </c>
      <c r="E90" t="s">
        <v>1695</v>
      </c>
    </row>
    <row r="91" spans="1:5" x14ac:dyDescent="0.3">
      <c r="A91" t="s">
        <v>1493</v>
      </c>
      <c r="B91" t="s">
        <v>1719</v>
      </c>
      <c r="C91" t="s">
        <v>1720</v>
      </c>
      <c r="D91" t="s">
        <v>1704</v>
      </c>
      <c r="E91" t="s">
        <v>1695</v>
      </c>
    </row>
    <row r="93" spans="1:5" x14ac:dyDescent="0.3">
      <c r="A93" s="45" t="s">
        <v>1721</v>
      </c>
      <c r="B93" s="45"/>
      <c r="C93" s="45"/>
      <c r="D93" s="45"/>
      <c r="E93" s="45"/>
    </row>
    <row r="95" spans="1:5" x14ac:dyDescent="0.3">
      <c r="A95" s="46" t="s">
        <v>1579</v>
      </c>
      <c r="B95" s="46" t="s">
        <v>1722</v>
      </c>
      <c r="C95" s="46" t="s">
        <v>1723</v>
      </c>
      <c r="D95" s="46" t="s">
        <v>1724</v>
      </c>
      <c r="E95" s="46" t="s">
        <v>1725</v>
      </c>
    </row>
    <row r="96" spans="1:5" x14ac:dyDescent="0.3">
      <c r="A96" t="s">
        <v>9</v>
      </c>
      <c r="B96" t="s">
        <v>1726</v>
      </c>
      <c r="C96" t="s">
        <v>84</v>
      </c>
      <c r="D96" t="str">
        <f>PROPER(TRIM(A2))</f>
        <v>For Scribehow Recording - Capstone Project</v>
      </c>
      <c r="E96" t="s">
        <v>1727</v>
      </c>
    </row>
    <row r="97" spans="1:5" x14ac:dyDescent="0.3">
      <c r="A97" t="s">
        <v>19</v>
      </c>
      <c r="B97" t="s">
        <v>1728</v>
      </c>
      <c r="C97" t="s">
        <v>60</v>
      </c>
      <c r="D97" t="str">
        <f>PROPER(A2)</f>
        <v>For Scribehow Recording - Capstone Project</v>
      </c>
      <c r="E97" t="s">
        <v>1729</v>
      </c>
    </row>
    <row r="98" spans="1:5" x14ac:dyDescent="0.3">
      <c r="A98" t="s">
        <v>18</v>
      </c>
      <c r="B98" t="s">
        <v>1730</v>
      </c>
      <c r="C98" t="s">
        <v>59</v>
      </c>
      <c r="D98" t="str">
        <f>UPPER(A2)</f>
        <v>FOR SCRIBEHOW RECORDING - CAPSTONE PROJECT</v>
      </c>
      <c r="E98" t="s">
        <v>1571</v>
      </c>
    </row>
    <row r="99" spans="1:5" x14ac:dyDescent="0.3">
      <c r="A99" t="s">
        <v>35</v>
      </c>
      <c r="B99" t="s">
        <v>1731</v>
      </c>
      <c r="C99">
        <v>0</v>
      </c>
      <c r="D99" t="str">
        <f>IFERROR(A2,0)</f>
        <v>For ScribeHow Recording - Capstone Project</v>
      </c>
      <c r="E99" t="s">
        <v>1732</v>
      </c>
    </row>
    <row r="100" spans="1:5" x14ac:dyDescent="0.3">
      <c r="A100" t="s">
        <v>50</v>
      </c>
      <c r="B100">
        <v>2.0299999999999998</v>
      </c>
      <c r="C100" s="47">
        <v>2.0299999999999998</v>
      </c>
      <c r="D100" t="s">
        <v>1733</v>
      </c>
      <c r="E100" t="s">
        <v>1734</v>
      </c>
    </row>
    <row r="101" spans="1:5" x14ac:dyDescent="0.3">
      <c r="A101" t="s">
        <v>12</v>
      </c>
      <c r="B101">
        <v>44927</v>
      </c>
      <c r="C101" s="1">
        <v>44927</v>
      </c>
      <c r="D101" t="s">
        <v>1735</v>
      </c>
      <c r="E101" t="s">
        <v>1736</v>
      </c>
    </row>
    <row r="103" spans="1:5" x14ac:dyDescent="0.3">
      <c r="A103" s="48" t="s">
        <v>1737</v>
      </c>
      <c r="B103" s="48"/>
      <c r="C103" s="48"/>
      <c r="D103" s="48"/>
      <c r="E103" s="48"/>
    </row>
    <row r="105" spans="1:5" x14ac:dyDescent="0.3">
      <c r="A105" s="49" t="s">
        <v>1489</v>
      </c>
      <c r="B105" s="49" t="s">
        <v>1142</v>
      </c>
      <c r="C105" s="49" t="s">
        <v>1738</v>
      </c>
      <c r="D105" s="49" t="s">
        <v>1739</v>
      </c>
      <c r="E105" s="49" t="s">
        <v>1740</v>
      </c>
    </row>
    <row r="106" spans="1:5" x14ac:dyDescent="0.3">
      <c r="A106" t="s">
        <v>1260</v>
      </c>
      <c r="B106" t="s">
        <v>1741</v>
      </c>
      <c r="C106" t="s">
        <v>1742</v>
      </c>
      <c r="D106" t="s">
        <v>1743</v>
      </c>
      <c r="E106" t="s">
        <v>1744</v>
      </c>
    </row>
    <row r="107" spans="1:5" x14ac:dyDescent="0.3">
      <c r="A107" t="s">
        <v>1264</v>
      </c>
      <c r="B107" t="s">
        <v>1745</v>
      </c>
      <c r="C107" t="s">
        <v>1746</v>
      </c>
      <c r="D107" t="s">
        <v>1747</v>
      </c>
      <c r="E107" t="s">
        <v>1748</v>
      </c>
    </row>
    <row r="108" spans="1:5" x14ac:dyDescent="0.3">
      <c r="A108" t="s">
        <v>1493</v>
      </c>
      <c r="B108" t="s">
        <v>1749</v>
      </c>
      <c r="C108" t="s">
        <v>1750</v>
      </c>
      <c r="D108" t="s">
        <v>1751</v>
      </c>
      <c r="E108" t="s">
        <v>1752</v>
      </c>
    </row>
    <row r="109" spans="1:5" x14ac:dyDescent="0.3">
      <c r="A109" t="s">
        <v>1325</v>
      </c>
      <c r="B109" t="s">
        <v>1753</v>
      </c>
      <c r="C109" t="s">
        <v>1754</v>
      </c>
      <c r="D109" t="s">
        <v>1755</v>
      </c>
      <c r="E109" t="s">
        <v>1756</v>
      </c>
    </row>
    <row r="110" spans="1:5" x14ac:dyDescent="0.3">
      <c r="A110" t="s">
        <v>1500</v>
      </c>
      <c r="B110" t="s">
        <v>1757</v>
      </c>
      <c r="C110" t="s">
        <v>1758</v>
      </c>
      <c r="D110" t="s">
        <v>1759</v>
      </c>
      <c r="E110" t="s">
        <v>1760</v>
      </c>
    </row>
    <row r="111" spans="1:5" x14ac:dyDescent="0.3">
      <c r="A111" t="s">
        <v>1504</v>
      </c>
      <c r="B111" t="s">
        <v>1761</v>
      </c>
      <c r="C111" t="s">
        <v>1762</v>
      </c>
      <c r="D111" t="s">
        <v>1763</v>
      </c>
      <c r="E111" t="s">
        <v>1764</v>
      </c>
    </row>
    <row r="112" spans="1:5" x14ac:dyDescent="0.3">
      <c r="A112" t="s">
        <v>1328</v>
      </c>
      <c r="B112" t="s">
        <v>1765</v>
      </c>
      <c r="C112" t="s">
        <v>1766</v>
      </c>
      <c r="D112" t="s">
        <v>1767</v>
      </c>
      <c r="E112" t="s">
        <v>1768</v>
      </c>
    </row>
    <row r="113" spans="1:5" x14ac:dyDescent="0.3">
      <c r="A113" t="s">
        <v>1511</v>
      </c>
      <c r="B113" t="s">
        <v>1769</v>
      </c>
      <c r="C113" t="s">
        <v>1770</v>
      </c>
      <c r="D113" t="s">
        <v>1771</v>
      </c>
      <c r="E113" t="s">
        <v>1772</v>
      </c>
    </row>
    <row r="114" spans="1:5" x14ac:dyDescent="0.3">
      <c r="A114" t="s">
        <v>1773</v>
      </c>
      <c r="B114" t="s">
        <v>1774</v>
      </c>
      <c r="C114" t="s">
        <v>1775</v>
      </c>
      <c r="D114" t="s">
        <v>1776</v>
      </c>
      <c r="E114" t="s">
        <v>1777</v>
      </c>
    </row>
    <row r="115" spans="1:5" x14ac:dyDescent="0.3">
      <c r="A115" t="s">
        <v>1778</v>
      </c>
      <c r="B115" t="s">
        <v>1779</v>
      </c>
      <c r="C115" t="s">
        <v>1780</v>
      </c>
      <c r="D115" t="s">
        <v>1781</v>
      </c>
      <c r="E115" t="s">
        <v>1782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D340-94BF-4F8E-817D-D6F89D336065}">
  <sheetPr>
    <tabColor theme="1"/>
  </sheetPr>
  <dimension ref="A1:U90"/>
  <sheetViews>
    <sheetView showGridLines="0" tabSelected="1" zoomScale="27" zoomScaleNormal="10" workbookViewId="0">
      <selection activeCell="B3" sqref="B3:P3"/>
    </sheetView>
  </sheetViews>
  <sheetFormatPr defaultRowHeight="14.4" x14ac:dyDescent="0.3"/>
  <cols>
    <col min="1" max="1" width="2.77734375" customWidth="1"/>
    <col min="2" max="2" width="25.88671875" customWidth="1"/>
    <col min="3" max="6" width="13" customWidth="1"/>
    <col min="7" max="7" width="2.77734375" customWidth="1"/>
    <col min="8" max="8" width="18.5546875" customWidth="1"/>
    <col min="9" max="10" width="13" customWidth="1"/>
    <col min="11" max="11" width="9.21875" customWidth="1"/>
    <col min="12" max="12" width="11.109375" customWidth="1"/>
    <col min="13" max="13" width="18.5546875" customWidth="1"/>
    <col min="14" max="14" width="2.77734375" customWidth="1"/>
    <col min="15" max="15" width="25.88671875" customWidth="1"/>
    <col min="16" max="16" width="11.109375" customWidth="1"/>
    <col min="17" max="17" width="2.77734375" style="82" customWidth="1"/>
    <col min="18" max="21" width="0" hidden="1" customWidth="1"/>
  </cols>
  <sheetData>
    <row r="1" spans="1:21" ht="18" customHeight="1" x14ac:dyDescent="0.3">
      <c r="A1" s="91"/>
      <c r="B1" s="91"/>
      <c r="C1" s="91"/>
      <c r="D1" s="91"/>
      <c r="E1" s="91"/>
      <c r="F1" s="91"/>
      <c r="G1" s="91"/>
      <c r="H1" s="91"/>
      <c r="I1" s="91"/>
      <c r="J1" s="91"/>
      <c r="K1" s="91"/>
      <c r="L1" s="91"/>
      <c r="M1" s="91"/>
      <c r="N1" s="91"/>
      <c r="O1" s="91"/>
      <c r="P1" s="91"/>
      <c r="Q1" s="91"/>
      <c r="R1" s="91"/>
      <c r="S1" s="91"/>
      <c r="T1" s="91"/>
      <c r="U1" s="91"/>
    </row>
    <row r="2" spans="1:21" ht="34.950000000000003" customHeight="1" x14ac:dyDescent="0.9">
      <c r="A2" s="91"/>
      <c r="B2" s="251" t="s">
        <v>2049</v>
      </c>
      <c r="C2" s="146"/>
      <c r="D2" s="146"/>
      <c r="E2" s="146"/>
      <c r="F2" s="146"/>
      <c r="G2" s="146"/>
      <c r="H2" s="146"/>
      <c r="I2" s="146"/>
      <c r="J2" s="146"/>
      <c r="K2" s="146"/>
      <c r="L2" s="146"/>
      <c r="M2" s="146"/>
      <c r="N2" s="146"/>
      <c r="O2" s="146"/>
      <c r="P2" s="146"/>
      <c r="Q2" s="91"/>
      <c r="R2" s="91"/>
      <c r="S2" s="91"/>
      <c r="T2" s="91"/>
      <c r="U2" s="91"/>
    </row>
    <row r="3" spans="1:21" ht="18" customHeight="1" x14ac:dyDescent="0.45">
      <c r="A3" s="91"/>
      <c r="B3" s="252" t="s">
        <v>2050</v>
      </c>
      <c r="C3" s="252"/>
      <c r="D3" s="252"/>
      <c r="E3" s="252"/>
      <c r="F3" s="252"/>
      <c r="G3" s="252"/>
      <c r="H3" s="252"/>
      <c r="I3" s="252"/>
      <c r="J3" s="252"/>
      <c r="K3" s="252"/>
      <c r="L3" s="252"/>
      <c r="M3" s="252"/>
      <c r="N3" s="252"/>
      <c r="O3" s="252"/>
      <c r="P3" s="252"/>
      <c r="Q3" s="91"/>
      <c r="R3" s="91"/>
      <c r="S3" s="91"/>
      <c r="T3" s="91"/>
      <c r="U3" s="91"/>
    </row>
    <row r="4" spans="1:21" ht="18" customHeight="1" x14ac:dyDescent="0.3">
      <c r="A4" s="91"/>
      <c r="B4" s="91"/>
      <c r="C4" s="91"/>
      <c r="D4" s="91"/>
      <c r="E4" s="91"/>
      <c r="F4" s="91"/>
      <c r="G4" s="91"/>
      <c r="H4" s="91"/>
      <c r="I4" s="91"/>
      <c r="J4" s="91"/>
      <c r="K4" s="91"/>
      <c r="L4" s="91"/>
      <c r="M4" s="91"/>
      <c r="N4" s="91"/>
      <c r="O4" s="91"/>
      <c r="P4" s="91"/>
      <c r="Q4" s="91"/>
      <c r="R4" s="91"/>
      <c r="S4" s="91"/>
      <c r="T4" s="91"/>
      <c r="U4" s="91"/>
    </row>
    <row r="5" spans="1:21" ht="30" customHeight="1" x14ac:dyDescent="0.3">
      <c r="A5" s="91"/>
      <c r="B5" s="91"/>
      <c r="C5" s="221" t="s">
        <v>2051</v>
      </c>
      <c r="D5" s="222"/>
      <c r="E5" s="222"/>
      <c r="F5" s="218" t="s">
        <v>2077</v>
      </c>
      <c r="G5" s="218"/>
      <c r="H5" s="218"/>
      <c r="I5" s="219" t="s">
        <v>2078</v>
      </c>
      <c r="J5" s="219"/>
      <c r="K5" s="219"/>
      <c r="L5" s="216" t="s">
        <v>2079</v>
      </c>
      <c r="M5" s="216"/>
      <c r="N5" s="217"/>
      <c r="O5" s="172"/>
      <c r="P5" s="91"/>
      <c r="Q5" s="91"/>
      <c r="R5" s="91"/>
      <c r="S5" s="91"/>
      <c r="T5" s="91"/>
      <c r="U5" s="91"/>
    </row>
    <row r="6" spans="1:21" ht="40.049999999999997" customHeight="1" x14ac:dyDescent="0.3">
      <c r="A6" s="91"/>
      <c r="B6" s="91"/>
      <c r="C6" s="173">
        <f>COUNTA(fact_orders_1000[order_id])</f>
        <v>1000</v>
      </c>
      <c r="D6" s="174"/>
      <c r="E6" s="174"/>
      <c r="F6" s="215" t="str">
        <f>TEXT(SUM(fact_orders_1000[on_time_count])/SUM(fact_orders_1000[total_shipments]),"0.0%")</f>
        <v>82.9%</v>
      </c>
      <c r="G6" s="215"/>
      <c r="H6" s="215"/>
      <c r="I6" s="220">
        <f>ROUND(AVERAGE(fact_orders_1000[delay_minutes]),1)</f>
        <v>6.5</v>
      </c>
      <c r="J6" s="220"/>
      <c r="K6" s="220"/>
      <c r="L6" s="213" t="str">
        <f>COUNTIF(fact_orders_1000[delay_minutes],"&gt;300")&amp;" ("&amp;TEXT(COUNTIF(fact_orders_1000[delay_minutes],"&gt;300")/COUNTA(fact_orders_1000[order_id]),"0.0%")&amp;")"</f>
        <v>12 (1.2%)</v>
      </c>
      <c r="M6" s="213"/>
      <c r="N6" s="214"/>
      <c r="O6" s="172"/>
      <c r="P6" s="91"/>
      <c r="Q6" s="91"/>
      <c r="R6" s="91"/>
      <c r="S6" s="91"/>
      <c r="T6" s="91"/>
      <c r="U6" s="91"/>
    </row>
    <row r="7" spans="1:21" ht="18" customHeight="1" x14ac:dyDescent="0.3">
      <c r="A7" s="91"/>
      <c r="B7" s="91"/>
      <c r="C7" s="91"/>
      <c r="D7" s="91"/>
      <c r="E7" s="91"/>
      <c r="F7" s="91"/>
      <c r="G7" s="91"/>
      <c r="H7" s="91"/>
      <c r="I7" s="91"/>
      <c r="J7" s="91"/>
      <c r="K7" s="91"/>
      <c r="L7" s="91"/>
      <c r="M7" s="91"/>
      <c r="N7" s="91"/>
      <c r="O7" s="91"/>
      <c r="P7" s="91"/>
      <c r="Q7" s="91"/>
      <c r="R7" s="91"/>
      <c r="S7" s="91"/>
      <c r="T7" s="91"/>
      <c r="U7" s="91"/>
    </row>
    <row r="8" spans="1:21" ht="18" customHeight="1" x14ac:dyDescent="0.4">
      <c r="A8" s="91"/>
      <c r="B8" s="253" t="s">
        <v>2055</v>
      </c>
      <c r="C8" s="254"/>
      <c r="D8" s="254"/>
      <c r="E8" s="254"/>
      <c r="F8" s="254"/>
      <c r="G8" s="254"/>
      <c r="H8" s="254"/>
      <c r="I8" s="254"/>
      <c r="J8" s="254"/>
      <c r="K8" s="254"/>
      <c r="L8" s="254"/>
      <c r="M8" s="254"/>
      <c r="N8" s="254"/>
      <c r="O8" s="254"/>
      <c r="P8" s="255"/>
      <c r="Q8" s="91"/>
      <c r="R8" s="91"/>
      <c r="S8" s="91"/>
      <c r="T8" s="91"/>
      <c r="U8" s="91"/>
    </row>
    <row r="9" spans="1:21" ht="18" customHeight="1" x14ac:dyDescent="0.3">
      <c r="A9" s="91"/>
      <c r="B9" s="175" t="str">
        <f>"✓ Overall on-time delivery rate: "&amp;TEXT(SUM(fact_orders_1000[on_time_count])/SUM(fact_orders_1000[total_shipments]),"0.0%")&amp;" ("&amp;SUM(fact_orders_1000[on_time_count])&amp;" of "&amp;COUNTA(fact_orders_1000[order_id])&amp;" shipments)"</f>
        <v>✓ Overall on-time delivery rate: 82.9% (829 of 1000 shipments)</v>
      </c>
      <c r="C9" s="176"/>
      <c r="D9" s="176"/>
      <c r="E9" s="176"/>
      <c r="F9" s="176"/>
      <c r="G9" s="176"/>
      <c r="H9" s="176"/>
      <c r="I9" s="176"/>
      <c r="J9" s="176"/>
      <c r="K9" s="176"/>
      <c r="L9" s="176"/>
      <c r="M9" s="176"/>
      <c r="N9" s="176"/>
      <c r="O9" s="176"/>
      <c r="P9" s="177"/>
      <c r="Q9" s="91"/>
      <c r="R9" s="91"/>
      <c r="S9" s="91"/>
      <c r="T9" s="91"/>
      <c r="U9" s="91"/>
    </row>
    <row r="10" spans="1:21" ht="18" customHeight="1" x14ac:dyDescent="0.3">
      <c r="A10" s="91"/>
      <c r="B10" s="175" t="str">
        <f>"✓ Average delay is "&amp;ROUND(AVERAGE(fact_orders_1000[delay_minutes]),0)&amp;" min, indicating most deliveries arrive early"</f>
        <v>✓ Average delay is 6 min, indicating most deliveries arrive early</v>
      </c>
      <c r="C10" s="176"/>
      <c r="D10" s="176"/>
      <c r="E10" s="176"/>
      <c r="F10" s="176"/>
      <c r="G10" s="176"/>
      <c r="H10" s="176"/>
      <c r="I10" s="176"/>
      <c r="J10" s="176"/>
      <c r="K10" s="176"/>
      <c r="L10" s="176"/>
      <c r="M10" s="176"/>
      <c r="N10" s="176"/>
      <c r="O10" s="176"/>
      <c r="P10" s="177"/>
      <c r="Q10" s="91"/>
      <c r="R10" s="91"/>
      <c r="S10" s="91"/>
      <c r="T10" s="91"/>
      <c r="U10" s="91"/>
    </row>
    <row r="11" spans="1:21" ht="18" customHeight="1" x14ac:dyDescent="0.3">
      <c r="A11" s="91"/>
      <c r="B11" s="175" t="str">
        <f>"✓ Detention is the #1 cause of delays ("&amp;TEXT(COUNTIF(fact_orders_1000[Delay Reason],"detention")/COUNTA(fact_orders_1000[order_id]),"0.0%")&amp;" of documented delay reasons)"</f>
        <v>✓ Detention is the #1 cause of delays (6.3% of documented delay reasons)</v>
      </c>
      <c r="C11" s="176"/>
      <c r="D11" s="176"/>
      <c r="E11" s="176"/>
      <c r="F11" s="176"/>
      <c r="G11" s="176"/>
      <c r="H11" s="176"/>
      <c r="I11" s="176"/>
      <c r="J11" s="176"/>
      <c r="K11" s="176"/>
      <c r="L11" s="176"/>
      <c r="M11" s="176"/>
      <c r="N11" s="176"/>
      <c r="O11" s="176"/>
      <c r="P11" s="177"/>
      <c r="Q11" s="91"/>
      <c r="R11" s="91"/>
      <c r="S11" s="91"/>
      <c r="T11" s="91"/>
      <c r="U11" s="91"/>
    </row>
    <row r="12" spans="1:21" ht="18" customHeight="1" x14ac:dyDescent="0.3">
      <c r="A12" s="91"/>
      <c r="B12" s="175" t="str">
        <f>"✓ Severe delays (&gt;300 min) represent only "&amp;TEXT(COUNTIF(fact_orders_1000[delay_minutes],"&gt;300")/COUNTA(fact_orders_1000[order_id]),"0.0%")&amp;" of shipments"</f>
        <v>✓ Severe delays (&gt;300 min) represent only 1.2% of shipments</v>
      </c>
      <c r="C12" s="176"/>
      <c r="D12" s="176"/>
      <c r="E12" s="176"/>
      <c r="F12" s="176"/>
      <c r="G12" s="176"/>
      <c r="H12" s="176"/>
      <c r="I12" s="176"/>
      <c r="J12" s="176"/>
      <c r="K12" s="176"/>
      <c r="L12" s="176"/>
      <c r="M12" s="176"/>
      <c r="N12" s="176"/>
      <c r="O12" s="176"/>
      <c r="P12" s="177"/>
      <c r="Q12" s="91"/>
      <c r="R12" s="91"/>
      <c r="S12" s="91"/>
      <c r="T12" s="91"/>
      <c r="U12" s="91"/>
    </row>
    <row r="13" spans="1:21" ht="18" customHeight="1" x14ac:dyDescent="0.3">
      <c r="A13" s="91"/>
      <c r="B13" s="178" t="s">
        <v>980</v>
      </c>
      <c r="C13" s="179"/>
      <c r="D13" s="179"/>
      <c r="E13" s="179"/>
      <c r="F13" s="179"/>
      <c r="G13" s="179"/>
      <c r="H13" s="179"/>
      <c r="I13" s="179"/>
      <c r="J13" s="179"/>
      <c r="K13" s="179"/>
      <c r="L13" s="179"/>
      <c r="M13" s="179"/>
      <c r="N13" s="179"/>
      <c r="O13" s="179"/>
      <c r="P13" s="180"/>
      <c r="Q13" s="91"/>
      <c r="R13" s="91"/>
      <c r="S13" s="91"/>
      <c r="T13" s="91"/>
      <c r="U13" s="91"/>
    </row>
    <row r="14" spans="1:21" ht="18" customHeight="1" x14ac:dyDescent="0.35">
      <c r="A14" s="91"/>
      <c r="B14" s="237" t="s">
        <v>2082</v>
      </c>
      <c r="C14" s="238"/>
      <c r="D14" s="238"/>
      <c r="E14" s="238"/>
      <c r="F14" s="238"/>
      <c r="G14" s="238"/>
      <c r="H14" s="238"/>
      <c r="I14" s="238"/>
      <c r="J14" s="238"/>
      <c r="K14" s="238"/>
      <c r="L14" s="238"/>
      <c r="M14" s="238"/>
      <c r="N14" s="238"/>
      <c r="O14" s="238"/>
      <c r="P14" s="238"/>
      <c r="Q14" s="91"/>
      <c r="R14" s="91"/>
      <c r="S14" s="91"/>
      <c r="T14" s="91"/>
      <c r="U14" s="91"/>
    </row>
    <row r="15" spans="1:21" ht="18" customHeight="1" x14ac:dyDescent="0.3">
      <c r="A15" s="91"/>
      <c r="B15" s="91"/>
      <c r="C15" s="91"/>
      <c r="D15" s="91"/>
      <c r="E15" s="91"/>
      <c r="F15" s="91"/>
      <c r="G15" s="91"/>
      <c r="H15" s="91"/>
      <c r="I15" s="91"/>
      <c r="J15" s="91"/>
      <c r="K15" s="256" t="s">
        <v>2083</v>
      </c>
      <c r="L15" s="91"/>
      <c r="M15" s="91"/>
      <c r="N15" s="91"/>
      <c r="O15" s="91"/>
      <c r="P15" s="91"/>
      <c r="Q15" s="91"/>
      <c r="R15" s="91"/>
      <c r="S15" s="91"/>
      <c r="T15" s="91"/>
      <c r="U15" s="91"/>
    </row>
    <row r="16" spans="1:21" ht="18" customHeight="1" x14ac:dyDescent="0.3">
      <c r="A16" s="91"/>
      <c r="B16" s="91"/>
      <c r="C16" s="91"/>
      <c r="D16" s="91"/>
      <c r="E16" s="91"/>
      <c r="F16" s="91"/>
      <c r="G16" s="91"/>
      <c r="H16" s="91"/>
      <c r="I16" s="91"/>
      <c r="J16" s="91"/>
      <c r="K16" s="91"/>
      <c r="L16" s="91"/>
      <c r="M16" s="91"/>
      <c r="N16" s="91"/>
      <c r="O16" s="91"/>
      <c r="P16" s="91"/>
      <c r="Q16" s="91"/>
      <c r="R16" s="91" t="s">
        <v>969</v>
      </c>
      <c r="S16" s="91" t="s">
        <v>2057</v>
      </c>
      <c r="T16" s="91" t="s">
        <v>1276</v>
      </c>
      <c r="U16" s="91" t="s">
        <v>948</v>
      </c>
    </row>
    <row r="17" spans="1:21" ht="18" customHeight="1" x14ac:dyDescent="0.3">
      <c r="A17" s="91"/>
      <c r="B17" s="93"/>
      <c r="C17" s="91"/>
      <c r="D17" s="91"/>
      <c r="E17" s="91"/>
      <c r="F17" s="91"/>
      <c r="G17" s="91"/>
      <c r="H17" s="91"/>
      <c r="I17" s="91"/>
      <c r="J17" s="91"/>
      <c r="K17" s="93"/>
      <c r="L17" s="91"/>
      <c r="M17" s="91"/>
      <c r="N17" s="91"/>
      <c r="O17" s="91"/>
      <c r="P17" s="91"/>
      <c r="Q17" s="91"/>
      <c r="R17" s="91" t="s">
        <v>225</v>
      </c>
      <c r="S17" s="96">
        <v>0.86099999999999999</v>
      </c>
      <c r="T17" s="91" t="s">
        <v>2068</v>
      </c>
      <c r="U17" s="91">
        <f>SUM(fact_orders_1000[on_time_count])</f>
        <v>829</v>
      </c>
    </row>
    <row r="18" spans="1:21" ht="18" customHeight="1" x14ac:dyDescent="0.3">
      <c r="A18" s="91"/>
      <c r="B18" s="91"/>
      <c r="C18" s="91"/>
      <c r="D18" s="91"/>
      <c r="E18" s="91"/>
      <c r="F18" s="91"/>
      <c r="G18" s="91"/>
      <c r="H18" s="91"/>
      <c r="I18" s="91"/>
      <c r="J18" s="91"/>
      <c r="K18" s="91"/>
      <c r="L18" s="91"/>
      <c r="M18" s="91"/>
      <c r="N18" s="91"/>
      <c r="O18" s="91"/>
      <c r="P18" s="91"/>
      <c r="Q18" s="91"/>
      <c r="R18" s="91" t="s">
        <v>106</v>
      </c>
      <c r="S18" s="96">
        <v>0.84499999999999997</v>
      </c>
      <c r="T18" s="91" t="s">
        <v>2069</v>
      </c>
      <c r="U18" s="91">
        <f>SUM(fact_orders_1000[Late_count])</f>
        <v>171</v>
      </c>
    </row>
    <row r="19" spans="1:21" ht="18" customHeight="1" x14ac:dyDescent="0.3">
      <c r="A19" s="91"/>
      <c r="B19" s="91"/>
      <c r="C19" s="91"/>
      <c r="D19" s="91"/>
      <c r="E19" s="91"/>
      <c r="F19" s="91"/>
      <c r="G19" s="91"/>
      <c r="H19" s="91"/>
      <c r="I19" s="91"/>
      <c r="J19" s="91"/>
      <c r="K19" s="91"/>
      <c r="L19" s="91"/>
      <c r="M19" s="91"/>
      <c r="N19" s="91"/>
      <c r="O19" s="91"/>
      <c r="P19" s="91"/>
      <c r="Q19" s="91"/>
      <c r="R19" s="91" t="s">
        <v>101</v>
      </c>
      <c r="S19" s="96">
        <v>0.83799999999999997</v>
      </c>
      <c r="T19" s="91"/>
      <c r="U19" s="91"/>
    </row>
    <row r="20" spans="1:21" ht="18" customHeight="1" x14ac:dyDescent="0.3">
      <c r="A20" s="91"/>
      <c r="B20" s="91"/>
      <c r="C20" s="91"/>
      <c r="D20" s="91"/>
      <c r="E20" s="91"/>
      <c r="F20" s="91"/>
      <c r="G20" s="91"/>
      <c r="H20" s="91"/>
      <c r="I20" s="91"/>
      <c r="J20" s="91"/>
      <c r="K20" s="91"/>
      <c r="L20" s="91"/>
      <c r="M20" s="91"/>
      <c r="N20" s="91"/>
      <c r="O20" s="91"/>
      <c r="P20" s="91"/>
      <c r="Q20" s="91"/>
      <c r="R20" s="91" t="s">
        <v>211</v>
      </c>
      <c r="S20" s="96">
        <v>0.83699999999999997</v>
      </c>
      <c r="T20" s="91"/>
      <c r="U20" s="91"/>
    </row>
    <row r="21" spans="1:21" ht="18" customHeight="1" x14ac:dyDescent="0.3">
      <c r="A21" s="91"/>
      <c r="B21" s="91"/>
      <c r="C21" s="91"/>
      <c r="D21" s="91"/>
      <c r="E21" s="91"/>
      <c r="F21" s="91"/>
      <c r="G21" s="91"/>
      <c r="H21" s="91"/>
      <c r="I21" s="91"/>
      <c r="J21" s="91"/>
      <c r="K21" s="91"/>
      <c r="L21" s="91"/>
      <c r="M21" s="91"/>
      <c r="N21" s="91"/>
      <c r="O21" s="91"/>
      <c r="P21" s="91"/>
      <c r="Q21" s="91"/>
      <c r="R21" s="91" t="s">
        <v>84</v>
      </c>
      <c r="S21" s="96">
        <v>0.83499999999999996</v>
      </c>
      <c r="T21" s="91"/>
      <c r="U21" s="91"/>
    </row>
    <row r="22" spans="1:21" ht="18" customHeight="1" x14ac:dyDescent="0.3">
      <c r="A22" s="91"/>
      <c r="B22" s="91"/>
      <c r="C22" s="91"/>
      <c r="D22" s="91"/>
      <c r="E22" s="91"/>
      <c r="F22" s="91"/>
      <c r="G22" s="91"/>
      <c r="H22" s="91"/>
      <c r="I22" s="91"/>
      <c r="J22" s="91"/>
      <c r="K22" s="91"/>
      <c r="L22" s="91"/>
      <c r="M22" s="91"/>
      <c r="N22" s="91"/>
      <c r="O22" s="91"/>
      <c r="P22" s="91"/>
      <c r="Q22" s="91"/>
      <c r="R22" s="91" t="s">
        <v>126</v>
      </c>
      <c r="S22" s="96">
        <v>0.83099999999999996</v>
      </c>
      <c r="T22" s="91"/>
      <c r="U22" s="91"/>
    </row>
    <row r="23" spans="1:21" ht="18" customHeight="1" x14ac:dyDescent="0.3">
      <c r="A23" s="91"/>
      <c r="B23" s="91"/>
      <c r="C23" s="91"/>
      <c r="D23" s="91"/>
      <c r="E23" s="91"/>
      <c r="F23" s="91"/>
      <c r="G23" s="91"/>
      <c r="H23" s="91"/>
      <c r="I23" s="91"/>
      <c r="J23" s="91"/>
      <c r="K23" s="91"/>
      <c r="L23" s="91"/>
      <c r="M23" s="91"/>
      <c r="N23" s="91"/>
      <c r="O23" s="91"/>
      <c r="P23" s="91"/>
      <c r="Q23" s="91"/>
      <c r="R23" s="91" t="s">
        <v>142</v>
      </c>
      <c r="S23" s="96">
        <v>0.81499999999999995</v>
      </c>
      <c r="T23" s="91"/>
      <c r="U23" s="91"/>
    </row>
    <row r="24" spans="1:21" ht="18" customHeight="1" x14ac:dyDescent="0.3">
      <c r="A24" s="91"/>
      <c r="B24" s="91"/>
      <c r="C24" s="91"/>
      <c r="D24" s="91"/>
      <c r="E24" s="91"/>
      <c r="F24" s="91"/>
      <c r="G24" s="91"/>
      <c r="H24" s="91"/>
      <c r="I24" s="91"/>
      <c r="J24" s="91"/>
      <c r="K24" s="91"/>
      <c r="L24" s="91"/>
      <c r="M24" s="91"/>
      <c r="N24" s="91"/>
      <c r="O24" s="91"/>
      <c r="P24" s="91"/>
      <c r="Q24" s="91"/>
      <c r="R24" s="91" t="s">
        <v>57</v>
      </c>
      <c r="S24" s="96">
        <v>0.81299999999999994</v>
      </c>
      <c r="T24" s="91"/>
      <c r="U24" s="91"/>
    </row>
    <row r="25" spans="1:21" ht="18" customHeight="1" x14ac:dyDescent="0.3">
      <c r="A25" s="91"/>
      <c r="B25" s="91"/>
      <c r="C25" s="91"/>
      <c r="D25" s="91"/>
      <c r="E25" s="91"/>
      <c r="F25" s="91"/>
      <c r="G25" s="91"/>
      <c r="H25" s="91"/>
      <c r="I25" s="91"/>
      <c r="J25" s="91"/>
      <c r="K25" s="91"/>
      <c r="L25" s="91"/>
      <c r="M25" s="91"/>
      <c r="N25" s="91"/>
      <c r="O25" s="91"/>
      <c r="P25" s="91"/>
      <c r="Q25" s="91"/>
      <c r="R25" s="91" t="s">
        <v>185</v>
      </c>
      <c r="S25" s="96">
        <v>0.81200000000000006</v>
      </c>
      <c r="T25" s="91"/>
      <c r="U25" s="91"/>
    </row>
    <row r="26" spans="1:21" ht="18" customHeight="1" x14ac:dyDescent="0.3">
      <c r="A26" s="91"/>
      <c r="B26" s="91"/>
      <c r="C26" s="91"/>
      <c r="D26" s="91"/>
      <c r="E26" s="91"/>
      <c r="F26" s="91"/>
      <c r="G26" s="91"/>
      <c r="H26" s="91"/>
      <c r="I26" s="91"/>
      <c r="J26" s="91"/>
      <c r="K26" s="91"/>
      <c r="L26" s="91"/>
      <c r="M26" s="91"/>
      <c r="N26" s="91"/>
      <c r="O26" s="91"/>
      <c r="P26" s="91"/>
      <c r="Q26" s="91"/>
      <c r="R26" s="91" t="s">
        <v>92</v>
      </c>
      <c r="S26" s="96">
        <v>0.80500000000000005</v>
      </c>
      <c r="T26" s="91"/>
      <c r="U26" s="91"/>
    </row>
    <row r="27" spans="1:21" ht="18" customHeight="1" x14ac:dyDescent="0.3">
      <c r="A27" s="91"/>
      <c r="B27" s="91"/>
      <c r="C27" s="91"/>
      <c r="D27" s="91"/>
      <c r="E27" s="91"/>
      <c r="F27" s="91"/>
      <c r="G27" s="91"/>
      <c r="H27" s="91"/>
      <c r="I27" s="91"/>
      <c r="J27" s="91"/>
      <c r="K27" s="91"/>
      <c r="L27" s="91"/>
      <c r="M27" s="91"/>
      <c r="N27" s="91"/>
      <c r="O27" s="91"/>
      <c r="P27" s="91"/>
      <c r="Q27" s="91"/>
      <c r="R27" s="91"/>
      <c r="S27" s="91"/>
      <c r="T27" s="91"/>
      <c r="U27" s="91"/>
    </row>
    <row r="28" spans="1:21" ht="18" customHeight="1" x14ac:dyDescent="0.3">
      <c r="A28" s="91"/>
      <c r="B28" s="91"/>
      <c r="C28" s="91"/>
      <c r="D28" s="91"/>
      <c r="E28" s="91"/>
      <c r="F28" s="91"/>
      <c r="G28" s="91"/>
      <c r="H28" s="91"/>
      <c r="I28" s="91"/>
      <c r="J28" s="91"/>
      <c r="K28" s="91"/>
      <c r="L28" s="91"/>
      <c r="M28" s="91"/>
      <c r="N28" s="91"/>
      <c r="O28" s="91"/>
      <c r="P28" s="91"/>
      <c r="Q28" s="91"/>
      <c r="R28" s="91"/>
      <c r="S28" s="91"/>
      <c r="T28" s="91"/>
      <c r="U28" s="91"/>
    </row>
    <row r="29" spans="1:21" ht="18" customHeight="1" x14ac:dyDescent="0.3">
      <c r="A29" s="91"/>
      <c r="B29" s="91"/>
      <c r="C29" s="91"/>
      <c r="D29" s="91"/>
      <c r="E29" s="91"/>
      <c r="F29" s="91"/>
      <c r="G29" s="91"/>
      <c r="H29" s="91"/>
      <c r="I29" s="91"/>
      <c r="J29" s="91"/>
      <c r="K29" s="91"/>
      <c r="L29" s="91"/>
      <c r="M29" s="91"/>
      <c r="N29" s="91"/>
      <c r="O29" s="91"/>
      <c r="P29" s="91"/>
      <c r="Q29" s="91"/>
      <c r="R29" s="91"/>
      <c r="S29" s="91"/>
      <c r="T29" s="91"/>
      <c r="U29" s="91"/>
    </row>
    <row r="30" spans="1:21" ht="18" customHeight="1" x14ac:dyDescent="0.3">
      <c r="A30" s="91"/>
      <c r="B30" s="91"/>
      <c r="C30" s="91"/>
      <c r="D30" s="91"/>
      <c r="E30" s="91"/>
      <c r="F30" s="91"/>
      <c r="G30" s="91"/>
      <c r="H30" s="91"/>
      <c r="I30" s="91"/>
      <c r="J30" s="91"/>
      <c r="K30" s="91"/>
      <c r="L30" s="91"/>
      <c r="M30" s="91"/>
      <c r="N30" s="91"/>
      <c r="O30" s="91"/>
      <c r="P30" s="91"/>
      <c r="Q30" s="91"/>
      <c r="R30" s="91"/>
      <c r="S30" s="91"/>
      <c r="T30" s="91"/>
      <c r="U30" s="91"/>
    </row>
    <row r="31" spans="1:21" ht="18" customHeight="1" x14ac:dyDescent="0.3">
      <c r="A31" s="91"/>
      <c r="B31" s="91"/>
      <c r="C31" s="91"/>
      <c r="D31" s="91"/>
      <c r="E31" s="91"/>
      <c r="F31" s="91"/>
      <c r="G31" s="91"/>
      <c r="H31" s="91"/>
      <c r="I31" s="91"/>
      <c r="J31" s="91"/>
      <c r="K31" s="91"/>
      <c r="L31" s="91"/>
      <c r="M31" s="91"/>
      <c r="N31" s="91"/>
      <c r="O31" s="91"/>
      <c r="P31" s="91"/>
      <c r="Q31" s="91"/>
      <c r="R31" s="91"/>
      <c r="S31" s="91"/>
      <c r="T31" s="91"/>
      <c r="U31" s="91"/>
    </row>
    <row r="32" spans="1:21" ht="18" customHeight="1" x14ac:dyDescent="0.3">
      <c r="A32" s="91"/>
      <c r="B32" s="91"/>
      <c r="C32" s="91"/>
      <c r="D32" s="91"/>
      <c r="E32" s="91"/>
      <c r="F32" s="91"/>
      <c r="G32" s="91"/>
      <c r="H32" s="91"/>
      <c r="I32" s="91"/>
      <c r="J32" s="91"/>
      <c r="K32" s="91"/>
      <c r="L32" s="91"/>
      <c r="M32" s="91"/>
      <c r="N32" s="91"/>
      <c r="O32" s="91"/>
      <c r="P32" s="91"/>
      <c r="Q32" s="91"/>
      <c r="R32" s="91"/>
      <c r="S32" s="91"/>
      <c r="T32" s="91"/>
      <c r="U32" s="91"/>
    </row>
    <row r="33" spans="1:21" ht="18" customHeight="1" x14ac:dyDescent="0.3">
      <c r="A33" s="91"/>
      <c r="B33" s="91"/>
      <c r="C33" s="91"/>
      <c r="D33" s="91"/>
      <c r="E33" s="91"/>
      <c r="F33" s="91"/>
      <c r="G33" s="91"/>
      <c r="H33" s="91"/>
      <c r="I33" s="91"/>
      <c r="J33" s="91"/>
      <c r="K33" s="91"/>
      <c r="L33" s="91"/>
      <c r="M33" s="91"/>
      <c r="N33" s="91"/>
      <c r="O33" s="91"/>
      <c r="P33" s="91"/>
      <c r="Q33" s="91"/>
      <c r="R33" s="91"/>
      <c r="S33" s="91"/>
      <c r="T33" s="91"/>
      <c r="U33" s="91"/>
    </row>
    <row r="34" spans="1:21" ht="18" customHeight="1" x14ac:dyDescent="0.3">
      <c r="A34" s="91"/>
      <c r="B34" s="91"/>
      <c r="C34" s="91"/>
      <c r="D34" s="91"/>
      <c r="E34" s="91"/>
      <c r="F34" s="91"/>
      <c r="G34" s="91"/>
      <c r="H34" s="91"/>
      <c r="I34" s="91"/>
      <c r="J34" s="91"/>
      <c r="K34" s="91"/>
      <c r="L34" s="91"/>
      <c r="M34" s="91"/>
      <c r="N34" s="91"/>
      <c r="O34" s="91"/>
      <c r="P34" s="91"/>
      <c r="Q34" s="91"/>
      <c r="R34" s="91"/>
      <c r="S34" s="91"/>
      <c r="T34" s="91"/>
      <c r="U34" s="91"/>
    </row>
    <row r="35" spans="1:21" ht="18" customHeight="1" x14ac:dyDescent="0.3">
      <c r="A35" s="91"/>
      <c r="B35" s="91"/>
      <c r="C35" s="91"/>
      <c r="D35" s="91"/>
      <c r="E35" s="91"/>
      <c r="F35" s="91"/>
      <c r="G35" s="91"/>
      <c r="H35" s="91"/>
      <c r="I35" s="91"/>
      <c r="J35" s="91"/>
      <c r="K35" s="91"/>
      <c r="L35" s="91"/>
      <c r="M35" s="91"/>
      <c r="N35" s="91"/>
      <c r="O35" s="91"/>
      <c r="P35" s="91"/>
      <c r="Q35" s="91"/>
      <c r="R35" s="91"/>
      <c r="S35" s="91"/>
      <c r="T35" s="91"/>
      <c r="U35" s="91"/>
    </row>
    <row r="36" spans="1:21" ht="18" customHeight="1" x14ac:dyDescent="0.3">
      <c r="A36" s="91"/>
      <c r="B36" s="91"/>
      <c r="C36" s="91"/>
      <c r="D36" s="91"/>
      <c r="E36" s="91"/>
      <c r="F36" s="91"/>
      <c r="G36" s="91"/>
      <c r="H36" s="91"/>
      <c r="I36" s="91"/>
      <c r="J36" s="91"/>
      <c r="K36" s="91"/>
      <c r="L36" s="91"/>
      <c r="M36" s="91"/>
      <c r="N36" s="91"/>
      <c r="O36" s="91"/>
      <c r="P36" s="91"/>
      <c r="Q36" s="91"/>
      <c r="R36" s="91"/>
      <c r="S36" s="91"/>
      <c r="T36" s="91"/>
      <c r="U36" s="91"/>
    </row>
    <row r="37" spans="1:21" ht="18" customHeight="1" x14ac:dyDescent="0.3">
      <c r="A37" s="91"/>
      <c r="B37" s="91"/>
      <c r="C37" s="91"/>
      <c r="D37" s="91"/>
      <c r="E37" s="91"/>
      <c r="F37" s="91"/>
      <c r="G37" s="91"/>
      <c r="H37" s="91"/>
      <c r="I37" s="91"/>
      <c r="J37" s="91"/>
      <c r="K37" s="91"/>
      <c r="L37" s="91"/>
      <c r="M37" s="91"/>
      <c r="N37" s="91"/>
      <c r="O37" s="91"/>
      <c r="P37" s="91"/>
      <c r="Q37" s="91"/>
      <c r="R37" s="91"/>
      <c r="S37" s="91"/>
      <c r="T37" s="91"/>
      <c r="U37" s="91"/>
    </row>
    <row r="38" spans="1:21" ht="25.05" customHeight="1" x14ac:dyDescent="0.35">
      <c r="A38" s="91"/>
      <c r="B38" s="147" t="s">
        <v>2084</v>
      </c>
      <c r="C38" s="147"/>
      <c r="D38" s="147"/>
      <c r="E38" s="147"/>
      <c r="F38" s="147"/>
      <c r="G38" s="147"/>
      <c r="H38" s="147"/>
      <c r="I38" s="147"/>
      <c r="J38" s="147"/>
      <c r="K38" s="147"/>
      <c r="L38" s="147"/>
      <c r="M38" s="147"/>
      <c r="N38" s="147"/>
      <c r="O38" s="147"/>
      <c r="P38" s="147"/>
      <c r="Q38" s="89"/>
      <c r="R38" s="91"/>
      <c r="S38" s="91"/>
      <c r="T38" s="91"/>
      <c r="U38" s="91"/>
    </row>
    <row r="39" spans="1:21" ht="19.95" customHeight="1" x14ac:dyDescent="0.3">
      <c r="A39" s="91"/>
      <c r="B39" s="89"/>
      <c r="C39" s="89"/>
      <c r="D39" s="89"/>
      <c r="E39" s="89"/>
      <c r="F39" s="89"/>
      <c r="G39" s="89"/>
      <c r="H39" s="89"/>
      <c r="I39" s="89"/>
      <c r="J39" s="89"/>
      <c r="K39" s="89"/>
      <c r="L39" s="89"/>
      <c r="M39" s="89"/>
      <c r="N39" s="89"/>
      <c r="O39" s="89"/>
      <c r="P39" s="89"/>
      <c r="Q39" s="89"/>
      <c r="R39" s="91"/>
      <c r="S39" s="91"/>
      <c r="T39" s="91"/>
      <c r="U39" s="91"/>
    </row>
    <row r="40" spans="1:21" ht="22.05" customHeight="1" x14ac:dyDescent="0.35">
      <c r="A40" s="91"/>
      <c r="B40" s="239" t="s">
        <v>2056</v>
      </c>
      <c r="C40" s="240"/>
      <c r="D40" s="240"/>
      <c r="E40" s="240"/>
      <c r="F40" s="241"/>
      <c r="G40" s="89"/>
      <c r="H40" s="239" t="s">
        <v>2060</v>
      </c>
      <c r="I40" s="240"/>
      <c r="J40" s="240"/>
      <c r="K40" s="240"/>
      <c r="L40" s="240"/>
      <c r="M40" s="242" t="s">
        <v>2109</v>
      </c>
      <c r="N40" s="243"/>
      <c r="O40" s="243"/>
      <c r="P40" s="244"/>
      <c r="Q40" s="89"/>
      <c r="R40" s="91"/>
      <c r="S40" s="91"/>
      <c r="T40" s="91"/>
      <c r="U40" s="91"/>
    </row>
    <row r="41" spans="1:21" ht="19.95" customHeight="1" x14ac:dyDescent="0.3">
      <c r="A41" s="91"/>
      <c r="B41" s="151" t="s">
        <v>969</v>
      </c>
      <c r="C41" s="145" t="s">
        <v>1137</v>
      </c>
      <c r="D41" s="145" t="s">
        <v>2057</v>
      </c>
      <c r="E41" s="145" t="s">
        <v>2058</v>
      </c>
      <c r="F41" s="153" t="s">
        <v>2059</v>
      </c>
      <c r="G41" s="89"/>
      <c r="H41" s="151" t="s">
        <v>974</v>
      </c>
      <c r="I41" s="145" t="s">
        <v>1137</v>
      </c>
      <c r="J41" s="145" t="s">
        <v>2057</v>
      </c>
      <c r="K41" s="145" t="s">
        <v>2058</v>
      </c>
      <c r="L41" s="145" t="s">
        <v>2059</v>
      </c>
      <c r="M41" s="196" t="s">
        <v>2094</v>
      </c>
      <c r="N41" s="148"/>
      <c r="O41" s="123" t="s">
        <v>2095</v>
      </c>
      <c r="P41" s="199"/>
      <c r="Q41" s="89"/>
      <c r="R41" s="91"/>
      <c r="S41" s="91"/>
      <c r="T41" s="91"/>
      <c r="U41" s="91"/>
    </row>
    <row r="42" spans="1:21" ht="18" customHeight="1" x14ac:dyDescent="0.3">
      <c r="A42" s="91"/>
      <c r="B42" s="152" t="s">
        <v>57</v>
      </c>
      <c r="C42" s="123">
        <f>SUMIFS(fact_orders_1000[total_shipments],fact_orders_1000[carrier_name],B42)</f>
        <v>112</v>
      </c>
      <c r="D42" s="149">
        <f>SUMIFS(fact_orders_1000[on_time_count],fact_orders_1000[carrier_name],B42)/C42</f>
        <v>0.8125</v>
      </c>
      <c r="E42" s="150">
        <f>AVERAGEIF(fact_orders_1000[carrier_name],B42,fact_orders_1000[delay_minutes])</f>
        <v>12.1875</v>
      </c>
      <c r="F42" s="154" t="str">
        <f>IF(E42&lt;0,"✅ Early","⚠️ OK")</f>
        <v>⚠️ OK</v>
      </c>
      <c r="G42" s="89"/>
      <c r="H42" s="152" t="s">
        <v>123</v>
      </c>
      <c r="I42" s="123">
        <f>SUMIFS(fact_orders_1000[total_shipments],fact_orders_1000[region],H42)</f>
        <v>201</v>
      </c>
      <c r="J42" s="149">
        <f>SUMIFS(fact_orders_1000[on_time_count],fact_orders_1000[region],H42)/I42</f>
        <v>0.79601990049751248</v>
      </c>
      <c r="K42" s="150">
        <f>AVERAGEIF(fact_orders_1000[region],H42,fact_orders_1000[delay_minutes])</f>
        <v>14.522388059701493</v>
      </c>
      <c r="L42" s="123" t="str">
        <f>IF(K42&lt;0,"✅ Early","⚠️ OK")</f>
        <v>⚠️ OK</v>
      </c>
      <c r="M42" s="196" t="s">
        <v>2110</v>
      </c>
      <c r="N42" s="148"/>
      <c r="O42" s="123" t="s">
        <v>2111</v>
      </c>
      <c r="P42" s="199"/>
      <c r="Q42" s="89"/>
      <c r="R42" s="91"/>
      <c r="S42" s="91"/>
      <c r="T42" s="91"/>
      <c r="U42" s="91"/>
    </row>
    <row r="43" spans="1:21" ht="18" customHeight="1" x14ac:dyDescent="0.3">
      <c r="A43" s="91"/>
      <c r="B43" s="152" t="s">
        <v>225</v>
      </c>
      <c r="C43" s="123">
        <f>SUMIFS(fact_orders_1000[total_shipments],fact_orders_1000[carrier_name],B43)</f>
        <v>72</v>
      </c>
      <c r="D43" s="149">
        <f>SUMIFS(fact_orders_1000[on_time_count],fact_orders_1000[carrier_name],B43)/C43</f>
        <v>0.86111111111111116</v>
      </c>
      <c r="E43" s="150">
        <f>AVERAGEIF(fact_orders_1000[carrier_name],B43,fact_orders_1000[delay_minutes])</f>
        <v>11.430555555555555</v>
      </c>
      <c r="F43" s="154" t="str">
        <f>IF(E43&lt;0,"✅ Early","⚠️ OK")</f>
        <v>⚠️ OK</v>
      </c>
      <c r="G43" s="89"/>
      <c r="H43" s="152" t="s">
        <v>88</v>
      </c>
      <c r="I43" s="123">
        <f>SUMIFS(fact_orders_1000[total_shipments],fact_orders_1000[region],H43)</f>
        <v>243</v>
      </c>
      <c r="J43" s="149">
        <f>SUMIFS(fact_orders_1000[on_time_count],fact_orders_1000[region],H43)/I43</f>
        <v>0.83127572016460904</v>
      </c>
      <c r="K43" s="150">
        <f>AVERAGEIF(fact_orders_1000[region],H43,fact_orders_1000[delay_minutes])</f>
        <v>8.621399176954732</v>
      </c>
      <c r="L43" s="123" t="str">
        <f>IF(K43&lt;0,"✅ Early","⚠️ OK")</f>
        <v>⚠️ OK</v>
      </c>
      <c r="M43" s="196" t="s">
        <v>2112</v>
      </c>
      <c r="N43" s="148"/>
      <c r="O43" s="123" t="s">
        <v>2096</v>
      </c>
      <c r="P43" s="199"/>
      <c r="Q43" s="89"/>
      <c r="R43" s="91"/>
      <c r="S43" s="91"/>
      <c r="T43" s="91"/>
      <c r="U43" s="91"/>
    </row>
    <row r="44" spans="1:21" ht="18" customHeight="1" x14ac:dyDescent="0.3">
      <c r="A44" s="91"/>
      <c r="B44" s="152" t="s">
        <v>106</v>
      </c>
      <c r="C44" s="123">
        <f>SUMIFS(fact_orders_1000[total_shipments],fact_orders_1000[carrier_name],B44)</f>
        <v>103</v>
      </c>
      <c r="D44" s="149">
        <f>SUMIFS(fact_orders_1000[on_time_count],fact_orders_1000[carrier_name],B44)/C44</f>
        <v>0.84466019417475724</v>
      </c>
      <c r="E44" s="150">
        <f>AVERAGEIF(fact_orders_1000[carrier_name],B44,fact_orders_1000[delay_minutes])</f>
        <v>10.650485436893204</v>
      </c>
      <c r="F44" s="154" t="str">
        <f>IF(E44&lt;0,"✅ Early","⚠️ OK")</f>
        <v>⚠️ OK</v>
      </c>
      <c r="G44" s="89"/>
      <c r="H44" s="152" t="s">
        <v>73</v>
      </c>
      <c r="I44" s="123">
        <f>SUMIFS(fact_orders_1000[total_shipments],fact_orders_1000[region],H44)</f>
        <v>309</v>
      </c>
      <c r="J44" s="149">
        <f>SUMIFS(fact_orders_1000[on_time_count],fact_orders_1000[region],H44)/I44</f>
        <v>0.82524271844660191</v>
      </c>
      <c r="K44" s="150">
        <f>AVERAGEIF(fact_orders_1000[region],H44,fact_orders_1000[delay_minutes])</f>
        <v>6.0194174757281553</v>
      </c>
      <c r="L44" s="123" t="str">
        <f>IF(K44&lt;0,"✅ Early","⚠️ OK")</f>
        <v>⚠️ OK</v>
      </c>
      <c r="M44" s="197" t="s">
        <v>2113</v>
      </c>
      <c r="N44" s="148"/>
      <c r="O44" s="123" t="s">
        <v>2097</v>
      </c>
      <c r="P44" s="199"/>
      <c r="Q44" s="89"/>
      <c r="R44" s="91"/>
      <c r="S44" s="91"/>
      <c r="T44" s="91"/>
      <c r="U44" s="91"/>
    </row>
    <row r="45" spans="1:21" ht="18" customHeight="1" x14ac:dyDescent="0.3">
      <c r="A45" s="91"/>
      <c r="B45" s="152" t="s">
        <v>84</v>
      </c>
      <c r="C45" s="123">
        <f>SUMIFS(fact_orders_1000[total_shipments],fact_orders_1000[carrier_name],B45)</f>
        <v>243</v>
      </c>
      <c r="D45" s="149">
        <f>SUMIFS(fact_orders_1000[on_time_count],fact_orders_1000[carrier_name],B45)/C45</f>
        <v>0.83539094650205759</v>
      </c>
      <c r="E45" s="150">
        <f>AVERAGEIF(fact_orders_1000[carrier_name],B45,fact_orders_1000[delay_minutes])</f>
        <v>10.242798353909466</v>
      </c>
      <c r="F45" s="154" t="str">
        <f>IF(E45&lt;0,"✅ Early","⚠️ OK")</f>
        <v>⚠️ OK</v>
      </c>
      <c r="G45" s="89"/>
      <c r="H45" s="155" t="s">
        <v>62</v>
      </c>
      <c r="I45" s="156">
        <f>SUMIFS(fact_orders_1000[total_shipments],fact_orders_1000[region],H45)</f>
        <v>247</v>
      </c>
      <c r="J45" s="157">
        <f>SUMIFS(fact_orders_1000[on_time_count],fact_orders_1000[region],H45)/I45</f>
        <v>0.8582995951417004</v>
      </c>
      <c r="K45" s="158">
        <f>AVERAGEIF(fact_orders_1000[region],H45,fact_orders_1000[delay_minutes])</f>
        <v>-1.6720647773279351</v>
      </c>
      <c r="L45" s="156" t="str">
        <f>IF(K45&lt;0,"✅ Early","⚠️ OK")</f>
        <v>✅ Early</v>
      </c>
      <c r="M45" s="198" t="s">
        <v>2114</v>
      </c>
      <c r="N45" s="194"/>
      <c r="O45" s="195" t="s">
        <v>2115</v>
      </c>
      <c r="P45" s="200"/>
      <c r="Q45" s="89"/>
      <c r="R45" s="91"/>
      <c r="S45" s="91"/>
      <c r="T45" s="91"/>
      <c r="U45" s="91"/>
    </row>
    <row r="46" spans="1:21" ht="18" customHeight="1" x14ac:dyDescent="0.3">
      <c r="A46" s="91"/>
      <c r="B46" s="152" t="s">
        <v>92</v>
      </c>
      <c r="C46" s="123">
        <f>SUMIFS(fact_orders_1000[total_shipments],fact_orders_1000[carrier_name],B46)</f>
        <v>77</v>
      </c>
      <c r="D46" s="149">
        <f>SUMIFS(fact_orders_1000[on_time_count],fact_orders_1000[carrier_name],B46)/C46</f>
        <v>0.80519480519480524</v>
      </c>
      <c r="E46" s="150">
        <f>AVERAGEIF(fact_orders_1000[carrier_name],B46,fact_orders_1000[delay_minutes])</f>
        <v>5.8311688311688314</v>
      </c>
      <c r="F46" s="154" t="str">
        <f>IF(E46&lt;0,"✅ Early","⚠️ OK")</f>
        <v>⚠️ OK</v>
      </c>
      <c r="G46" s="89"/>
      <c r="H46" s="89"/>
      <c r="I46" s="89"/>
      <c r="J46" s="89"/>
      <c r="K46" s="89"/>
      <c r="L46" s="89"/>
      <c r="M46" s="89"/>
      <c r="N46" s="89"/>
      <c r="O46" s="89"/>
      <c r="P46" s="89"/>
      <c r="Q46" s="89"/>
      <c r="R46" s="91"/>
      <c r="S46" s="91"/>
      <c r="T46" s="91"/>
      <c r="U46" s="91"/>
    </row>
    <row r="47" spans="1:21" ht="18" customHeight="1" x14ac:dyDescent="0.35">
      <c r="A47" s="91"/>
      <c r="B47" s="152" t="s">
        <v>185</v>
      </c>
      <c r="C47" s="123">
        <f>SUMIFS(fact_orders_1000[total_shipments],fact_orders_1000[carrier_name],B47)</f>
        <v>101</v>
      </c>
      <c r="D47" s="149">
        <f>SUMIFS(fact_orders_1000[on_time_count],fact_orders_1000[carrier_name],B47)/C47</f>
        <v>0.81188118811881194</v>
      </c>
      <c r="E47" s="150">
        <f>AVERAGEIF(fact_orders_1000[carrier_name],B47,fact_orders_1000[delay_minutes])</f>
        <v>4.2079207920792081</v>
      </c>
      <c r="F47" s="154" t="str">
        <f>IF(E47&lt;0,"✅ Early","⚠️ OK")</f>
        <v>⚠️ OK</v>
      </c>
      <c r="G47" s="89"/>
      <c r="H47" s="245" t="s">
        <v>2080</v>
      </c>
      <c r="I47" s="246"/>
      <c r="J47" s="246"/>
      <c r="K47" s="247"/>
      <c r="L47" s="89"/>
      <c r="M47" s="89"/>
      <c r="N47" s="89"/>
      <c r="O47" s="89"/>
      <c r="P47" s="89"/>
      <c r="Q47" s="89"/>
      <c r="R47" s="91"/>
      <c r="S47" s="91"/>
      <c r="T47" s="91"/>
      <c r="U47" s="91"/>
    </row>
    <row r="48" spans="1:21" ht="18" customHeight="1" x14ac:dyDescent="0.3">
      <c r="A48" s="91"/>
      <c r="B48" s="152" t="s">
        <v>142</v>
      </c>
      <c r="C48" s="123">
        <f>SUMIFS(fact_orders_1000[total_shipments],fact_orders_1000[carrier_name],B48)</f>
        <v>92</v>
      </c>
      <c r="D48" s="149">
        <f>SUMIFS(fact_orders_1000[on_time_count],fact_orders_1000[carrier_name],B48)/C48</f>
        <v>0.81521739130434778</v>
      </c>
      <c r="E48" s="150">
        <f>AVERAGEIF(fact_orders_1000[carrier_name],B48,fact_orders_1000[delay_minutes])</f>
        <v>4.2173913043478262</v>
      </c>
      <c r="F48" s="154" t="str">
        <f>IF(E48&lt;0,"✅ Early","⚠️ OK")</f>
        <v>⚠️ OK</v>
      </c>
      <c r="G48" s="89"/>
      <c r="H48" s="160" t="s">
        <v>2081</v>
      </c>
      <c r="I48" s="145" t="s">
        <v>948</v>
      </c>
      <c r="J48" s="145" t="s">
        <v>984</v>
      </c>
      <c r="K48" s="162" t="s">
        <v>2063</v>
      </c>
      <c r="L48" s="89"/>
      <c r="M48" s="89"/>
      <c r="N48" s="89"/>
      <c r="O48" s="89"/>
      <c r="P48" s="89"/>
      <c r="Q48" s="89"/>
      <c r="R48" s="91"/>
      <c r="S48" s="91"/>
      <c r="T48" s="91"/>
      <c r="U48" s="91"/>
    </row>
    <row r="49" spans="1:21" ht="18" customHeight="1" x14ac:dyDescent="0.3">
      <c r="A49" s="91"/>
      <c r="B49" s="152" t="s">
        <v>211</v>
      </c>
      <c r="C49" s="123">
        <f>SUMIFS(fact_orders_1000[total_shipments],fact_orders_1000[carrier_name],B49)</f>
        <v>49</v>
      </c>
      <c r="D49" s="149">
        <f>SUMIFS(fact_orders_1000[on_time_count],fact_orders_1000[carrier_name],B49)/C49</f>
        <v>0.83673469387755106</v>
      </c>
      <c r="E49" s="150">
        <f>AVERAGEIF(fact_orders_1000[carrier_name],B49,fact_orders_1000[delay_minutes])</f>
        <v>-2.0816326530612246</v>
      </c>
      <c r="F49" s="154" t="str">
        <f>IF(E49&lt;0,"✅ Early","⚠️ OK")</f>
        <v>✅ Early</v>
      </c>
      <c r="G49" s="89"/>
      <c r="H49" s="161" t="s">
        <v>954</v>
      </c>
      <c r="I49" s="123">
        <f>COUNTIF(fact_orders_1000[Delay Reason],"detention")</f>
        <v>63</v>
      </c>
      <c r="J49" s="149">
        <f>I49/COUNTA(fact_orders_1000[order_id])</f>
        <v>6.3E-2</v>
      </c>
      <c r="K49" s="186" t="s">
        <v>2108</v>
      </c>
      <c r="L49" s="89"/>
      <c r="M49" s="89"/>
      <c r="N49" s="89"/>
      <c r="O49" s="89"/>
      <c r="P49" s="89"/>
      <c r="Q49" s="89"/>
      <c r="R49" s="91"/>
      <c r="S49" s="91"/>
      <c r="T49" s="91"/>
      <c r="U49" s="91"/>
    </row>
    <row r="50" spans="1:21" ht="18" customHeight="1" x14ac:dyDescent="0.3">
      <c r="A50" s="91"/>
      <c r="B50" s="152" t="s">
        <v>101</v>
      </c>
      <c r="C50" s="123">
        <f>SUMIFS(fact_orders_1000[total_shipments],fact_orders_1000[carrier_name],B50)</f>
        <v>80</v>
      </c>
      <c r="D50" s="149">
        <f>SUMIFS(fact_orders_1000[on_time_count],fact_orders_1000[carrier_name],B50)/C50</f>
        <v>0.83750000000000002</v>
      </c>
      <c r="E50" s="150">
        <f>AVERAGEIF(fact_orders_1000[carrier_name],B50,fact_orders_1000[delay_minutes])</f>
        <v>-2.5625</v>
      </c>
      <c r="F50" s="154" t="str">
        <f>IF(E50&lt;0,"✅ Early","⚠️ OK")</f>
        <v>✅ Early</v>
      </c>
      <c r="G50" s="89"/>
      <c r="H50" s="161" t="s">
        <v>955</v>
      </c>
      <c r="I50" s="123">
        <f>COUNTIF(fact_orders_1000[Delay Reason],"traffic")</f>
        <v>41</v>
      </c>
      <c r="J50" s="149">
        <f>I50/COUNTA(fact_orders_1000[order_id])</f>
        <v>4.1000000000000002E-2</v>
      </c>
      <c r="K50" s="186" t="s">
        <v>2074</v>
      </c>
      <c r="L50" s="89"/>
      <c r="M50" s="89"/>
      <c r="N50" s="89"/>
      <c r="O50" s="89"/>
      <c r="P50" s="89"/>
      <c r="Q50" s="89"/>
      <c r="R50" s="91"/>
      <c r="S50" s="91"/>
      <c r="T50" s="91"/>
      <c r="U50" s="91"/>
    </row>
    <row r="51" spans="1:21" ht="18" customHeight="1" x14ac:dyDescent="0.3">
      <c r="A51" s="91"/>
      <c r="B51" s="155" t="s">
        <v>126</v>
      </c>
      <c r="C51" s="156">
        <f>SUMIFS(fact_orders_1000[total_shipments],fact_orders_1000[carrier_name],B51)</f>
        <v>71</v>
      </c>
      <c r="D51" s="157">
        <f>SUMIFS(fact_orders_1000[on_time_count],fact_orders_1000[carrier_name],B51)/C51</f>
        <v>0.83098591549295775</v>
      </c>
      <c r="E51" s="158">
        <f>AVERAGEIF(fact_orders_1000[carrier_name],B51,fact_orders_1000[delay_minutes])</f>
        <v>-3.7746478873239435</v>
      </c>
      <c r="F51" s="159" t="str">
        <f>IF(E51&lt;0,"✅ Early","⚠️ OK")</f>
        <v>✅ Early</v>
      </c>
      <c r="G51" s="89"/>
      <c r="H51" s="161" t="s">
        <v>956</v>
      </c>
      <c r="I51" s="123">
        <f>COUNTIF(fact_orders_1000[Delay Reason],"weather")</f>
        <v>20</v>
      </c>
      <c r="J51" s="149">
        <f>I51/COUNTA(fact_orders_1000[order_id])</f>
        <v>0.02</v>
      </c>
      <c r="K51" s="186" t="s">
        <v>2075</v>
      </c>
      <c r="L51" s="89"/>
      <c r="M51" s="89"/>
      <c r="N51" s="89"/>
      <c r="O51" s="89"/>
      <c r="P51" s="89"/>
      <c r="Q51" s="89"/>
      <c r="R51" s="91"/>
      <c r="S51" s="91"/>
      <c r="T51" s="91"/>
      <c r="U51" s="91"/>
    </row>
    <row r="52" spans="1:21" ht="19.95" customHeight="1" x14ac:dyDescent="0.3">
      <c r="A52" s="91"/>
      <c r="B52" s="89"/>
      <c r="C52" s="89"/>
      <c r="D52" s="89"/>
      <c r="E52" s="89"/>
      <c r="F52" s="89"/>
      <c r="G52" s="89"/>
      <c r="H52" s="163" t="s">
        <v>957</v>
      </c>
      <c r="I52" s="164">
        <f>COUNTIF(fact_orders_1000[Delay Reason],"mechanical")</f>
        <v>5</v>
      </c>
      <c r="J52" s="165">
        <f>I52/COUNTA(fact_orders_1000[order_id])</f>
        <v>5.0000000000000001E-3</v>
      </c>
      <c r="K52" s="187" t="s">
        <v>2073</v>
      </c>
      <c r="L52" s="89"/>
      <c r="M52" s="89"/>
      <c r="N52" s="89"/>
      <c r="O52" s="89"/>
      <c r="P52" s="89"/>
      <c r="Q52" s="89"/>
      <c r="R52" s="91"/>
      <c r="S52" s="91"/>
      <c r="T52" s="91"/>
      <c r="U52" s="91"/>
    </row>
    <row r="53" spans="1:21" ht="22.05" customHeight="1" x14ac:dyDescent="0.35">
      <c r="A53" s="91"/>
      <c r="B53" s="239" t="s">
        <v>2064</v>
      </c>
      <c r="C53" s="240"/>
      <c r="D53" s="240"/>
      <c r="E53" s="240"/>
      <c r="F53" s="241"/>
      <c r="G53" s="89"/>
      <c r="H53" s="89"/>
      <c r="I53" s="89"/>
      <c r="J53" s="89"/>
      <c r="K53" s="89"/>
      <c r="L53" s="89"/>
      <c r="M53" s="89"/>
      <c r="N53" s="89"/>
      <c r="O53" s="89"/>
      <c r="P53" s="89"/>
      <c r="Q53" s="89"/>
      <c r="R53" s="91"/>
      <c r="S53" s="91"/>
      <c r="T53" s="91"/>
      <c r="U53" s="91"/>
    </row>
    <row r="54" spans="1:21" ht="19.95" customHeight="1" x14ac:dyDescent="0.35">
      <c r="A54" s="91"/>
      <c r="B54" s="151" t="s">
        <v>972</v>
      </c>
      <c r="C54" s="145" t="s">
        <v>1137</v>
      </c>
      <c r="D54" s="145" t="s">
        <v>2057</v>
      </c>
      <c r="E54" s="145" t="s">
        <v>1098</v>
      </c>
      <c r="F54" s="153" t="s">
        <v>2058</v>
      </c>
      <c r="G54" s="89"/>
      <c r="H54" s="248" t="s">
        <v>2065</v>
      </c>
      <c r="I54" s="249"/>
      <c r="J54" s="250"/>
      <c r="K54" s="89"/>
      <c r="L54" s="89"/>
      <c r="M54" s="89"/>
      <c r="N54" s="89"/>
      <c r="O54" s="89"/>
      <c r="P54" s="89"/>
      <c r="Q54" s="89"/>
      <c r="R54" s="91"/>
      <c r="S54" s="91"/>
      <c r="T54" s="91"/>
      <c r="U54" s="91"/>
    </row>
    <row r="55" spans="1:21" ht="18" customHeight="1" x14ac:dyDescent="0.3">
      <c r="A55" s="91"/>
      <c r="B55" s="152" t="s">
        <v>63</v>
      </c>
      <c r="C55" s="123">
        <f>SUMIFS(fact_orders_1000[total_shipments],fact_orders_1000[truck_types],B55)</f>
        <v>488</v>
      </c>
      <c r="D55" s="149">
        <f>SUMIFS(fact_orders_1000[on_time_count],fact_orders_1000[truck_types],B55)/C55</f>
        <v>0.80327868852459017</v>
      </c>
      <c r="E55" s="166">
        <f>AVERAGEIF(fact_orders_1000[truck_types],B55,fact_orders_1000[cost_per_mile])</f>
        <v>2.1807172131147543</v>
      </c>
      <c r="F55" s="167">
        <f>AVERAGEIF(fact_orders_1000[truck_types],B55,fact_orders_1000[delay_minutes])</f>
        <v>11.159836065573771</v>
      </c>
      <c r="G55" s="89"/>
      <c r="H55" s="171" t="s">
        <v>938</v>
      </c>
      <c r="I55" s="145" t="s">
        <v>939</v>
      </c>
      <c r="J55" s="191"/>
      <c r="K55" s="89"/>
      <c r="L55" s="89"/>
      <c r="M55" s="89"/>
      <c r="N55" s="89"/>
      <c r="O55" s="89"/>
      <c r="P55" s="89"/>
      <c r="Q55" s="89"/>
      <c r="R55" s="91"/>
      <c r="S55" s="91"/>
      <c r="T55" s="91"/>
      <c r="U55" s="91"/>
    </row>
    <row r="56" spans="1:21" ht="18" customHeight="1" x14ac:dyDescent="0.3">
      <c r="A56" s="91"/>
      <c r="B56" s="152" t="s">
        <v>80</v>
      </c>
      <c r="C56" s="123">
        <f>SUMIFS(fact_orders_1000[total_shipments],fact_orders_1000[truck_types],B56)</f>
        <v>100</v>
      </c>
      <c r="D56" s="149">
        <f>SUMIFS(fact_orders_1000[on_time_count],fact_orders_1000[truck_types],B56)/C56</f>
        <v>0.86</v>
      </c>
      <c r="E56" s="166">
        <f>AVERAGEIF(fact_orders_1000[truck_types],B56,fact_orders_1000[cost_per_mile])</f>
        <v>2.0888999999999998</v>
      </c>
      <c r="F56" s="167">
        <f>AVERAGEIF(fact_orders_1000[truck_types],B56,fact_orders_1000[delay_minutes])</f>
        <v>6.4</v>
      </c>
      <c r="G56" s="89"/>
      <c r="H56" s="189" t="s">
        <v>1087</v>
      </c>
      <c r="I56" s="170">
        <f>SUM(fact_orders_1000[fuel_cost_total])</f>
        <v>258543.20999999993</v>
      </c>
      <c r="J56" s="192"/>
      <c r="K56" s="89"/>
      <c r="L56" s="89"/>
      <c r="M56" s="89"/>
      <c r="N56" s="89"/>
      <c r="O56" s="89"/>
      <c r="P56" s="89"/>
      <c r="Q56" s="89"/>
      <c r="R56" s="91"/>
      <c r="S56" s="91"/>
      <c r="T56" s="91"/>
      <c r="U56" s="91"/>
    </row>
    <row r="57" spans="1:21" ht="18" customHeight="1" x14ac:dyDescent="0.3">
      <c r="A57" s="91"/>
      <c r="B57" s="152" t="s">
        <v>112</v>
      </c>
      <c r="C57" s="123">
        <f>SUMIFS(fact_orders_1000[total_shipments],fact_orders_1000[truck_types],B57)</f>
        <v>127</v>
      </c>
      <c r="D57" s="149">
        <f>SUMIFS(fact_orders_1000[on_time_count],fact_orders_1000[truck_types],B57)/C57</f>
        <v>0.86614173228346458</v>
      </c>
      <c r="E57" s="166">
        <f>AVERAGEIF(fact_orders_1000[truck_types],B57,fact_orders_1000[cost_per_mile])</f>
        <v>2.3125196850393714</v>
      </c>
      <c r="F57" s="167">
        <f>AVERAGEIF(fact_orders_1000[truck_types],B57,fact_orders_1000[delay_minutes])</f>
        <v>2.6850393700787403</v>
      </c>
      <c r="G57" s="89"/>
      <c r="H57" s="189" t="s">
        <v>2066</v>
      </c>
      <c r="I57" s="170">
        <f>SUM(fact_orders_1000[maintenance_cost_total])</f>
        <v>57716.200000000019</v>
      </c>
      <c r="J57" s="192"/>
      <c r="K57" s="89"/>
      <c r="L57" s="89"/>
      <c r="M57" s="89"/>
      <c r="N57" s="89"/>
      <c r="O57" s="89"/>
      <c r="P57" s="89"/>
      <c r="Q57" s="89"/>
      <c r="R57" s="91"/>
      <c r="S57" s="91"/>
      <c r="T57" s="91"/>
      <c r="U57" s="91"/>
    </row>
    <row r="58" spans="1:21" ht="18" customHeight="1" x14ac:dyDescent="0.3">
      <c r="A58" s="91"/>
      <c r="B58" s="152" t="s">
        <v>2</v>
      </c>
      <c r="C58" s="123">
        <f>SUMIFS(fact_orders_1000[total_shipments],fact_orders_1000[truck_types],B58)</f>
        <v>235</v>
      </c>
      <c r="D58" s="149">
        <f>SUMIFS(fact_orders_1000[on_time_count],fact_orders_1000[truck_types],B58)/C58</f>
        <v>0.8425531914893617</v>
      </c>
      <c r="E58" s="166">
        <f>AVERAGEIF(fact_orders_1000[truck_types],B58,fact_orders_1000[cost_per_mile])</f>
        <v>2.3758723404255311</v>
      </c>
      <c r="F58" s="167">
        <f>AVERAGEIF(fact_orders_1000[truck_types],B58,fact_orders_1000[delay_minutes])</f>
        <v>0.17446808510638298</v>
      </c>
      <c r="G58" s="89"/>
      <c r="H58" s="189" t="s">
        <v>1092</v>
      </c>
      <c r="I58" s="170">
        <f>SUM(fact_orders_1000[driver_pay_total])</f>
        <v>201195.05000000045</v>
      </c>
      <c r="J58" s="192"/>
      <c r="K58" s="89"/>
      <c r="L58" s="89"/>
      <c r="M58" s="89"/>
      <c r="N58" s="89"/>
      <c r="O58" s="89"/>
      <c r="P58" s="89"/>
      <c r="Q58" s="89"/>
      <c r="R58" s="91"/>
      <c r="S58" s="91"/>
      <c r="T58" s="91"/>
      <c r="U58" s="91"/>
    </row>
    <row r="59" spans="1:21" ht="18" customHeight="1" x14ac:dyDescent="0.3">
      <c r="A59" s="91"/>
      <c r="B59" s="155" t="s">
        <v>215</v>
      </c>
      <c r="C59" s="156">
        <f>SUMIFS(fact_orders_1000[total_shipments],fact_orders_1000[truck_types],B59)</f>
        <v>50</v>
      </c>
      <c r="D59" s="157">
        <f>SUMIFS(fact_orders_1000[on_time_count],fact_orders_1000[truck_types],B59)/C59</f>
        <v>0.86</v>
      </c>
      <c r="E59" s="168">
        <f>AVERAGEIF(fact_orders_1000[truck_types],B59,fact_orders_1000[cost_per_mile])</f>
        <v>2.5724</v>
      </c>
      <c r="F59" s="169">
        <f>AVERAGEIF(fact_orders_1000[truck_types],B59,fact_orders_1000[delay_minutes])</f>
        <v>-0.14000000000000001</v>
      </c>
      <c r="G59" s="89"/>
      <c r="H59" s="190" t="s">
        <v>2076</v>
      </c>
      <c r="I59" s="188">
        <f>AVERAGE(fact_orders_1000[cost_per_mile])</f>
        <v>2.2537199999999942</v>
      </c>
      <c r="J59" s="193"/>
      <c r="K59" s="89"/>
      <c r="L59" s="89"/>
      <c r="M59" s="89"/>
      <c r="N59" s="89"/>
      <c r="O59" s="89"/>
      <c r="P59" s="89"/>
      <c r="Q59" s="89"/>
      <c r="R59" s="91"/>
      <c r="S59" s="91"/>
      <c r="T59" s="91"/>
      <c r="U59" s="91"/>
    </row>
    <row r="60" spans="1:21" ht="19.95" customHeight="1" x14ac:dyDescent="0.3">
      <c r="A60" s="91"/>
      <c r="B60" s="89"/>
      <c r="C60" s="89"/>
      <c r="D60" s="89"/>
      <c r="E60" s="89"/>
      <c r="F60" s="89"/>
      <c r="G60" s="89"/>
      <c r="H60" s="89"/>
      <c r="I60" s="89"/>
      <c r="J60" s="89"/>
      <c r="K60" s="89"/>
      <c r="L60" s="89"/>
      <c r="M60" s="89"/>
      <c r="N60" s="89"/>
      <c r="O60" s="89"/>
      <c r="P60" s="89"/>
      <c r="Q60" s="89"/>
      <c r="R60" s="91"/>
      <c r="S60" s="91"/>
      <c r="T60" s="91"/>
      <c r="U60" s="91"/>
    </row>
    <row r="61" spans="1:21" ht="25.05" customHeight="1" x14ac:dyDescent="0.45">
      <c r="A61" s="91"/>
      <c r="B61" s="223" t="s">
        <v>2098</v>
      </c>
      <c r="C61" s="224"/>
      <c r="D61" s="224"/>
      <c r="E61" s="224"/>
      <c r="F61" s="224"/>
      <c r="G61" s="224"/>
      <c r="H61" s="224"/>
      <c r="I61" s="224"/>
      <c r="J61" s="224"/>
      <c r="K61" s="224"/>
      <c r="L61" s="224"/>
      <c r="M61" s="224"/>
      <c r="N61" s="224"/>
      <c r="O61" s="224"/>
      <c r="P61" s="225"/>
      <c r="Q61" s="89"/>
      <c r="R61" s="91"/>
      <c r="S61" s="91"/>
      <c r="T61" s="91"/>
      <c r="U61" s="91"/>
    </row>
    <row r="62" spans="1:21" ht="19.95" customHeight="1" x14ac:dyDescent="0.35">
      <c r="A62" s="91"/>
      <c r="B62" s="226" t="s">
        <v>2116</v>
      </c>
      <c r="C62" s="227"/>
      <c r="D62" s="227"/>
      <c r="E62" s="227"/>
      <c r="F62" s="227"/>
      <c r="G62" s="227"/>
      <c r="H62" s="227"/>
      <c r="I62" s="227"/>
      <c r="J62" s="227"/>
      <c r="K62" s="227"/>
      <c r="L62" s="227"/>
      <c r="M62" s="227"/>
      <c r="N62" s="227"/>
      <c r="O62" s="227"/>
      <c r="P62" s="228"/>
      <c r="Q62" s="89"/>
      <c r="R62" s="91"/>
      <c r="S62" s="91"/>
      <c r="T62" s="91"/>
      <c r="U62" s="91"/>
    </row>
    <row r="63" spans="1:21" ht="19.95" customHeight="1" x14ac:dyDescent="0.35">
      <c r="A63" s="91"/>
      <c r="B63" s="226" t="s">
        <v>2117</v>
      </c>
      <c r="C63" s="227"/>
      <c r="D63" s="227"/>
      <c r="E63" s="227"/>
      <c r="F63" s="227"/>
      <c r="G63" s="227"/>
      <c r="H63" s="227"/>
      <c r="I63" s="227"/>
      <c r="J63" s="227"/>
      <c r="K63" s="227"/>
      <c r="L63" s="227"/>
      <c r="M63" s="227"/>
      <c r="N63" s="227"/>
      <c r="O63" s="227"/>
      <c r="P63" s="228"/>
      <c r="Q63" s="89"/>
      <c r="R63" s="91"/>
      <c r="S63" s="91"/>
      <c r="T63" s="91"/>
      <c r="U63" s="91"/>
    </row>
    <row r="64" spans="1:21" ht="19.95" customHeight="1" x14ac:dyDescent="0.35">
      <c r="A64" s="91"/>
      <c r="B64" s="229" t="s">
        <v>2118</v>
      </c>
      <c r="C64" s="230"/>
      <c r="D64" s="230"/>
      <c r="E64" s="230"/>
      <c r="F64" s="230"/>
      <c r="G64" s="230"/>
      <c r="H64" s="230"/>
      <c r="I64" s="230"/>
      <c r="J64" s="230"/>
      <c r="K64" s="230"/>
      <c r="L64" s="230"/>
      <c r="M64" s="230"/>
      <c r="N64" s="230"/>
      <c r="O64" s="230"/>
      <c r="P64" s="231"/>
      <c r="Q64" s="89"/>
      <c r="R64" s="91"/>
      <c r="S64" s="91"/>
      <c r="T64" s="91"/>
      <c r="U64" s="91"/>
    </row>
    <row r="65" spans="1:21" ht="19.95" customHeight="1" x14ac:dyDescent="0.3">
      <c r="A65" s="91"/>
      <c r="B65" s="89"/>
      <c r="C65" s="89"/>
      <c r="D65" s="89"/>
      <c r="E65" s="89"/>
      <c r="F65" s="89"/>
      <c r="G65" s="89"/>
      <c r="H65" s="89"/>
      <c r="I65" s="89"/>
      <c r="J65" s="89"/>
      <c r="K65" s="89"/>
      <c r="L65" s="89"/>
      <c r="M65" s="89"/>
      <c r="N65" s="89"/>
      <c r="O65" s="89"/>
      <c r="P65" s="89"/>
      <c r="Q65" s="89"/>
      <c r="R65" s="91"/>
      <c r="S65" s="91"/>
      <c r="T65" s="91"/>
      <c r="U65" s="91"/>
    </row>
    <row r="66" spans="1:21" ht="25.05" customHeight="1" x14ac:dyDescent="0.45">
      <c r="A66" s="91"/>
      <c r="B66" s="232" t="s">
        <v>2085</v>
      </c>
      <c r="C66" s="233"/>
      <c r="D66" s="233"/>
      <c r="E66" s="233"/>
      <c r="F66" s="233"/>
      <c r="G66" s="233"/>
      <c r="H66" s="234"/>
      <c r="I66" s="235"/>
      <c r="J66" s="235"/>
      <c r="K66" s="235"/>
      <c r="L66" s="236"/>
      <c r="M66" s="233"/>
      <c r="N66" s="233"/>
      <c r="O66" s="233"/>
      <c r="P66" s="233"/>
      <c r="Q66" s="89"/>
      <c r="R66" s="91"/>
      <c r="S66" s="91"/>
      <c r="T66" s="91"/>
      <c r="U66" s="91"/>
    </row>
    <row r="67" spans="1:21" ht="18" customHeight="1" x14ac:dyDescent="0.3">
      <c r="A67" s="91"/>
      <c r="B67" s="202" t="s">
        <v>1166</v>
      </c>
      <c r="C67" s="145" t="s">
        <v>2086</v>
      </c>
      <c r="D67" s="145" t="s">
        <v>2087</v>
      </c>
      <c r="E67" s="145" t="s">
        <v>2088</v>
      </c>
      <c r="F67" s="205" t="s">
        <v>2119</v>
      </c>
      <c r="G67" s="89"/>
      <c r="H67" s="209" t="s">
        <v>2099</v>
      </c>
      <c r="I67" s="123" t="str">
        <f ca="1">TEXT(TODAY(),"MMM DD, YYYY")</f>
        <v>Apr 12, 2026</v>
      </c>
      <c r="J67" s="123"/>
      <c r="K67" s="123"/>
      <c r="L67" s="211"/>
      <c r="M67" s="89"/>
      <c r="N67" s="89"/>
      <c r="O67" s="89"/>
      <c r="P67" s="89"/>
      <c r="Q67" s="89"/>
      <c r="R67" s="91"/>
      <c r="S67" s="91"/>
      <c r="T67" s="91"/>
      <c r="U67" s="91"/>
    </row>
    <row r="68" spans="1:21" ht="18" customHeight="1" x14ac:dyDescent="0.3">
      <c r="A68" s="91"/>
      <c r="B68" s="203" t="s">
        <v>1170</v>
      </c>
      <c r="C68" s="123" t="s">
        <v>2120</v>
      </c>
      <c r="D68" s="123" t="s">
        <v>2089</v>
      </c>
      <c r="E68" s="123" t="s">
        <v>2090</v>
      </c>
      <c r="F68" s="206" t="s">
        <v>2121</v>
      </c>
      <c r="G68" s="89"/>
      <c r="H68" s="209" t="s">
        <v>2100</v>
      </c>
      <c r="I68" s="123" t="s">
        <v>2101</v>
      </c>
      <c r="J68" s="123"/>
      <c r="K68" s="123"/>
      <c r="L68" s="211"/>
      <c r="M68" s="89"/>
      <c r="N68" s="89"/>
      <c r="O68" s="89"/>
      <c r="P68" s="89"/>
      <c r="Q68" s="89"/>
      <c r="R68" s="91"/>
      <c r="S68" s="91"/>
      <c r="T68" s="91"/>
      <c r="U68" s="91"/>
    </row>
    <row r="69" spans="1:21" ht="18" customHeight="1" x14ac:dyDescent="0.3">
      <c r="A69" s="91"/>
      <c r="B69" s="203" t="s">
        <v>1170</v>
      </c>
      <c r="C69" s="123" t="s">
        <v>2122</v>
      </c>
      <c r="D69" s="123" t="s">
        <v>2091</v>
      </c>
      <c r="E69" s="123" t="s">
        <v>2090</v>
      </c>
      <c r="F69" s="206" t="s">
        <v>2123</v>
      </c>
      <c r="G69" s="89"/>
      <c r="H69" s="209" t="s">
        <v>2102</v>
      </c>
      <c r="I69" s="123" t="s">
        <v>2103</v>
      </c>
      <c r="J69" s="123"/>
      <c r="K69" s="123"/>
      <c r="L69" s="211"/>
      <c r="M69" s="89"/>
      <c r="N69" s="89"/>
      <c r="O69" s="89"/>
      <c r="P69" s="89"/>
      <c r="Q69" s="89"/>
      <c r="R69" s="91"/>
      <c r="S69" s="91"/>
      <c r="T69" s="91"/>
      <c r="U69" s="91"/>
    </row>
    <row r="70" spans="1:21" ht="18" customHeight="1" x14ac:dyDescent="0.3">
      <c r="A70" s="91"/>
      <c r="B70" s="204" t="s">
        <v>1180</v>
      </c>
      <c r="C70" s="201" t="s">
        <v>2124</v>
      </c>
      <c r="D70" s="201" t="s">
        <v>2092</v>
      </c>
      <c r="E70" s="201" t="s">
        <v>2093</v>
      </c>
      <c r="F70" s="207" t="s">
        <v>2125</v>
      </c>
      <c r="G70" s="89"/>
      <c r="H70" s="210" t="s">
        <v>2104</v>
      </c>
      <c r="I70" s="208" t="s">
        <v>2126</v>
      </c>
      <c r="J70" s="208"/>
      <c r="K70" s="208"/>
      <c r="L70" s="212"/>
      <c r="M70" s="89"/>
      <c r="N70" s="89"/>
      <c r="O70" s="89"/>
      <c r="P70" s="89"/>
      <c r="Q70" s="89"/>
      <c r="R70" s="91"/>
      <c r="S70" s="91"/>
      <c r="T70" s="91"/>
      <c r="U70" s="91"/>
    </row>
    <row r="71" spans="1:21" ht="19.95" customHeight="1" x14ac:dyDescent="0.3">
      <c r="A71" s="91"/>
      <c r="B71" s="181" t="s">
        <v>2099</v>
      </c>
      <c r="C71" s="182">
        <v>46124</v>
      </c>
      <c r="D71" s="183"/>
      <c r="E71" s="184" t="s">
        <v>2100</v>
      </c>
      <c r="F71" s="183" t="s">
        <v>2101</v>
      </c>
      <c r="G71" s="183"/>
      <c r="H71" s="184" t="s">
        <v>2102</v>
      </c>
      <c r="I71" s="183" t="s">
        <v>2103</v>
      </c>
      <c r="J71" s="183"/>
      <c r="K71" s="183"/>
      <c r="L71" s="184" t="s">
        <v>2104</v>
      </c>
      <c r="M71" s="183" t="s">
        <v>2105</v>
      </c>
      <c r="N71" s="183"/>
      <c r="O71" s="184" t="s">
        <v>2106</v>
      </c>
      <c r="P71" s="185" t="s">
        <v>2107</v>
      </c>
      <c r="Q71" s="91"/>
      <c r="R71" s="91"/>
      <c r="S71" s="91"/>
      <c r="T71" s="91"/>
      <c r="U71" s="91"/>
    </row>
    <row r="72" spans="1:21" ht="19.95" customHeight="1" x14ac:dyDescent="0.3">
      <c r="A72" s="91"/>
      <c r="B72" s="91"/>
      <c r="C72" s="91"/>
      <c r="D72" s="91"/>
      <c r="E72" s="91"/>
      <c r="F72" s="91"/>
      <c r="G72" s="91"/>
      <c r="H72" s="91"/>
      <c r="I72" s="91"/>
      <c r="J72" s="91"/>
      <c r="K72" s="91"/>
      <c r="L72" s="91"/>
      <c r="M72" s="91"/>
      <c r="N72" s="91"/>
      <c r="O72" s="91"/>
      <c r="P72" s="91"/>
      <c r="Q72" s="92"/>
      <c r="R72" s="91"/>
      <c r="S72" s="91"/>
      <c r="T72" s="91"/>
      <c r="U72" s="91"/>
    </row>
    <row r="73" spans="1:21" ht="19.95" customHeight="1" x14ac:dyDescent="0.3">
      <c r="A73" s="91"/>
      <c r="B73" s="91"/>
      <c r="C73" s="91"/>
      <c r="D73" s="91"/>
      <c r="E73" s="91"/>
      <c r="F73" s="91"/>
      <c r="G73" s="91"/>
      <c r="H73" s="91"/>
      <c r="I73" s="91"/>
      <c r="J73" s="91"/>
      <c r="K73" s="91"/>
      <c r="L73" s="91"/>
      <c r="M73" s="91"/>
      <c r="N73" s="91"/>
      <c r="O73" s="91"/>
      <c r="P73" s="91"/>
      <c r="Q73" s="92"/>
      <c r="R73" s="91"/>
      <c r="S73" s="91"/>
      <c r="T73" s="91"/>
      <c r="U73" s="91"/>
    </row>
    <row r="74" spans="1:21" ht="19.95" customHeight="1" x14ac:dyDescent="0.3">
      <c r="A74" s="91"/>
      <c r="B74" s="91"/>
      <c r="C74" s="91"/>
      <c r="D74" s="91"/>
      <c r="E74" s="91"/>
      <c r="F74" s="91"/>
      <c r="G74" s="91"/>
      <c r="H74" s="91"/>
      <c r="I74" s="91"/>
      <c r="J74" s="91"/>
      <c r="K74" s="91"/>
      <c r="L74" s="91"/>
      <c r="M74" s="91"/>
      <c r="N74" s="91"/>
      <c r="O74" s="91"/>
      <c r="P74" s="91"/>
      <c r="Q74" s="92"/>
      <c r="R74" s="91"/>
      <c r="S74" s="91"/>
      <c r="T74" s="91"/>
      <c r="U74" s="91"/>
    </row>
    <row r="75" spans="1:21" ht="19.95" customHeight="1" x14ac:dyDescent="0.3">
      <c r="A75" s="91"/>
      <c r="B75" s="91"/>
      <c r="C75" s="91"/>
      <c r="D75" s="91"/>
      <c r="E75" s="91"/>
      <c r="F75" s="91"/>
      <c r="G75" s="91"/>
      <c r="H75" s="91"/>
      <c r="I75" s="91"/>
      <c r="J75" s="91"/>
      <c r="K75" s="91"/>
      <c r="L75" s="91"/>
      <c r="M75" s="91"/>
      <c r="N75" s="91"/>
      <c r="O75" s="91"/>
      <c r="P75" s="91"/>
      <c r="Q75" s="92"/>
      <c r="R75" s="91"/>
      <c r="S75" s="91"/>
      <c r="T75" s="91"/>
      <c r="U75" s="91"/>
    </row>
    <row r="76" spans="1:21" ht="18" customHeight="1" x14ac:dyDescent="0.3">
      <c r="A76" s="91"/>
      <c r="B76" s="91"/>
      <c r="C76" s="91"/>
      <c r="D76" s="91"/>
      <c r="E76" s="91"/>
      <c r="F76" s="91"/>
      <c r="G76" s="91"/>
      <c r="H76" s="91"/>
      <c r="I76" s="91"/>
      <c r="J76" s="91"/>
      <c r="K76" s="91"/>
      <c r="L76" s="91"/>
      <c r="M76" s="91"/>
      <c r="N76" s="91"/>
      <c r="O76" s="91"/>
      <c r="P76" s="91"/>
      <c r="Q76" s="92"/>
      <c r="R76" s="91"/>
      <c r="S76" s="91"/>
      <c r="T76" s="91"/>
      <c r="U76" s="91"/>
    </row>
    <row r="77" spans="1:21" ht="18" customHeight="1" x14ac:dyDescent="0.3">
      <c r="A77" s="91"/>
      <c r="B77" s="91"/>
      <c r="C77" s="91"/>
      <c r="D77" s="91"/>
      <c r="E77" s="91"/>
      <c r="F77" s="91"/>
      <c r="G77" s="91"/>
      <c r="H77" s="91"/>
      <c r="I77" s="91"/>
      <c r="J77" s="91"/>
      <c r="K77" s="91"/>
      <c r="L77" s="91"/>
      <c r="M77" s="91"/>
      <c r="N77" s="91"/>
      <c r="O77" s="91"/>
      <c r="P77" s="91"/>
      <c r="Q77" s="92"/>
      <c r="R77" s="91"/>
      <c r="S77" s="91"/>
      <c r="T77" s="91"/>
      <c r="U77" s="91"/>
    </row>
    <row r="78" spans="1:21" ht="18" customHeight="1" x14ac:dyDescent="0.3">
      <c r="A78" s="91"/>
      <c r="B78" s="91"/>
      <c r="C78" s="91"/>
      <c r="D78" s="91"/>
      <c r="E78" s="91"/>
      <c r="F78" s="91"/>
      <c r="G78" s="91"/>
      <c r="H78" s="91"/>
      <c r="I78" s="91"/>
      <c r="J78" s="91"/>
      <c r="K78" s="91"/>
      <c r="L78" s="91"/>
      <c r="M78" s="91"/>
      <c r="N78" s="91"/>
      <c r="O78" s="91"/>
      <c r="P78" s="91"/>
      <c r="Q78" s="92"/>
      <c r="R78" s="91"/>
      <c r="S78" s="91"/>
      <c r="T78" s="91"/>
      <c r="U78" s="91"/>
    </row>
    <row r="79" spans="1:21" ht="18" customHeight="1" x14ac:dyDescent="0.3">
      <c r="A79" s="91"/>
      <c r="B79" s="91"/>
      <c r="C79" s="91"/>
      <c r="D79" s="91"/>
      <c r="E79" s="91"/>
      <c r="F79" s="91"/>
      <c r="G79" s="91"/>
      <c r="H79" s="91"/>
      <c r="I79" s="91"/>
      <c r="J79" s="91"/>
      <c r="K79" s="91"/>
      <c r="L79" s="91"/>
      <c r="M79" s="91"/>
      <c r="N79" s="91"/>
      <c r="O79" s="91"/>
      <c r="P79" s="91"/>
      <c r="Q79" s="92"/>
      <c r="R79" s="91"/>
      <c r="S79" s="91"/>
      <c r="T79" s="91"/>
      <c r="U79" s="91"/>
    </row>
    <row r="80" spans="1:21" ht="18" customHeight="1" x14ac:dyDescent="0.3">
      <c r="A80" s="91"/>
      <c r="B80" s="91"/>
      <c r="C80" s="91"/>
      <c r="D80" s="91"/>
      <c r="E80" s="91"/>
      <c r="F80" s="91"/>
      <c r="G80" s="91"/>
      <c r="H80" s="91"/>
      <c r="I80" s="91"/>
      <c r="J80" s="91"/>
      <c r="K80" s="91"/>
      <c r="L80" s="91"/>
      <c r="M80" s="91"/>
      <c r="N80" s="91"/>
      <c r="O80" s="91"/>
      <c r="P80" s="91"/>
      <c r="Q80" s="92"/>
      <c r="R80" s="91"/>
      <c r="S80" s="91"/>
      <c r="T80" s="91"/>
      <c r="U80" s="91"/>
    </row>
    <row r="81" spans="1:21" ht="18" customHeight="1" x14ac:dyDescent="0.3">
      <c r="A81" s="91"/>
      <c r="B81" s="91"/>
      <c r="C81" s="91"/>
      <c r="D81" s="91"/>
      <c r="E81" s="91"/>
      <c r="F81" s="91"/>
      <c r="G81" s="91"/>
      <c r="H81" s="91"/>
      <c r="I81" s="91"/>
      <c r="J81" s="91"/>
      <c r="K81" s="91"/>
      <c r="L81" s="91"/>
      <c r="M81" s="91"/>
      <c r="N81" s="91"/>
      <c r="O81" s="91"/>
      <c r="P81" s="91"/>
      <c r="Q81" s="92"/>
      <c r="R81" s="91"/>
      <c r="S81" s="91"/>
      <c r="T81" s="91"/>
      <c r="U81" s="91"/>
    </row>
    <row r="82" spans="1:21" ht="18" customHeight="1" x14ac:dyDescent="0.3">
      <c r="A82" s="91"/>
      <c r="B82" s="91"/>
      <c r="C82" s="91"/>
      <c r="D82" s="91"/>
      <c r="E82" s="91"/>
      <c r="F82" s="91"/>
      <c r="G82" s="91"/>
      <c r="H82" s="91"/>
      <c r="I82" s="91"/>
      <c r="J82" s="91"/>
      <c r="K82" s="91"/>
      <c r="L82" s="91"/>
      <c r="M82" s="91"/>
      <c r="N82" s="91"/>
      <c r="O82" s="91"/>
      <c r="P82" s="91"/>
      <c r="Q82" s="92"/>
      <c r="R82" s="91"/>
      <c r="S82" s="91"/>
      <c r="T82" s="91"/>
      <c r="U82" s="91"/>
    </row>
    <row r="83" spans="1:21" ht="18" customHeight="1" x14ac:dyDescent="0.3">
      <c r="A83" s="91"/>
      <c r="B83" s="91"/>
      <c r="C83" s="91"/>
      <c r="D83" s="91"/>
      <c r="E83" s="91"/>
      <c r="F83" s="91"/>
      <c r="G83" s="91"/>
      <c r="H83" s="91"/>
      <c r="I83" s="91"/>
      <c r="J83" s="91"/>
      <c r="K83" s="91"/>
      <c r="L83" s="91"/>
      <c r="M83" s="91"/>
      <c r="N83" s="91"/>
      <c r="O83" s="91"/>
      <c r="P83" s="91"/>
      <c r="Q83" s="92"/>
      <c r="R83" s="91"/>
      <c r="S83" s="91"/>
      <c r="T83" s="91"/>
      <c r="U83" s="91"/>
    </row>
    <row r="84" spans="1:21" ht="18" customHeight="1" x14ac:dyDescent="0.3">
      <c r="A84" s="91"/>
      <c r="B84" s="91"/>
      <c r="C84" s="91"/>
      <c r="D84" s="91"/>
      <c r="E84" s="91"/>
      <c r="F84" s="91"/>
      <c r="G84" s="91"/>
      <c r="H84" s="91"/>
      <c r="I84" s="91"/>
      <c r="J84" s="91"/>
      <c r="K84" s="91"/>
      <c r="L84" s="91"/>
      <c r="M84" s="91"/>
      <c r="N84" s="91"/>
      <c r="O84" s="91"/>
      <c r="P84" s="91"/>
      <c r="Q84" s="92"/>
      <c r="R84" s="91"/>
      <c r="S84" s="91"/>
      <c r="T84" s="91"/>
      <c r="U84" s="91"/>
    </row>
    <row r="85" spans="1:21" ht="18" customHeight="1" x14ac:dyDescent="0.3">
      <c r="A85" s="91"/>
      <c r="B85" s="91"/>
      <c r="C85" s="91"/>
      <c r="D85" s="91"/>
      <c r="E85" s="91"/>
      <c r="F85" s="91"/>
      <c r="G85" s="91"/>
      <c r="H85" s="91"/>
      <c r="I85" s="91"/>
      <c r="J85" s="91"/>
      <c r="K85" s="91"/>
      <c r="L85" s="91"/>
      <c r="M85" s="91"/>
      <c r="N85" s="91"/>
      <c r="O85" s="91"/>
      <c r="P85" s="91"/>
      <c r="Q85" s="92"/>
      <c r="R85" s="91"/>
      <c r="S85" s="91"/>
      <c r="T85" s="91"/>
      <c r="U85" s="91"/>
    </row>
    <row r="86" spans="1:21" x14ac:dyDescent="0.3">
      <c r="A86" s="91"/>
      <c r="B86" s="91"/>
      <c r="C86" s="91"/>
      <c r="D86" s="91"/>
      <c r="E86" s="91"/>
      <c r="F86" s="91"/>
      <c r="G86" s="91"/>
      <c r="H86" s="91"/>
      <c r="I86" s="91"/>
      <c r="J86" s="91"/>
      <c r="K86" s="91"/>
      <c r="L86" s="91"/>
      <c r="M86" s="91"/>
      <c r="N86" s="91"/>
      <c r="O86" s="91"/>
      <c r="P86" s="91"/>
      <c r="Q86" s="92"/>
      <c r="R86" s="91"/>
      <c r="S86" s="91"/>
      <c r="T86" s="91"/>
      <c r="U86" s="91"/>
    </row>
    <row r="87" spans="1:21" x14ac:dyDescent="0.3">
      <c r="A87" s="91"/>
      <c r="B87" s="91"/>
      <c r="C87" s="91"/>
      <c r="D87" s="91"/>
      <c r="E87" s="91"/>
      <c r="F87" s="91"/>
      <c r="G87" s="91"/>
      <c r="H87" s="91"/>
      <c r="I87" s="91"/>
      <c r="J87" s="91"/>
      <c r="K87" s="91"/>
      <c r="L87" s="91"/>
      <c r="M87" s="91"/>
      <c r="N87" s="91"/>
      <c r="O87" s="91"/>
      <c r="P87" s="91"/>
      <c r="Q87" s="92"/>
      <c r="R87" s="91"/>
      <c r="S87" s="91"/>
      <c r="T87" s="91"/>
      <c r="U87" s="91"/>
    </row>
    <row r="88" spans="1:21" x14ac:dyDescent="0.3">
      <c r="A88" s="91"/>
      <c r="B88" s="91"/>
      <c r="C88" s="91"/>
      <c r="D88" s="91"/>
      <c r="E88" s="91"/>
      <c r="F88" s="91"/>
      <c r="G88" s="91"/>
      <c r="H88" s="91"/>
      <c r="I88" s="91"/>
      <c r="J88" s="91"/>
      <c r="K88" s="91"/>
      <c r="L88" s="91"/>
      <c r="M88" s="91"/>
      <c r="N88" s="91"/>
      <c r="O88" s="91"/>
      <c r="P88" s="91"/>
      <c r="Q88" s="92"/>
      <c r="R88" s="91"/>
      <c r="S88" s="91"/>
      <c r="T88" s="91"/>
      <c r="U88" s="91"/>
    </row>
    <row r="89" spans="1:21" x14ac:dyDescent="0.3">
      <c r="A89" s="91"/>
      <c r="B89" s="91"/>
      <c r="C89" s="91"/>
      <c r="D89" s="91"/>
      <c r="E89" s="91"/>
      <c r="F89" s="91"/>
      <c r="G89" s="91"/>
      <c r="H89" s="91"/>
      <c r="I89" s="91"/>
      <c r="J89" s="91"/>
      <c r="K89" s="91"/>
      <c r="L89" s="91"/>
      <c r="M89" s="91"/>
      <c r="N89" s="91"/>
      <c r="O89" s="91"/>
      <c r="P89" s="91"/>
      <c r="Q89" s="92"/>
      <c r="R89" s="91"/>
      <c r="S89" s="91"/>
      <c r="T89" s="91"/>
      <c r="U89" s="91"/>
    </row>
    <row r="90" spans="1:21" x14ac:dyDescent="0.3">
      <c r="A90" s="91"/>
      <c r="B90" s="91"/>
      <c r="C90" s="91"/>
      <c r="D90" s="91"/>
      <c r="E90" s="91"/>
      <c r="F90" s="91"/>
      <c r="G90" s="91"/>
      <c r="H90" s="91"/>
      <c r="I90" s="91"/>
      <c r="J90" s="91"/>
      <c r="K90" s="91"/>
      <c r="L90" s="91"/>
      <c r="M90" s="91"/>
      <c r="N90" s="91"/>
      <c r="O90" s="91"/>
      <c r="P90" s="91"/>
      <c r="Q90" s="92"/>
      <c r="R90" s="91"/>
      <c r="S90" s="91"/>
      <c r="T90" s="91"/>
      <c r="U90" s="91"/>
    </row>
  </sheetData>
  <mergeCells count="29">
    <mergeCell ref="H47:K47"/>
    <mergeCell ref="B53:F53"/>
    <mergeCell ref="H54:J54"/>
    <mergeCell ref="B61:P61"/>
    <mergeCell ref="B63:P63"/>
    <mergeCell ref="B64:P64"/>
    <mergeCell ref="B66:P66"/>
    <mergeCell ref="M40:P40"/>
    <mergeCell ref="H40:L40"/>
    <mergeCell ref="B62:P62"/>
    <mergeCell ref="B38:P38"/>
    <mergeCell ref="B40:F40"/>
    <mergeCell ref="B10:P10"/>
    <mergeCell ref="B11:P11"/>
    <mergeCell ref="B12:P12"/>
    <mergeCell ref="B13:P13"/>
    <mergeCell ref="B14:P14"/>
    <mergeCell ref="B2:P2"/>
    <mergeCell ref="B3:P3"/>
    <mergeCell ref="C5:E5"/>
    <mergeCell ref="C6:E6"/>
    <mergeCell ref="F5:H5"/>
    <mergeCell ref="F6:H6"/>
    <mergeCell ref="I5:K5"/>
    <mergeCell ref="I6:K6"/>
    <mergeCell ref="L6:N6"/>
    <mergeCell ref="B8:P8"/>
    <mergeCell ref="B9:P9"/>
    <mergeCell ref="L5:N5"/>
  </mergeCells>
  <phoneticPr fontId="45"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A274-7CCF-49E1-819D-6443142A25D9}">
  <sheetPr>
    <tabColor theme="1"/>
  </sheetPr>
  <dimension ref="A1:Q71"/>
  <sheetViews>
    <sheetView showGridLines="0" zoomScale="139" zoomScaleNormal="55" workbookViewId="0">
      <selection activeCell="B13" sqref="B13:L13"/>
    </sheetView>
  </sheetViews>
  <sheetFormatPr defaultRowHeight="14.4" x14ac:dyDescent="0.3"/>
  <cols>
    <col min="1" max="16" width="10.33203125" customWidth="1"/>
    <col min="17" max="17" width="10.33203125" style="82" customWidth="1"/>
  </cols>
  <sheetData>
    <row r="1" spans="1:17" ht="15.6" customHeight="1" x14ac:dyDescent="0.3">
      <c r="A1" s="91"/>
      <c r="B1" s="91"/>
      <c r="C1" s="91"/>
      <c r="D1" s="91"/>
      <c r="E1" s="91"/>
      <c r="F1" s="91"/>
      <c r="G1" s="91"/>
      <c r="H1" s="91"/>
      <c r="I1" s="91"/>
      <c r="J1" s="91"/>
      <c r="K1" s="91"/>
      <c r="L1" s="91"/>
      <c r="M1" s="91"/>
      <c r="N1" s="91"/>
      <c r="O1" s="91"/>
      <c r="P1" s="91"/>
      <c r="Q1" s="92"/>
    </row>
    <row r="2" spans="1:17" ht="27" customHeight="1" x14ac:dyDescent="0.55000000000000004">
      <c r="A2" s="91"/>
      <c r="B2" s="76" t="s">
        <v>2049</v>
      </c>
      <c r="C2" s="76"/>
      <c r="D2" s="76"/>
      <c r="E2" s="76"/>
      <c r="F2" s="76"/>
      <c r="G2" s="76"/>
      <c r="H2" s="76"/>
      <c r="I2" s="76"/>
      <c r="J2" s="76"/>
      <c r="K2" s="76"/>
      <c r="L2" s="76"/>
      <c r="M2" s="91"/>
      <c r="N2" s="91"/>
      <c r="O2" s="91"/>
      <c r="P2" s="91"/>
      <c r="Q2" s="92"/>
    </row>
    <row r="3" spans="1:17" ht="20.399999999999999" customHeight="1" x14ac:dyDescent="0.3">
      <c r="A3" s="91"/>
      <c r="B3" s="99" t="s">
        <v>2050</v>
      </c>
      <c r="C3" s="99"/>
      <c r="D3" s="99"/>
      <c r="E3" s="99"/>
      <c r="F3" s="99"/>
      <c r="G3" s="99"/>
      <c r="H3" s="99"/>
      <c r="I3" s="99"/>
      <c r="J3" s="99"/>
      <c r="K3" s="99"/>
      <c r="L3" s="99"/>
      <c r="M3" s="91"/>
      <c r="N3" s="91"/>
      <c r="O3" s="91"/>
      <c r="P3" s="91"/>
      <c r="Q3" s="92"/>
    </row>
    <row r="4" spans="1:17" ht="15" customHeight="1" x14ac:dyDescent="0.3">
      <c r="A4" s="91"/>
      <c r="B4" s="91"/>
      <c r="C4" s="91"/>
      <c r="D4" s="91"/>
      <c r="E4" s="91"/>
      <c r="F4" s="91"/>
      <c r="G4" s="91"/>
      <c r="H4" s="91"/>
      <c r="I4" s="91"/>
      <c r="J4" s="91"/>
      <c r="K4" s="91"/>
      <c r="L4" s="91"/>
      <c r="M4" s="91"/>
      <c r="N4" s="91"/>
      <c r="O4" s="91"/>
      <c r="P4" s="91"/>
      <c r="Q4" s="92"/>
    </row>
    <row r="5" spans="1:17" ht="16.8" customHeight="1" x14ac:dyDescent="0.3">
      <c r="A5" s="91"/>
      <c r="B5" s="100" t="s">
        <v>2051</v>
      </c>
      <c r="C5" s="101"/>
      <c r="D5" s="91"/>
      <c r="E5" s="137" t="s">
        <v>2052</v>
      </c>
      <c r="F5" s="101"/>
      <c r="G5" s="91"/>
      <c r="H5" s="100" t="s">
        <v>2053</v>
      </c>
      <c r="I5" s="101"/>
      <c r="J5" s="91"/>
      <c r="K5" s="100" t="s">
        <v>2054</v>
      </c>
      <c r="L5" s="101"/>
      <c r="M5" s="91"/>
      <c r="N5" s="91"/>
      <c r="O5" s="91"/>
      <c r="P5" s="91"/>
      <c r="Q5" s="92"/>
    </row>
    <row r="6" spans="1:17" ht="7.5" customHeight="1" x14ac:dyDescent="0.65">
      <c r="A6" s="91"/>
      <c r="B6" s="135">
        <f>COUNTA(fact_orders_1000[order_id])</f>
        <v>1000</v>
      </c>
      <c r="C6" s="136"/>
      <c r="D6" s="91"/>
      <c r="E6" s="133" t="str">
        <f>TEXT(SUM(fact_orders_1000[on_time_count])/COUNTA(fact_orders_1000[order_id]),"0.0%")</f>
        <v>82.9%</v>
      </c>
      <c r="F6" s="134"/>
      <c r="G6" s="91"/>
      <c r="H6" s="133">
        <f>ROUND(AVERAGE(fact_orders_1000[delay_minutes]),1)</f>
        <v>6.5</v>
      </c>
      <c r="I6" s="134"/>
      <c r="J6" s="91"/>
      <c r="K6" s="133" t="str">
        <f>COUNTIF(fact_orders_1000[delay_minutes],"&gt;300")&amp;" ("&amp;TEXT(COUNTIF(fact_orders_1000[delay_minutes],"&gt;300")/COUNTA(fact_orders_1000[order_id]),"0.0%")&amp;")"</f>
        <v>12 (1.2%)</v>
      </c>
      <c r="L6" s="134"/>
      <c r="M6" s="91"/>
      <c r="N6" s="91"/>
      <c r="O6" s="91"/>
      <c r="P6" s="91"/>
      <c r="Q6" s="92"/>
    </row>
    <row r="7" spans="1:17" ht="7.5" customHeight="1" x14ac:dyDescent="0.3">
      <c r="A7" s="91"/>
      <c r="B7" s="91"/>
      <c r="C7" s="91"/>
      <c r="D7" s="91"/>
      <c r="E7" s="91"/>
      <c r="F7" s="91"/>
      <c r="G7" s="91"/>
      <c r="H7" s="91"/>
      <c r="I7" s="91"/>
      <c r="J7" s="91"/>
      <c r="K7" s="91"/>
      <c r="L7" s="91"/>
      <c r="M7" s="91"/>
      <c r="N7" s="91"/>
      <c r="O7" s="91"/>
      <c r="P7" s="91"/>
      <c r="Q7" s="92"/>
    </row>
    <row r="8" spans="1:17" ht="7.5" customHeight="1" x14ac:dyDescent="0.35">
      <c r="A8" s="91"/>
      <c r="B8" s="79" t="s">
        <v>2055</v>
      </c>
      <c r="C8" s="78"/>
      <c r="D8" s="78"/>
      <c r="E8" s="78"/>
      <c r="F8" s="78"/>
      <c r="G8" s="78"/>
      <c r="H8" s="78"/>
      <c r="I8" s="78"/>
      <c r="J8" s="78"/>
      <c r="K8" s="78"/>
      <c r="L8" s="80"/>
      <c r="M8" s="91"/>
      <c r="N8" s="91"/>
      <c r="O8" s="91"/>
      <c r="P8" s="91"/>
      <c r="Q8" s="92"/>
    </row>
    <row r="9" spans="1:17" ht="7.5" customHeight="1" x14ac:dyDescent="0.3">
      <c r="A9" s="91"/>
      <c r="B9" s="138" t="str">
        <f>"✓ Overall on-time delivery rate: "&amp;TEXT(SUM(fact_orders_1000[on_time_count])/COUNTA(fact_orders_1000[order_id]),"0.0%")&amp;" ("&amp;SUM(fact_orders_1000[on_time_count])&amp;" of "&amp;COUNTA(fact_orders_1000[order_id])&amp;" shipments)"</f>
        <v>✓ Overall on-time delivery rate: 82.9% (829 of 1000 shipments)</v>
      </c>
      <c r="C9" s="139"/>
      <c r="D9" s="139"/>
      <c r="E9" s="139"/>
      <c r="F9" s="139"/>
      <c r="G9" s="139"/>
      <c r="H9" s="139"/>
      <c r="I9" s="139"/>
      <c r="J9" s="139"/>
      <c r="K9" s="139"/>
      <c r="L9" s="140"/>
      <c r="M9" s="91"/>
      <c r="N9" s="91"/>
      <c r="O9" s="91"/>
      <c r="P9" s="91"/>
      <c r="Q9" s="92"/>
    </row>
    <row r="10" spans="1:17" ht="7.5" customHeight="1" x14ac:dyDescent="0.3">
      <c r="A10" s="91"/>
      <c r="B10" s="138" t="str">
        <f>"✓ Average delay is "&amp;ROUND(AVERAGE(fact_orders_1000[delay_minutes]),0)&amp;" min, indicating most deliveries arrive early"</f>
        <v>✓ Average delay is 6 min, indicating most deliveries arrive early</v>
      </c>
      <c r="C10" s="139"/>
      <c r="D10" s="139"/>
      <c r="E10" s="139"/>
      <c r="F10" s="139"/>
      <c r="G10" s="139"/>
      <c r="H10" s="139"/>
      <c r="I10" s="139"/>
      <c r="J10" s="139"/>
      <c r="K10" s="139"/>
      <c r="L10" s="140"/>
      <c r="M10" s="91"/>
      <c r="N10" s="91"/>
      <c r="O10" s="91"/>
      <c r="P10" s="91"/>
      <c r="Q10" s="92"/>
    </row>
    <row r="11" spans="1:17" ht="7.5" customHeight="1" x14ac:dyDescent="0.3">
      <c r="A11" s="91"/>
      <c r="B11" s="138" t="str">
        <f>"✓ Detention is the #1 cause of delays ("&amp;TEXT(COUNTIF(fact_orders_1000[Delay Reason],"detention")/COUNTIF(fact_orders_1000[Delay Reason],"&lt;&gt;"),"0.0%")&amp;" of documented delay reasons)"</f>
        <v>✓ Detention is the #1 cause of delays (6.3% of documented delay reasons)</v>
      </c>
      <c r="C11" s="139"/>
      <c r="D11" s="139"/>
      <c r="E11" s="139"/>
      <c r="F11" s="139"/>
      <c r="G11" s="139"/>
      <c r="H11" s="139"/>
      <c r="I11" s="139"/>
      <c r="J11" s="139"/>
      <c r="K11" s="139"/>
      <c r="L11" s="140"/>
      <c r="M11" s="91"/>
      <c r="N11" s="91"/>
      <c r="O11" s="91"/>
      <c r="P11" s="91"/>
      <c r="Q11" s="92"/>
    </row>
    <row r="12" spans="1:17" ht="7.5" customHeight="1" x14ac:dyDescent="0.3">
      <c r="A12" s="91"/>
      <c r="B12" s="138" t="str">
        <f>"✓ Severe delays (&gt;300 min) represent only "&amp;TEXT(COUNTIF(fact_orders_1000[delay_minutes],"&gt;300")/COUNTA(fact_orders_1000[order_id]),"0.0%")&amp;" of shipments"</f>
        <v>✓ Severe delays (&gt;300 min) represent only 1.2% of shipments</v>
      </c>
      <c r="C12" s="139"/>
      <c r="D12" s="139"/>
      <c r="E12" s="139"/>
      <c r="F12" s="139"/>
      <c r="G12" s="139"/>
      <c r="H12" s="139"/>
      <c r="I12" s="139"/>
      <c r="J12" s="139"/>
      <c r="K12" s="139"/>
      <c r="L12" s="140"/>
      <c r="M12" s="91"/>
      <c r="N12" s="91"/>
      <c r="O12" s="91"/>
      <c r="P12" s="91"/>
      <c r="Q12" s="92"/>
    </row>
    <row r="13" spans="1:17" ht="28.8" customHeight="1" x14ac:dyDescent="0.3">
      <c r="A13" s="91"/>
      <c r="B13" s="141" t="s">
        <v>980</v>
      </c>
      <c r="C13" s="142"/>
      <c r="D13" s="142"/>
      <c r="E13" s="142"/>
      <c r="F13" s="142"/>
      <c r="G13" s="142"/>
      <c r="H13" s="142"/>
      <c r="I13" s="142"/>
      <c r="J13" s="142"/>
      <c r="K13" s="142"/>
      <c r="L13" s="143"/>
      <c r="M13" s="91"/>
      <c r="N13" s="91"/>
      <c r="O13" s="91"/>
      <c r="P13" s="91"/>
      <c r="Q13" s="92"/>
    </row>
    <row r="14" spans="1:17" ht="7.5" customHeight="1" x14ac:dyDescent="0.3">
      <c r="A14" s="91"/>
      <c r="B14" s="91"/>
      <c r="C14" s="91"/>
      <c r="D14" s="91"/>
      <c r="E14" s="91"/>
      <c r="F14" s="91"/>
      <c r="G14" s="91"/>
      <c r="H14" s="91"/>
      <c r="I14" s="91"/>
      <c r="J14" s="91"/>
      <c r="K14" s="91"/>
      <c r="L14" s="91"/>
      <c r="M14" s="91"/>
      <c r="N14" s="91"/>
      <c r="O14" s="91"/>
      <c r="P14" s="91"/>
      <c r="Q14" s="92"/>
    </row>
    <row r="15" spans="1:17" ht="7.5" customHeight="1" x14ac:dyDescent="0.3">
      <c r="A15" s="91"/>
      <c r="B15" s="83" t="s">
        <v>2056</v>
      </c>
      <c r="C15" s="81"/>
      <c r="D15" s="81"/>
      <c r="E15" s="81"/>
      <c r="F15" s="84"/>
      <c r="G15" s="91"/>
      <c r="H15" s="83" t="s">
        <v>2060</v>
      </c>
      <c r="I15" s="81"/>
      <c r="J15" s="81"/>
      <c r="K15" s="81"/>
      <c r="L15" s="84"/>
      <c r="M15" s="91"/>
      <c r="N15" s="112" t="s">
        <v>1276</v>
      </c>
      <c r="O15" s="112" t="s">
        <v>948</v>
      </c>
      <c r="P15" s="91"/>
      <c r="Q15" s="92"/>
    </row>
    <row r="16" spans="1:17" ht="7.5" customHeight="1" x14ac:dyDescent="0.3">
      <c r="A16" s="91"/>
      <c r="B16" s="102" t="s">
        <v>969</v>
      </c>
      <c r="C16" s="103" t="s">
        <v>1137</v>
      </c>
      <c r="D16" s="103" t="s">
        <v>2057</v>
      </c>
      <c r="E16" s="103" t="s">
        <v>2058</v>
      </c>
      <c r="F16" s="104" t="s">
        <v>2059</v>
      </c>
      <c r="G16" s="91"/>
      <c r="H16" s="102" t="s">
        <v>974</v>
      </c>
      <c r="I16" s="103" t="s">
        <v>1137</v>
      </c>
      <c r="J16" s="103" t="s">
        <v>2057</v>
      </c>
      <c r="K16" s="103" t="s">
        <v>2058</v>
      </c>
      <c r="L16" s="104" t="s">
        <v>2059</v>
      </c>
      <c r="M16" s="91"/>
      <c r="N16" s="132" t="s">
        <v>2068</v>
      </c>
      <c r="O16" s="114">
        <f>SUM(fact_orders_1000[on_time_count])</f>
        <v>829</v>
      </c>
      <c r="P16" s="91"/>
      <c r="Q16" s="92"/>
    </row>
    <row r="17" spans="1:17" ht="7.5" customHeight="1" x14ac:dyDescent="0.3">
      <c r="A17" s="91"/>
      <c r="B17" s="105" t="s">
        <v>57</v>
      </c>
      <c r="C17" s="106">
        <f>COUNTIF(fact_orders_1000[carrier_name],"Sunbelt Haulage")</f>
        <v>112</v>
      </c>
      <c r="D17" s="106" t="str">
        <f>TEXT(SUMIF(fact_orders_1000[carrier_name],"Sunbelt Haulage",fact_orders_1000[on_time_count])/COUNTIF(fact_orders_1000[carrier_name],"Sunbelt Haulage"),"0.0%")</f>
        <v>81.3%</v>
      </c>
      <c r="E17" s="106">
        <f>ROUND(AVERAGEIF(fact_orders_1000[carrier_name],"Sunbelt Haulage",fact_orders_1000[delay_minutes]),1)</f>
        <v>12.2</v>
      </c>
      <c r="F17" s="107" t="str">
        <f>IF(AVERAGEIF(fact_orders_1000[carrier_name],"Sunbelt Haulage",fact_orders_1000[delay_minutes])&lt;0,"✅ Early",IF(AVERAGEIF(fact_orders_1000[carrier_name],"Sunbelt Haulage",fact_orders_1000[delay_minutes])&lt;15,"⚠️ OK","🔴 Late"))</f>
        <v>⚠️ OK</v>
      </c>
      <c r="G17" s="91"/>
      <c r="H17" s="105" t="s">
        <v>123</v>
      </c>
      <c r="I17" s="106">
        <f>COUNTIF(fact_orders_1000[region],"Northeast")</f>
        <v>201</v>
      </c>
      <c r="J17" s="106" t="str">
        <f>TEXT(SUMIF(fact_orders_1000[region],"Northeast",fact_orders_1000[on_time_count])/COUNTIF(fact_orders_1000[region],"Northeast"),"0.0%")</f>
        <v>79.6%</v>
      </c>
      <c r="K17" s="106">
        <f>ROUND(AVERAGEIF(fact_orders_1000[region],"Northeast",fact_orders_1000[delay_minutes]),1)</f>
        <v>14.5</v>
      </c>
      <c r="L17" s="107" t="str">
        <f>IF(AVERAGEIF(fact_orders_1000[region],"Northeast",fact_orders_1000[delay_minutes])&lt;0,"✅ Early",IF(AVERAGEIF(fact_orders_1000[region],"Northeast",fact_orders_1000[delay_minutes])&lt;15,"⚠️ OK","🔴 Late"))</f>
        <v>⚠️ OK</v>
      </c>
      <c r="M17" s="91"/>
      <c r="N17" s="114" t="s">
        <v>2069</v>
      </c>
      <c r="O17" s="114">
        <f>SUM(fact_orders_1000[Late_count])</f>
        <v>171</v>
      </c>
      <c r="P17" s="91"/>
      <c r="Q17" s="92"/>
    </row>
    <row r="18" spans="1:17" ht="7.5" customHeight="1" x14ac:dyDescent="0.3">
      <c r="A18" s="91"/>
      <c r="B18" s="105" t="s">
        <v>225</v>
      </c>
      <c r="C18" s="106">
        <f>COUNTIF(fact_orders_1000[carrier_name],"Atlantic Freightways")</f>
        <v>72</v>
      </c>
      <c r="D18" s="106" t="str">
        <f>TEXT(SUMIF(fact_orders_1000[carrier_name],"Atlantic Freightways",fact_orders_1000[on_time_count])/COUNTIF(fact_orders_1000[carrier_name],"Atlantic Freightways"),"0.0%")</f>
        <v>86.1%</v>
      </c>
      <c r="E18" s="106">
        <f>ROUND(AVERAGEIF(fact_orders_1000[carrier_name],"Atlantic Freightways",fact_orders_1000[delay_minutes]),1)</f>
        <v>11.4</v>
      </c>
      <c r="F18" s="107" t="str">
        <f>IF(AVERAGEIF(fact_orders_1000[carrier_name],"Atlantic Freightways",fact_orders_1000[delay_minutes])&lt;0,"✅ Early",IF(AVERAGEIF(fact_orders_1000[carrier_name],"Atlantic Freightways",fact_orders_1000[delay_minutes])&lt;15,"⚠️ OK","🔴 Late"))</f>
        <v>⚠️ OK</v>
      </c>
      <c r="G18" s="91"/>
      <c r="H18" s="105" t="s">
        <v>88</v>
      </c>
      <c r="I18" s="106">
        <f>COUNTIF(fact_orders_1000[region],"West")</f>
        <v>243</v>
      </c>
      <c r="J18" s="106" t="str">
        <f>TEXT(SUMIF(fact_orders_1000[region],"West",fact_orders_1000[on_time_count])/COUNTIF(fact_orders_1000[region],"West"),"0.0%")</f>
        <v>83.1%</v>
      </c>
      <c r="K18" s="106">
        <f>ROUND(AVERAGEIF(fact_orders_1000[region],"West",fact_orders_1000[delay_minutes]),1)</f>
        <v>8.6</v>
      </c>
      <c r="L18" s="107" t="str">
        <f>IF(AVERAGEIF(fact_orders_1000[region],"West",fact_orders_1000[delay_minutes])&lt;0,"✅ Early",IF(AVERAGEIF(fact_orders_1000[region],"West",fact_orders_1000[delay_minutes])&lt;15,"⚠️ OK","🔴 Late"))</f>
        <v>⚠️ OK</v>
      </c>
      <c r="M18" s="91"/>
      <c r="N18" s="114"/>
      <c r="O18" s="114"/>
      <c r="P18" s="91"/>
      <c r="Q18" s="92"/>
    </row>
    <row r="19" spans="1:17" ht="7.5" customHeight="1" x14ac:dyDescent="0.3">
      <c r="A19" s="91"/>
      <c r="B19" s="105" t="s">
        <v>106</v>
      </c>
      <c r="C19" s="106">
        <f>COUNTIF(fact_orders_1000[carrier_name],"Pacific Linehaul")</f>
        <v>103</v>
      </c>
      <c r="D19" s="106" t="str">
        <f>TEXT(SUMIF(fact_orders_1000[carrier_name],"Pacific Linehaul",fact_orders_1000[on_time_count])/COUNTIF(fact_orders_1000[carrier_name],"Pacific Linehaul"),"0.0%")</f>
        <v>84.5%</v>
      </c>
      <c r="E19" s="106">
        <f>ROUND(AVERAGEIF(fact_orders_1000[carrier_name],"Pacific Linehaul",fact_orders_1000[delay_minutes]),1)</f>
        <v>10.7</v>
      </c>
      <c r="F19" s="107" t="str">
        <f>IF(AVERAGEIF(fact_orders_1000[carrier_name],"Pacific Linehaul",fact_orders_1000[delay_minutes])&lt;0,"✅ Early",IF(AVERAGEIF(fact_orders_1000[carrier_name],"Pacific Linehaul",fact_orders_1000[delay_minutes])&lt;15,"⚠️ OK","🔴 Late"))</f>
        <v>⚠️ OK</v>
      </c>
      <c r="G19" s="91"/>
      <c r="H19" s="105" t="s">
        <v>73</v>
      </c>
      <c r="I19" s="106">
        <f>COUNTIF(fact_orders_1000[region],"South")</f>
        <v>309</v>
      </c>
      <c r="J19" s="106" t="str">
        <f>TEXT(SUMIF(fact_orders_1000[region],"South",fact_orders_1000[on_time_count])/COUNTIF(fact_orders_1000[region],"South"),"0.0%")</f>
        <v>82.5%</v>
      </c>
      <c r="K19" s="106">
        <f>ROUND(AVERAGEIF(fact_orders_1000[region],"South",fact_orders_1000[delay_minutes]),1)</f>
        <v>6</v>
      </c>
      <c r="L19" s="107" t="str">
        <f>IF(AVERAGEIF(fact_orders_1000[region],"South",fact_orders_1000[delay_minutes])&lt;0,"✅ Early",IF(AVERAGEIF(fact_orders_1000[region],"South",fact_orders_1000[delay_minutes])&lt;15,"⚠️ OK","🔴 Late"))</f>
        <v>⚠️ OK</v>
      </c>
      <c r="M19" s="91"/>
      <c r="N19" s="91"/>
      <c r="O19" s="91"/>
      <c r="P19" s="91"/>
      <c r="Q19" s="92"/>
    </row>
    <row r="20" spans="1:17" ht="7.5" customHeight="1" x14ac:dyDescent="0.3">
      <c r="A20" s="91"/>
      <c r="B20" s="105" t="s">
        <v>84</v>
      </c>
      <c r="C20" s="106">
        <f>COUNTIF(fact_orders_1000[carrier_name],"Blue Ridge Logistics")</f>
        <v>243</v>
      </c>
      <c r="D20" s="106" t="str">
        <f>TEXT(SUMIF(fact_orders_1000[carrier_name],"Blue Ridge Logistics",fact_orders_1000[on_time_count])/COUNTIF(fact_orders_1000[carrier_name],"Blue Ridge Logistics"),"0.0%")</f>
        <v>83.5%</v>
      </c>
      <c r="E20" s="106">
        <f>ROUND(AVERAGEIF(fact_orders_1000[carrier_name],"Blue Ridge Logistics",fact_orders_1000[delay_minutes]),1)</f>
        <v>10.199999999999999</v>
      </c>
      <c r="F20" s="107" t="str">
        <f>IF(AVERAGEIF(fact_orders_1000[carrier_name],"Blue Ridge Logistics",fact_orders_1000[delay_minutes])&lt;0,"✅ Early",IF(AVERAGEIF(fact_orders_1000[carrier_name],"Blue Ridge Logistics",fact_orders_1000[delay_minutes])&lt;15,"⚠️ OK","🔴 Late"))</f>
        <v>⚠️ OK</v>
      </c>
      <c r="G20" s="91"/>
      <c r="H20" s="108" t="s">
        <v>62</v>
      </c>
      <c r="I20" s="109">
        <f>COUNTIF(fact_orders_1000[region],"Midwest")</f>
        <v>247</v>
      </c>
      <c r="J20" s="109" t="str">
        <f>TEXT(SUMIF(fact_orders_1000[region],"Midwest",fact_orders_1000[on_time_count])/COUNTIF(fact_orders_1000[region],"Midwest"),"0.0%")</f>
        <v>85.8%</v>
      </c>
      <c r="K20" s="109">
        <f>ROUND(AVERAGEIF(fact_orders_1000[region],"Midwest",fact_orders_1000[delay_minutes]),1)</f>
        <v>-1.7</v>
      </c>
      <c r="L20" s="110" t="str">
        <f>IF(AVERAGEIF(fact_orders_1000[region],"Midwest",fact_orders_1000[delay_minutes])&lt;0,"✅ Early",IF(AVERAGEIF(fact_orders_1000[region],"Midwest",fact_orders_1000[delay_minutes])&lt;15,"⚠️ OK","🔴 Late"))</f>
        <v>✅ Early</v>
      </c>
      <c r="M20" s="91"/>
      <c r="N20" s="91"/>
      <c r="O20" s="91"/>
      <c r="P20" s="91"/>
      <c r="Q20" s="92"/>
    </row>
    <row r="21" spans="1:17" ht="7.5" customHeight="1" x14ac:dyDescent="0.3">
      <c r="A21" s="91"/>
      <c r="B21" s="105" t="s">
        <v>92</v>
      </c>
      <c r="C21" s="106">
        <f>COUNTIF(fact_orders_1000[carrier_name],"Cascade Cargo")</f>
        <v>77</v>
      </c>
      <c r="D21" s="106" t="str">
        <f>TEXT(SUMIF(fact_orders_1000[carrier_name],"Cascade Cargo",fact_orders_1000[on_time_count])/COUNTIF(fact_orders_1000[carrier_name],"Cascade Cargo"),"0.0%")</f>
        <v>80.5%</v>
      </c>
      <c r="E21" s="106">
        <f>ROUND(AVERAGEIF(fact_orders_1000[carrier_name],"Cascade Cargo",fact_orders_1000[delay_minutes]),1)</f>
        <v>5.8</v>
      </c>
      <c r="F21" s="107" t="str">
        <f>IF(AVERAGEIF(fact_orders_1000[carrier_name],"Cascade Cargo",fact_orders_1000[delay_minutes])&lt;0,"✅ Early",IF(AVERAGEIF(fact_orders_1000[carrier_name],"Cascade Cargo",fact_orders_1000[delay_minutes])&lt;15,"⚠️ OK","🔴 Late"))</f>
        <v>⚠️ OK</v>
      </c>
      <c r="G21" s="91"/>
      <c r="H21" s="91"/>
      <c r="I21" s="91"/>
      <c r="J21" s="91"/>
      <c r="K21" s="91"/>
      <c r="L21" s="91"/>
      <c r="M21" s="91"/>
      <c r="N21" s="91"/>
      <c r="O21" s="91"/>
      <c r="P21" s="91"/>
      <c r="Q21" s="92"/>
    </row>
    <row r="22" spans="1:17" ht="7.5" customHeight="1" x14ac:dyDescent="0.3">
      <c r="A22" s="91"/>
      <c r="B22" s="105" t="s">
        <v>185</v>
      </c>
      <c r="C22" s="106">
        <f>COUNTIF(fact_orders_1000[carrier_name],"Lone Star Transport")</f>
        <v>101</v>
      </c>
      <c r="D22" s="106" t="str">
        <f>TEXT(SUMIF(fact_orders_1000[carrier_name],"Lone Star Transport",fact_orders_1000[on_time_count])/COUNTIF(fact_orders_1000[carrier_name],"Lone Star Transport"),"0.0%")</f>
        <v>81.2%</v>
      </c>
      <c r="E22" s="106">
        <f>ROUND(AVERAGEIF(fact_orders_1000[carrier_name],"Lone Star Transport",fact_orders_1000[delay_minutes]),1)</f>
        <v>4.2</v>
      </c>
      <c r="F22" s="107" t="str">
        <f>IF(AVERAGEIF(fact_orders_1000[carrier_name],"Lone Star Transport",fact_orders_1000[delay_minutes])&lt;0,"✅ Early",IF(AVERAGEIF(fact_orders_1000[carrier_name],"Lone Star Transport",fact_orders_1000[delay_minutes])&lt;15,"⚠️ OK","🔴 Late"))</f>
        <v>⚠️ OK</v>
      </c>
      <c r="G22" s="91"/>
      <c r="H22" s="86" t="s">
        <v>2061</v>
      </c>
      <c r="I22" s="85"/>
      <c r="J22" s="85"/>
      <c r="K22" s="87"/>
      <c r="L22" s="77"/>
      <c r="M22" s="91"/>
      <c r="N22" s="91"/>
      <c r="O22" s="91"/>
      <c r="P22" s="91"/>
      <c r="Q22" s="92"/>
    </row>
    <row r="23" spans="1:17" ht="7.5" customHeight="1" x14ac:dyDescent="0.3">
      <c r="A23" s="91"/>
      <c r="B23" s="105" t="s">
        <v>142</v>
      </c>
      <c r="C23" s="106">
        <f>COUNTIF(fact_orders_1000[carrier_name],"Midwest Express Trucking")</f>
        <v>92</v>
      </c>
      <c r="D23" s="106" t="str">
        <f>TEXT(SUMIF(fact_orders_1000[carrier_name],"Midwest Express Trucking",fact_orders_1000[on_time_count])/COUNTIF(fact_orders_1000[carrier_name],"Midwest Express Trucking"),"0.0%")</f>
        <v>81.5%</v>
      </c>
      <c r="E23" s="106">
        <f>ROUND(AVERAGEIF(fact_orders_1000[carrier_name],"Midwest Express Trucking",fact_orders_1000[delay_minutes]),1)</f>
        <v>4.2</v>
      </c>
      <c r="F23" s="107" t="str">
        <f>IF(AVERAGEIF(fact_orders_1000[carrier_name],"Midwest Express Trucking",fact_orders_1000[delay_minutes])&lt;0,"✅ Early",IF(AVERAGEIF(fact_orders_1000[carrier_name],"Midwest Express Trucking",fact_orders_1000[delay_minutes])&lt;15,"⚠️ OK","🔴 Late"))</f>
        <v>⚠️ OK</v>
      </c>
      <c r="G23" s="91"/>
      <c r="H23" s="102" t="s">
        <v>34</v>
      </c>
      <c r="I23" s="103" t="s">
        <v>948</v>
      </c>
      <c r="J23" s="103" t="s">
        <v>2062</v>
      </c>
      <c r="K23" s="111" t="s">
        <v>2063</v>
      </c>
      <c r="L23" s="112"/>
      <c r="M23" s="91"/>
      <c r="N23" s="91"/>
      <c r="O23" s="91"/>
      <c r="P23" s="91"/>
      <c r="Q23" s="92"/>
    </row>
    <row r="24" spans="1:17" ht="7.5" customHeight="1" x14ac:dyDescent="0.3">
      <c r="A24" s="91"/>
      <c r="B24" s="105" t="s">
        <v>211</v>
      </c>
      <c r="C24" s="106">
        <f>COUNTIF(fact_orders_1000[carrier_name],"Desert Road Haulers")</f>
        <v>49</v>
      </c>
      <c r="D24" s="106" t="str">
        <f>TEXT(SUMIF(fact_orders_1000[carrier_name],"Desert Road Haulers",fact_orders_1000[on_time_count])/COUNTIF(fact_orders_1000[carrier_name],"Desert Road Haulers"),"0.0%")</f>
        <v>83.7%</v>
      </c>
      <c r="E24" s="106">
        <f>ROUND(AVERAGEIF(fact_orders_1000[carrier_name],"Desert Road Haulers",fact_orders_1000[delay_minutes]),1)</f>
        <v>-2.1</v>
      </c>
      <c r="F24" s="107" t="str">
        <f>IF(AVERAGEIF(fact_orders_1000[carrier_name],"Desert Road Haulers",fact_orders_1000[delay_minutes])&lt;0,"✅ Early",IF(AVERAGEIF(fact_orders_1000[carrier_name],"Desert Road Haulers",fact_orders_1000[delay_minutes])&lt;15,"⚠️ OK","🔴 Late"))</f>
        <v>✅ Early</v>
      </c>
      <c r="G24" s="91"/>
      <c r="H24" s="105" t="s">
        <v>954</v>
      </c>
      <c r="I24" s="106">
        <f>COUNTIF(fact_orders_1000[Delay Reason],"detention")</f>
        <v>63</v>
      </c>
      <c r="J24" s="106" t="str">
        <f>TEXT(COUNTIF(fact_orders_1000[Delay Reason],"detention")/COUNTIF(fact_orders_1000[Delay Reason],"&lt;&gt;"),"0.0%")</f>
        <v>6.3%</v>
      </c>
      <c r="K24" s="113" t="str">
        <f>REPT("█",ROUND(COUNTIF(fact_orders_1000[Delay Reason],"detention")/COUNTIF(fact_orders_1000[Delay Reason],"&lt;&gt;")*20,0))</f>
        <v>█</v>
      </c>
      <c r="L24" s="114"/>
      <c r="M24" s="91"/>
      <c r="N24" s="91"/>
      <c r="O24" s="91"/>
      <c r="P24" s="91"/>
      <c r="Q24" s="92"/>
    </row>
    <row r="25" spans="1:17" ht="7.5" customHeight="1" x14ac:dyDescent="0.3">
      <c r="A25" s="91"/>
      <c r="B25" s="105" t="s">
        <v>101</v>
      </c>
      <c r="C25" s="106">
        <f>COUNTIF(fact_orders_1000[carrier_name],"Great Lakes Carriers")</f>
        <v>80</v>
      </c>
      <c r="D25" s="106" t="str">
        <f>TEXT(SUMIF(fact_orders_1000[carrier_name],"Great Lakes Carriers",fact_orders_1000[on_time_count])/COUNTIF(fact_orders_1000[carrier_name],"Great Lakes Carriers"),"0.0%")</f>
        <v>83.8%</v>
      </c>
      <c r="E25" s="106">
        <f>ROUND(AVERAGEIF(fact_orders_1000[carrier_name],"Great Lakes Carriers",fact_orders_1000[delay_minutes]),1)</f>
        <v>-2.6</v>
      </c>
      <c r="F25" s="107" t="str">
        <f>IF(AVERAGEIF(fact_orders_1000[carrier_name],"Great Lakes Carriers",fact_orders_1000[delay_minutes])&lt;0,"✅ Early",IF(AVERAGEIF(fact_orders_1000[carrier_name],"Great Lakes Carriers",fact_orders_1000[delay_minutes])&lt;15,"⚠️ OK","🔴 Late"))</f>
        <v>✅ Early</v>
      </c>
      <c r="G25" s="91"/>
      <c r="H25" s="105" t="s">
        <v>955</v>
      </c>
      <c r="I25" s="106">
        <f>COUNTIF(fact_orders_1000[Delay Reason],"traffic")</f>
        <v>41</v>
      </c>
      <c r="J25" s="106" t="str">
        <f>TEXT(COUNTIF(fact_orders_1000[Delay Reason],"traffic")/COUNTIF(fact_orders_1000[Delay Reason],"&lt;&gt;"),"0.0%")</f>
        <v>4.1%</v>
      </c>
      <c r="K25" s="113" t="str">
        <f>REPT("█",ROUND(COUNTIF(fact_orders_1000[Delay Reason],"traffic")/COUNTIF(fact_orders_1000[Delay Reason],"&lt;&gt;")*20,0))</f>
        <v>█</v>
      </c>
      <c r="L25" s="114"/>
      <c r="M25" s="91"/>
      <c r="N25" s="91"/>
      <c r="O25" s="91"/>
      <c r="P25" s="91"/>
      <c r="Q25" s="92"/>
    </row>
    <row r="26" spans="1:17" ht="7.5" customHeight="1" x14ac:dyDescent="0.3">
      <c r="A26" s="91"/>
      <c r="B26" s="108" t="s">
        <v>126</v>
      </c>
      <c r="C26" s="109">
        <f>COUNTIF(fact_orders_1000[carrier_name],"Keystone Freight")</f>
        <v>71</v>
      </c>
      <c r="D26" s="109" t="str">
        <f>TEXT(SUMIF(fact_orders_1000[carrier_name],"Keystone Freight",fact_orders_1000[on_time_count])/COUNTIF(fact_orders_1000[carrier_name],"Keystone Freight"),"0.0%")</f>
        <v>83.1%</v>
      </c>
      <c r="E26" s="109">
        <f>ROUND(AVERAGEIF(fact_orders_1000[carrier_name],"Keystone Freight",fact_orders_1000[delay_minutes]),1)</f>
        <v>-3.8</v>
      </c>
      <c r="F26" s="110" t="str">
        <f>IF(AVERAGEIF(fact_orders_1000[carrier_name],"Keystone Freight",fact_orders_1000[delay_minutes])&lt;0,"✅ Early",IF(AVERAGEIF(fact_orders_1000[carrier_name],"Keystone Freight",fact_orders_1000[delay_minutes])&lt;15,"⚠️ OK","🔴 Late"))</f>
        <v>✅ Early</v>
      </c>
      <c r="G26" s="91"/>
      <c r="H26" s="105" t="s">
        <v>956</v>
      </c>
      <c r="I26" s="106">
        <f>COUNTIF(fact_orders_1000[Delay Reason],"weather")</f>
        <v>20</v>
      </c>
      <c r="J26" s="106" t="str">
        <f>TEXT(COUNTIF(fact_orders_1000[Delay Reason],"weather")/COUNTIF(fact_orders_1000[Delay Reason],"&lt;&gt;"),"0.0%")</f>
        <v>2.0%</v>
      </c>
      <c r="K26" s="113" t="str">
        <f>REPT("█",ROUND(COUNTIF(fact_orders_1000[Delay Reason],"weather")/COUNTIF(fact_orders_1000[Delay Reason],"&lt;&gt;")*20,0))</f>
        <v/>
      </c>
      <c r="L26" s="114"/>
      <c r="M26" s="91"/>
      <c r="N26" s="91"/>
      <c r="O26" s="91"/>
      <c r="P26" s="91"/>
      <c r="Q26" s="92"/>
    </row>
    <row r="27" spans="1:17" ht="7.5" customHeight="1" x14ac:dyDescent="0.3">
      <c r="A27" s="91"/>
      <c r="B27" s="91"/>
      <c r="C27" s="91"/>
      <c r="D27" s="91"/>
      <c r="E27" s="91"/>
      <c r="F27" s="91"/>
      <c r="G27" s="91"/>
      <c r="H27" s="108" t="s">
        <v>957</v>
      </c>
      <c r="I27" s="109">
        <f>COUNTIF(fact_orders_1000[Delay Reason],"mechanical")</f>
        <v>5</v>
      </c>
      <c r="J27" s="109" t="str">
        <f>TEXT(COUNTIF(fact_orders_1000[Delay Reason],"mechanical")/COUNTIF(fact_orders_1000[Delay Reason],"&lt;&gt;"),"0.0%")</f>
        <v>0.5%</v>
      </c>
      <c r="K27" s="115" t="str">
        <f>REPT("█",ROUND(COUNTIF(fact_orders_1000[Delay Reason],"mechanical")/COUNTIF(fact_orders_1000[Delay Reason],"&lt;&gt;")*20,0))</f>
        <v/>
      </c>
      <c r="L27" s="114"/>
      <c r="M27" s="91"/>
      <c r="N27" s="91"/>
      <c r="O27" s="91"/>
      <c r="P27" s="91"/>
      <c r="Q27" s="92"/>
    </row>
    <row r="28" spans="1:17" ht="7.5" customHeight="1" x14ac:dyDescent="0.3">
      <c r="A28" s="91"/>
      <c r="B28" s="83" t="s">
        <v>2064</v>
      </c>
      <c r="C28" s="81"/>
      <c r="D28" s="81"/>
      <c r="E28" s="81"/>
      <c r="F28" s="84"/>
      <c r="G28" s="91"/>
      <c r="H28" s="91"/>
      <c r="I28" s="91"/>
      <c r="J28" s="91"/>
      <c r="K28" s="91"/>
      <c r="L28" s="91"/>
      <c r="M28" s="91"/>
      <c r="N28" s="91"/>
      <c r="O28" s="91"/>
      <c r="P28" s="91"/>
      <c r="Q28" s="92"/>
    </row>
    <row r="29" spans="1:17" ht="7.5" customHeight="1" x14ac:dyDescent="0.3">
      <c r="A29" s="91"/>
      <c r="B29" s="102" t="s">
        <v>972</v>
      </c>
      <c r="C29" s="103" t="s">
        <v>1137</v>
      </c>
      <c r="D29" s="103" t="s">
        <v>2057</v>
      </c>
      <c r="E29" s="103" t="s">
        <v>1098</v>
      </c>
      <c r="F29" s="104" t="s">
        <v>2058</v>
      </c>
      <c r="G29" s="91"/>
      <c r="H29" s="120" t="s">
        <v>2065</v>
      </c>
      <c r="I29" s="121"/>
      <c r="J29" s="121"/>
      <c r="K29" s="121"/>
      <c r="L29" s="122"/>
      <c r="M29" s="91"/>
      <c r="N29" s="91"/>
      <c r="O29" s="91"/>
      <c r="P29" s="91"/>
      <c r="Q29" s="92"/>
    </row>
    <row r="30" spans="1:17" ht="7.5" customHeight="1" x14ac:dyDescent="0.3">
      <c r="A30" s="91"/>
      <c r="B30" s="105" t="s">
        <v>63</v>
      </c>
      <c r="C30" s="106">
        <v>488</v>
      </c>
      <c r="D30" s="116">
        <v>0.80300000000000005</v>
      </c>
      <c r="E30" s="117">
        <v>2.1800000000000002</v>
      </c>
      <c r="F30" s="107">
        <v>11.2</v>
      </c>
      <c r="G30" s="91"/>
      <c r="H30" s="124" t="s">
        <v>1087</v>
      </c>
      <c r="I30" s="125"/>
      <c r="J30" s="126" t="str">
        <f>TEXT(SUM(fact_orders_1000[fuel_cost_total]),"$#,##0")</f>
        <v>$258,543</v>
      </c>
      <c r="K30" s="126"/>
      <c r="L30" s="127"/>
      <c r="M30" s="91"/>
      <c r="N30" s="91"/>
      <c r="O30" s="91"/>
      <c r="P30" s="91"/>
      <c r="Q30" s="92"/>
    </row>
    <row r="31" spans="1:17" ht="7.5" customHeight="1" x14ac:dyDescent="0.3">
      <c r="A31" s="91"/>
      <c r="B31" s="105" t="s">
        <v>80</v>
      </c>
      <c r="C31" s="106">
        <v>100</v>
      </c>
      <c r="D31" s="116">
        <v>0.86</v>
      </c>
      <c r="E31" s="117">
        <v>2.09</v>
      </c>
      <c r="F31" s="107">
        <v>6.4</v>
      </c>
      <c r="G31" s="91"/>
      <c r="H31" s="124" t="s">
        <v>2066</v>
      </c>
      <c r="I31" s="125"/>
      <c r="J31" s="126" t="str">
        <f>TEXT(SUM(fact_orders_1000[maintenance_cost_total]),"$#,##0")</f>
        <v>$57,716</v>
      </c>
      <c r="K31" s="126"/>
      <c r="L31" s="127"/>
      <c r="M31" s="91"/>
      <c r="N31" s="91"/>
      <c r="O31" s="91"/>
      <c r="P31" s="91"/>
      <c r="Q31" s="92"/>
    </row>
    <row r="32" spans="1:17" ht="7.5" customHeight="1" x14ac:dyDescent="0.3">
      <c r="A32" s="91"/>
      <c r="B32" s="105" t="s">
        <v>112</v>
      </c>
      <c r="C32" s="106">
        <v>127</v>
      </c>
      <c r="D32" s="116">
        <v>0.86599999999999999</v>
      </c>
      <c r="E32" s="117">
        <v>2.31</v>
      </c>
      <c r="F32" s="107">
        <v>2.7</v>
      </c>
      <c r="G32" s="91"/>
      <c r="H32" s="124" t="s">
        <v>1092</v>
      </c>
      <c r="I32" s="125"/>
      <c r="J32" s="126" t="str">
        <f>TEXT(SUM(fact_orders_1000[driver_pay_total]),"$#,##0")</f>
        <v>$201,195</v>
      </c>
      <c r="K32" s="126"/>
      <c r="L32" s="127"/>
      <c r="M32" s="91"/>
      <c r="N32" s="91"/>
      <c r="O32" s="91"/>
      <c r="P32" s="91"/>
      <c r="Q32" s="92"/>
    </row>
    <row r="33" spans="1:17" ht="7.5" customHeight="1" x14ac:dyDescent="0.35">
      <c r="A33" s="91"/>
      <c r="B33" s="105" t="s">
        <v>2</v>
      </c>
      <c r="C33" s="106">
        <v>235</v>
      </c>
      <c r="D33" s="116">
        <v>0.84299999999999997</v>
      </c>
      <c r="E33" s="117">
        <v>2.38</v>
      </c>
      <c r="F33" s="107">
        <v>0.2</v>
      </c>
      <c r="G33" s="91"/>
      <c r="H33" s="128" t="s">
        <v>2067</v>
      </c>
      <c r="I33" s="129"/>
      <c r="J33" s="130" t="str">
        <f>TEXT(AVERAGE(fact_orders_1000[cost_per_mile]),"$0.00")</f>
        <v>$2.25</v>
      </c>
      <c r="K33" s="130"/>
      <c r="L33" s="131"/>
      <c r="M33" s="91"/>
      <c r="N33" s="91"/>
      <c r="O33" s="91"/>
      <c r="P33" s="91"/>
      <c r="Q33" s="92"/>
    </row>
    <row r="34" spans="1:17" ht="7.5" customHeight="1" x14ac:dyDescent="0.3">
      <c r="A34" s="91"/>
      <c r="B34" s="108" t="s">
        <v>215</v>
      </c>
      <c r="C34" s="109">
        <v>50</v>
      </c>
      <c r="D34" s="118">
        <v>0.86</v>
      </c>
      <c r="E34" s="119">
        <v>2.57</v>
      </c>
      <c r="F34" s="110">
        <v>-0.1</v>
      </c>
      <c r="G34" s="91"/>
      <c r="H34" s="91"/>
      <c r="I34" s="91"/>
      <c r="J34" s="91"/>
      <c r="K34" s="91"/>
      <c r="L34" s="91"/>
      <c r="M34" s="91"/>
      <c r="N34" s="91"/>
      <c r="O34" s="91"/>
      <c r="P34" s="91"/>
      <c r="Q34" s="92"/>
    </row>
    <row r="35" spans="1:17" ht="7.5" customHeight="1" x14ac:dyDescent="0.35">
      <c r="A35" s="91"/>
      <c r="B35" s="88" t="s">
        <v>2071</v>
      </c>
      <c r="C35" s="144"/>
      <c r="D35" s="144"/>
      <c r="E35" s="144"/>
      <c r="F35" s="144"/>
      <c r="G35" s="144"/>
      <c r="H35" s="144"/>
      <c r="I35" s="144"/>
      <c r="J35" s="144"/>
      <c r="K35" s="144"/>
      <c r="L35" s="144"/>
      <c r="M35" s="91"/>
      <c r="N35" s="91"/>
      <c r="O35" s="91"/>
      <c r="P35" s="91"/>
      <c r="Q35" s="92"/>
    </row>
    <row r="36" spans="1:17" ht="7.5" customHeight="1" x14ac:dyDescent="0.35">
      <c r="A36" s="91"/>
      <c r="B36" s="91"/>
      <c r="C36" s="91"/>
      <c r="D36" s="91"/>
      <c r="E36" s="91"/>
      <c r="F36" s="91"/>
      <c r="G36" s="91"/>
      <c r="H36" s="91"/>
      <c r="I36" s="91"/>
      <c r="J36" s="91"/>
      <c r="K36" s="91"/>
      <c r="L36" s="91"/>
      <c r="M36" s="91"/>
      <c r="N36" s="94"/>
      <c r="O36" s="94"/>
      <c r="P36" s="91"/>
      <c r="Q36" s="92"/>
    </row>
    <row r="37" spans="1:17" ht="7.5" customHeight="1" x14ac:dyDescent="0.35">
      <c r="A37" s="91"/>
      <c r="B37" s="91"/>
      <c r="C37" s="91"/>
      <c r="D37" s="91"/>
      <c r="E37" s="91"/>
      <c r="F37" s="91"/>
      <c r="G37" s="91"/>
      <c r="H37" s="91"/>
      <c r="I37" s="91"/>
      <c r="J37" s="91"/>
      <c r="K37" s="91"/>
      <c r="L37" s="91"/>
      <c r="M37" s="91"/>
      <c r="N37" s="94"/>
      <c r="O37" s="94"/>
      <c r="P37" s="91"/>
      <c r="Q37" s="92"/>
    </row>
    <row r="38" spans="1:17" ht="7.5" customHeight="1" x14ac:dyDescent="0.35">
      <c r="A38" s="91"/>
      <c r="B38" s="91"/>
      <c r="C38" s="91"/>
      <c r="D38" s="91"/>
      <c r="E38" s="91"/>
      <c r="F38" s="91"/>
      <c r="G38" s="91"/>
      <c r="H38" s="91"/>
      <c r="I38" s="91"/>
      <c r="J38" s="91"/>
      <c r="K38" s="91"/>
      <c r="L38" s="91"/>
      <c r="M38" s="91"/>
      <c r="N38" s="95" t="s">
        <v>969</v>
      </c>
      <c r="O38" s="95" t="s">
        <v>2057</v>
      </c>
      <c r="P38" s="91"/>
      <c r="Q38" s="92"/>
    </row>
    <row r="39" spans="1:17" ht="7.5" customHeight="1" x14ac:dyDescent="0.3">
      <c r="A39" s="91"/>
      <c r="B39" s="91"/>
      <c r="C39" s="91"/>
      <c r="D39" s="91"/>
      <c r="E39" s="91"/>
      <c r="F39" s="91"/>
      <c r="G39" s="91"/>
      <c r="H39" s="91"/>
      <c r="I39" s="91"/>
      <c r="J39" s="91"/>
      <c r="K39" s="91"/>
      <c r="L39" s="91"/>
      <c r="M39" s="91"/>
      <c r="N39" s="91" t="s">
        <v>225</v>
      </c>
      <c r="O39" s="96">
        <f>SUMIFS(fact_orders_1000[on_time_count],fact_orders_1000[carrier_name],"Atlantic Freightways")/SUMIFS(fact_orders_1000[total_shipments],fact_orders_1000[carrier_name],"Atlantic Freightways")</f>
        <v>0.86111111111111116</v>
      </c>
      <c r="P39" s="91"/>
      <c r="Q39" s="92"/>
    </row>
    <row r="40" spans="1:17" ht="7.5" customHeight="1" x14ac:dyDescent="0.3">
      <c r="A40" s="91"/>
      <c r="B40" s="91"/>
      <c r="C40" s="91"/>
      <c r="D40" s="91"/>
      <c r="E40" s="91"/>
      <c r="F40" s="91"/>
      <c r="G40" s="91"/>
      <c r="H40" s="91"/>
      <c r="I40" s="91"/>
      <c r="J40" s="91"/>
      <c r="K40" s="91"/>
      <c r="L40" s="91"/>
      <c r="M40" s="91"/>
      <c r="N40" s="91" t="s">
        <v>84</v>
      </c>
      <c r="O40" s="96">
        <f>SUMIFS(fact_orders_1000[on_time_count],fact_orders_1000[carrier_name],"Blue Ridge Logistics")/SUMIFS(fact_orders_1000[total_shipments],fact_orders_1000[carrier_name],"Blue Ridge Logistics")</f>
        <v>0.83539094650205759</v>
      </c>
      <c r="P40" s="91"/>
      <c r="Q40" s="92"/>
    </row>
    <row r="41" spans="1:17" ht="7.5" customHeight="1" x14ac:dyDescent="0.3">
      <c r="A41" s="91"/>
      <c r="B41" s="91"/>
      <c r="C41" s="91"/>
      <c r="D41" s="91"/>
      <c r="E41" s="91"/>
      <c r="F41" s="91"/>
      <c r="G41" s="91"/>
      <c r="H41" s="91"/>
      <c r="I41" s="91"/>
      <c r="J41" s="91"/>
      <c r="K41" s="91"/>
      <c r="L41" s="91"/>
      <c r="M41" s="91"/>
      <c r="N41" s="91" t="s">
        <v>92</v>
      </c>
      <c r="O41" s="96">
        <f>SUMIFS(fact_orders_1000[on_time_count],fact_orders_1000[carrier_name],"Cascade Cargo")/SUMIFS(fact_orders_1000[total_shipments],fact_orders_1000[carrier_name],"Cascade Cargo")</f>
        <v>0.80519480519480524</v>
      </c>
      <c r="P41" s="91"/>
      <c r="Q41" s="92"/>
    </row>
    <row r="42" spans="1:17" ht="7.5" customHeight="1" x14ac:dyDescent="0.3">
      <c r="A42" s="91"/>
      <c r="B42" s="91"/>
      <c r="C42" s="91"/>
      <c r="D42" s="91"/>
      <c r="E42" s="91"/>
      <c r="F42" s="91"/>
      <c r="G42" s="91"/>
      <c r="H42" s="91"/>
      <c r="I42" s="91"/>
      <c r="J42" s="91"/>
      <c r="K42" s="91"/>
      <c r="L42" s="91"/>
      <c r="M42" s="91"/>
      <c r="N42" s="91" t="s">
        <v>211</v>
      </c>
      <c r="O42" s="96">
        <f>SUMIFS(fact_orders_1000[on_time_count],fact_orders_1000[carrier_name],"Desert Road Haulers")/SUMIFS(fact_orders_1000[total_shipments],fact_orders_1000[carrier_name],"Desert Road Haulers")</f>
        <v>0.83673469387755106</v>
      </c>
      <c r="P42" s="91"/>
      <c r="Q42" s="92"/>
    </row>
    <row r="43" spans="1:17" ht="7.5" customHeight="1" x14ac:dyDescent="0.3">
      <c r="A43" s="91"/>
      <c r="B43" s="91"/>
      <c r="C43" s="91"/>
      <c r="D43" s="91"/>
      <c r="E43" s="91"/>
      <c r="F43" s="91"/>
      <c r="G43" s="91"/>
      <c r="H43" s="91"/>
      <c r="I43" s="91"/>
      <c r="J43" s="91"/>
      <c r="K43" s="91"/>
      <c r="L43" s="91"/>
      <c r="M43" s="91"/>
      <c r="N43" s="91" t="s">
        <v>101</v>
      </c>
      <c r="O43" s="96">
        <f>SUMIFS(fact_orders_1000[on_time_count],fact_orders_1000[carrier_name],"Great Lakes Carriers")/SUMIFS(fact_orders_1000[total_shipments],fact_orders_1000[carrier_name],"Great Lakes Carriers")</f>
        <v>0.83750000000000002</v>
      </c>
      <c r="P43" s="91"/>
      <c r="Q43" s="92"/>
    </row>
    <row r="44" spans="1:17" ht="7.5" customHeight="1" x14ac:dyDescent="0.3">
      <c r="A44" s="91"/>
      <c r="B44" s="91"/>
      <c r="C44" s="91"/>
      <c r="D44" s="91"/>
      <c r="E44" s="91"/>
      <c r="F44" s="91"/>
      <c r="G44" s="91"/>
      <c r="H44" s="91"/>
      <c r="I44" s="91"/>
      <c r="J44" s="91"/>
      <c r="K44" s="91"/>
      <c r="L44" s="91"/>
      <c r="M44" s="91"/>
      <c r="N44" s="91" t="s">
        <v>126</v>
      </c>
      <c r="O44" s="96">
        <f>SUMIFS(fact_orders_1000[on_time_count],fact_orders_1000[carrier_name],"Keystone Freight")/SUMIFS(fact_orders_1000[total_shipments],fact_orders_1000[carrier_name],"Keystone Freight")</f>
        <v>0.83098591549295775</v>
      </c>
      <c r="P44" s="91"/>
      <c r="Q44" s="92"/>
    </row>
    <row r="45" spans="1:17" ht="7.5" customHeight="1" x14ac:dyDescent="0.3">
      <c r="A45" s="91"/>
      <c r="B45" s="91"/>
      <c r="C45" s="91"/>
      <c r="D45" s="91"/>
      <c r="E45" s="91"/>
      <c r="F45" s="91"/>
      <c r="G45" s="91"/>
      <c r="H45" s="91"/>
      <c r="I45" s="91"/>
      <c r="J45" s="91"/>
      <c r="K45" s="91"/>
      <c r="L45" s="91"/>
      <c r="M45" s="91"/>
      <c r="N45" s="91" t="s">
        <v>185</v>
      </c>
      <c r="O45" s="96">
        <f>SUMIFS(fact_orders_1000[on_time_count],fact_orders_1000[carrier_name],"Lone Star Transport")/SUMIFS(fact_orders_1000[total_shipments],fact_orders_1000[carrier_name],"Lone Star Transport")</f>
        <v>0.81188118811881194</v>
      </c>
      <c r="P45" s="91"/>
      <c r="Q45" s="92"/>
    </row>
    <row r="46" spans="1:17" ht="7.5" customHeight="1" x14ac:dyDescent="0.3">
      <c r="A46" s="91"/>
      <c r="B46" s="91"/>
      <c r="C46" s="91"/>
      <c r="D46" s="91"/>
      <c r="E46" s="91"/>
      <c r="F46" s="91"/>
      <c r="G46" s="91"/>
      <c r="H46" s="91"/>
      <c r="I46" s="91"/>
      <c r="J46" s="91"/>
      <c r="K46" s="91"/>
      <c r="L46" s="91"/>
      <c r="M46" s="91"/>
      <c r="N46" s="91" t="s">
        <v>142</v>
      </c>
      <c r="O46" s="96">
        <f>SUMIFS(fact_orders_1000[on_time_count],fact_orders_1000[carrier_name],"Midwest Express Trucking")/SUMIFS(fact_orders_1000[total_shipments],fact_orders_1000[carrier_name],"Midwest Express Trucking")</f>
        <v>0.81521739130434778</v>
      </c>
      <c r="P46" s="91"/>
      <c r="Q46" s="92"/>
    </row>
    <row r="47" spans="1:17" ht="7.5" customHeight="1" x14ac:dyDescent="0.3">
      <c r="A47" s="91"/>
      <c r="B47" s="91"/>
      <c r="C47" s="91"/>
      <c r="D47" s="91"/>
      <c r="E47" s="91"/>
      <c r="F47" s="91"/>
      <c r="G47" s="91"/>
      <c r="H47" s="91"/>
      <c r="I47" s="91"/>
      <c r="J47" s="91"/>
      <c r="K47" s="91"/>
      <c r="L47" s="91"/>
      <c r="M47" s="91"/>
      <c r="N47" s="91" t="s">
        <v>106</v>
      </c>
      <c r="O47" s="96">
        <f>SUMIFS(fact_orders_1000[on_time_count],fact_orders_1000[carrier_name],"Pacific Linehaul")/SUMIFS(fact_orders_1000[total_shipments],fact_orders_1000[carrier_name],"Pacific Linehaul")</f>
        <v>0.84466019417475724</v>
      </c>
      <c r="P47" s="91"/>
      <c r="Q47" s="92"/>
    </row>
    <row r="48" spans="1:17" ht="7.5" customHeight="1" x14ac:dyDescent="0.3">
      <c r="A48" s="91"/>
      <c r="B48" s="91"/>
      <c r="C48" s="91"/>
      <c r="D48" s="91"/>
      <c r="E48" s="91"/>
      <c r="F48" s="91"/>
      <c r="G48" s="91"/>
      <c r="H48" s="91"/>
      <c r="I48" s="91"/>
      <c r="J48" s="91"/>
      <c r="K48" s="91"/>
      <c r="L48" s="91"/>
      <c r="M48" s="91"/>
      <c r="N48" s="91" t="s">
        <v>57</v>
      </c>
      <c r="O48" s="96">
        <f>SUMIFS(fact_orders_1000[on_time_count],fact_orders_1000[carrier_name],"Sunbelt Haulage")/SUMIFS(fact_orders_1000[total_shipments],fact_orders_1000[carrier_name],"Sunbelt Haulage")</f>
        <v>0.8125</v>
      </c>
      <c r="P48" s="91"/>
      <c r="Q48" s="92"/>
    </row>
    <row r="49" spans="1:17" ht="7.5" customHeight="1" x14ac:dyDescent="0.3">
      <c r="A49" s="91"/>
      <c r="B49" s="91"/>
      <c r="C49" s="91"/>
      <c r="D49" s="91"/>
      <c r="E49" s="91"/>
      <c r="F49" s="91"/>
      <c r="G49" s="91"/>
      <c r="H49" s="91"/>
      <c r="I49" s="91"/>
      <c r="J49" s="91"/>
      <c r="K49" s="91"/>
      <c r="L49" s="91"/>
      <c r="M49" s="91"/>
      <c r="N49" s="91"/>
      <c r="O49" s="91"/>
      <c r="P49" s="91"/>
      <c r="Q49" s="92"/>
    </row>
    <row r="50" spans="1:17" ht="7.5" customHeight="1" x14ac:dyDescent="0.3">
      <c r="A50" s="91"/>
      <c r="B50" s="91"/>
      <c r="C50" s="91"/>
      <c r="D50" s="91"/>
      <c r="E50" s="91"/>
      <c r="F50" s="91"/>
      <c r="G50" s="91"/>
      <c r="H50" s="91"/>
      <c r="I50" s="91"/>
      <c r="J50" s="91"/>
      <c r="K50" s="91"/>
      <c r="L50" s="91"/>
      <c r="M50" s="91"/>
      <c r="N50" s="91"/>
      <c r="O50" s="91"/>
      <c r="P50" s="91"/>
      <c r="Q50" s="92"/>
    </row>
    <row r="51" spans="1:17" ht="7.5" customHeight="1" x14ac:dyDescent="0.3">
      <c r="A51" s="91"/>
      <c r="B51" s="91"/>
      <c r="C51" s="91"/>
      <c r="D51" s="91"/>
      <c r="E51" s="91"/>
      <c r="F51" s="91"/>
      <c r="G51" s="91"/>
      <c r="H51" s="91"/>
      <c r="I51" s="91"/>
      <c r="J51" s="91"/>
      <c r="K51" s="91"/>
      <c r="L51" s="91"/>
      <c r="M51" s="91"/>
      <c r="N51" s="91"/>
      <c r="O51" s="91"/>
      <c r="P51" s="91"/>
      <c r="Q51" s="92"/>
    </row>
    <row r="52" spans="1:17" ht="7.5" customHeight="1" x14ac:dyDescent="0.3">
      <c r="A52" s="91"/>
      <c r="B52" s="97" t="s">
        <v>2070</v>
      </c>
      <c r="C52" s="97"/>
      <c r="D52" s="97"/>
      <c r="E52" s="97"/>
      <c r="F52" s="97"/>
      <c r="G52" s="97"/>
      <c r="H52" s="97"/>
      <c r="I52" s="97"/>
      <c r="J52" s="97"/>
      <c r="K52" s="97"/>
      <c r="L52" s="97"/>
      <c r="M52" s="91"/>
      <c r="N52" s="91"/>
      <c r="O52" s="91"/>
      <c r="P52" s="91"/>
      <c r="Q52" s="92"/>
    </row>
    <row r="53" spans="1:17" ht="7.5" customHeight="1" x14ac:dyDescent="0.3">
      <c r="A53" s="91"/>
      <c r="B53" s="91"/>
      <c r="C53" s="91"/>
      <c r="D53" s="91"/>
      <c r="E53" s="91"/>
      <c r="F53" s="91"/>
      <c r="G53" s="91"/>
      <c r="H53" s="91"/>
      <c r="I53" s="91"/>
      <c r="J53" s="91"/>
      <c r="K53" s="91"/>
      <c r="L53" s="91"/>
      <c r="M53" s="91"/>
      <c r="N53" s="91"/>
      <c r="O53" s="91"/>
      <c r="P53" s="91"/>
      <c r="Q53" s="92"/>
    </row>
    <row r="54" spans="1:17" ht="7.5" customHeight="1" x14ac:dyDescent="0.3">
      <c r="A54" s="91"/>
      <c r="B54" s="98" t="s">
        <v>2072</v>
      </c>
      <c r="C54" s="98"/>
      <c r="D54" s="98"/>
      <c r="E54" s="98"/>
      <c r="F54" s="98"/>
      <c r="G54" s="98"/>
      <c r="H54" s="98"/>
      <c r="I54" s="98"/>
      <c r="J54" s="98"/>
      <c r="K54" s="98"/>
      <c r="L54" s="98"/>
      <c r="M54" s="91"/>
      <c r="N54" s="91"/>
      <c r="O54" s="91"/>
      <c r="P54" s="91"/>
      <c r="Q54" s="92"/>
    </row>
    <row r="55" spans="1:17" ht="7.5" customHeight="1" x14ac:dyDescent="0.3">
      <c r="A55" s="91"/>
      <c r="B55" s="91"/>
      <c r="C55" s="91"/>
      <c r="D55" s="91"/>
      <c r="E55" s="91"/>
      <c r="F55" s="91"/>
      <c r="G55" s="91"/>
      <c r="H55" s="91"/>
      <c r="I55" s="91"/>
      <c r="J55" s="91"/>
      <c r="K55" s="91"/>
      <c r="L55" s="91"/>
      <c r="M55" s="91"/>
      <c r="N55" s="91"/>
      <c r="O55" s="91"/>
      <c r="P55" s="91"/>
      <c r="Q55" s="92"/>
    </row>
    <row r="56" spans="1:17" ht="7.5" customHeight="1" x14ac:dyDescent="0.3">
      <c r="A56" s="91"/>
      <c r="B56" s="91"/>
      <c r="C56" s="91"/>
      <c r="D56" s="91"/>
      <c r="E56" s="91"/>
      <c r="F56" s="91"/>
      <c r="G56" s="91"/>
      <c r="H56" s="91"/>
      <c r="I56" s="91"/>
      <c r="J56" s="91"/>
      <c r="K56" s="91"/>
      <c r="L56" s="91"/>
      <c r="M56" s="91"/>
      <c r="N56" s="91"/>
      <c r="O56" s="91"/>
      <c r="P56" s="91"/>
      <c r="Q56" s="92"/>
    </row>
    <row r="57" spans="1:17" ht="7.5" customHeight="1" x14ac:dyDescent="0.3">
      <c r="A57" s="91"/>
      <c r="B57" s="91"/>
      <c r="C57" s="91"/>
      <c r="D57" s="91"/>
      <c r="E57" s="91"/>
      <c r="F57" s="91"/>
      <c r="G57" s="91"/>
      <c r="H57" s="91"/>
      <c r="I57" s="91"/>
      <c r="J57" s="91"/>
      <c r="K57" s="91"/>
      <c r="L57" s="91"/>
      <c r="M57" s="91"/>
      <c r="N57" s="91"/>
      <c r="O57" s="91"/>
      <c r="P57" s="91"/>
      <c r="Q57" s="92"/>
    </row>
    <row r="58" spans="1:17" ht="7.5" customHeight="1" x14ac:dyDescent="0.3">
      <c r="A58" s="91"/>
      <c r="B58" s="91"/>
      <c r="C58" s="91"/>
      <c r="D58" s="91"/>
      <c r="E58" s="91"/>
      <c r="F58" s="91"/>
      <c r="G58" s="91"/>
      <c r="H58" s="91"/>
      <c r="I58" s="91"/>
      <c r="J58" s="91"/>
      <c r="K58" s="91"/>
      <c r="L58" s="91"/>
      <c r="M58" s="91"/>
      <c r="N58" s="91"/>
      <c r="O58" s="91"/>
      <c r="P58" s="91"/>
      <c r="Q58" s="92"/>
    </row>
    <row r="59" spans="1:17" ht="7.5" customHeight="1" x14ac:dyDescent="0.3">
      <c r="A59" s="91"/>
      <c r="B59" s="91"/>
      <c r="C59" s="91"/>
      <c r="D59" s="91"/>
      <c r="E59" s="91"/>
      <c r="F59" s="91"/>
      <c r="G59" s="91"/>
      <c r="H59" s="91"/>
      <c r="I59" s="91"/>
      <c r="J59" s="91"/>
      <c r="K59" s="91"/>
      <c r="L59" s="91"/>
      <c r="M59" s="91"/>
      <c r="N59" s="91"/>
      <c r="O59" s="91"/>
      <c r="P59" s="91"/>
      <c r="Q59" s="92"/>
    </row>
    <row r="60" spans="1:17" ht="7.5" customHeight="1" x14ac:dyDescent="0.3">
      <c r="A60" s="91"/>
      <c r="B60" s="91"/>
      <c r="C60" s="91"/>
      <c r="D60" s="91"/>
      <c r="E60" s="91"/>
      <c r="F60" s="91"/>
      <c r="G60" s="91"/>
      <c r="H60" s="91"/>
      <c r="I60" s="91"/>
      <c r="J60" s="91"/>
      <c r="K60" s="91"/>
      <c r="L60" s="91"/>
      <c r="M60" s="91"/>
      <c r="N60" s="91"/>
      <c r="O60" s="91"/>
      <c r="P60" s="91"/>
      <c r="Q60" s="92"/>
    </row>
    <row r="61" spans="1:17" ht="7.5" customHeight="1" x14ac:dyDescent="0.3">
      <c r="A61" s="89"/>
      <c r="B61" s="89"/>
      <c r="C61" s="89"/>
      <c r="D61" s="89"/>
      <c r="E61" s="89"/>
      <c r="F61" s="89"/>
      <c r="G61" s="89"/>
      <c r="H61" s="89"/>
      <c r="I61" s="89"/>
      <c r="J61" s="89"/>
      <c r="K61" s="89"/>
      <c r="L61" s="89"/>
      <c r="M61" s="89"/>
      <c r="N61" s="89"/>
      <c r="O61" s="89"/>
      <c r="P61" s="89"/>
      <c r="Q61" s="90"/>
    </row>
    <row r="62" spans="1:17" ht="7.5" customHeight="1" x14ac:dyDescent="0.3">
      <c r="A62" s="89"/>
      <c r="B62" s="89"/>
      <c r="C62" s="89"/>
      <c r="D62" s="89"/>
      <c r="E62" s="89"/>
      <c r="F62" s="89"/>
      <c r="G62" s="89"/>
      <c r="H62" s="89"/>
      <c r="I62" s="89"/>
      <c r="J62" s="89"/>
      <c r="K62" s="89"/>
      <c r="L62" s="89"/>
      <c r="M62" s="89"/>
      <c r="N62" s="89"/>
      <c r="O62" s="89"/>
      <c r="P62" s="89"/>
      <c r="Q62" s="90"/>
    </row>
    <row r="63" spans="1:17" ht="7.5" customHeight="1" x14ac:dyDescent="0.3">
      <c r="A63" s="89"/>
      <c r="B63" s="89"/>
      <c r="C63" s="89"/>
      <c r="D63" s="89"/>
      <c r="E63" s="89"/>
      <c r="F63" s="89"/>
      <c r="G63" s="89"/>
      <c r="H63" s="89"/>
      <c r="I63" s="89"/>
      <c r="J63" s="89"/>
      <c r="K63" s="89"/>
      <c r="L63" s="89"/>
      <c r="M63" s="89"/>
      <c r="N63" s="89"/>
      <c r="O63" s="89"/>
      <c r="P63" s="89"/>
      <c r="Q63" s="90"/>
    </row>
    <row r="64" spans="1:17" ht="7.5" customHeight="1" x14ac:dyDescent="0.3">
      <c r="A64" s="89"/>
      <c r="B64" s="89"/>
      <c r="C64" s="89"/>
      <c r="D64" s="89"/>
      <c r="E64" s="89"/>
      <c r="F64" s="89"/>
      <c r="G64" s="89"/>
      <c r="H64" s="89"/>
      <c r="I64" s="89"/>
      <c r="J64" s="89"/>
      <c r="K64" s="89"/>
      <c r="L64" s="89"/>
      <c r="M64" s="89"/>
      <c r="N64" s="89"/>
      <c r="O64" s="89"/>
      <c r="P64" s="89"/>
      <c r="Q64" s="90"/>
    </row>
    <row r="65" spans="1:17" ht="7.5" customHeight="1" x14ac:dyDescent="0.3">
      <c r="A65" s="89"/>
      <c r="B65" s="89"/>
      <c r="C65" s="89"/>
      <c r="D65" s="89"/>
      <c r="E65" s="89"/>
      <c r="F65" s="89"/>
      <c r="G65" s="89"/>
      <c r="H65" s="89"/>
      <c r="I65" s="89"/>
      <c r="J65" s="89"/>
      <c r="K65" s="89"/>
      <c r="L65" s="89"/>
      <c r="M65" s="89"/>
      <c r="N65" s="89"/>
      <c r="O65" s="89"/>
      <c r="P65" s="89"/>
      <c r="Q65" s="90"/>
    </row>
    <row r="66" spans="1:17" ht="7.5" customHeight="1" x14ac:dyDescent="0.3">
      <c r="A66" s="89"/>
      <c r="B66" s="89"/>
      <c r="C66" s="89"/>
      <c r="D66" s="89"/>
      <c r="E66" s="89"/>
      <c r="F66" s="89"/>
      <c r="G66" s="89"/>
      <c r="H66" s="89"/>
      <c r="I66" s="89"/>
      <c r="J66" s="89"/>
      <c r="K66" s="89"/>
      <c r="L66" s="89"/>
      <c r="M66" s="89"/>
      <c r="N66" s="89"/>
      <c r="O66" s="89"/>
      <c r="P66" s="89"/>
      <c r="Q66" s="90"/>
    </row>
    <row r="67" spans="1:17" ht="7.5" customHeight="1" x14ac:dyDescent="0.3">
      <c r="A67" s="89"/>
      <c r="B67" s="89"/>
      <c r="C67" s="89"/>
      <c r="D67" s="89"/>
      <c r="E67" s="89"/>
      <c r="F67" s="89"/>
      <c r="G67" s="89"/>
      <c r="H67" s="89"/>
      <c r="I67" s="89"/>
      <c r="J67" s="89"/>
      <c r="K67" s="89"/>
      <c r="L67" s="89"/>
      <c r="M67" s="89"/>
      <c r="N67" s="89"/>
      <c r="O67" s="89"/>
      <c r="P67" s="89"/>
      <c r="Q67" s="90"/>
    </row>
    <row r="68" spans="1:17" ht="7.5" customHeight="1" x14ac:dyDescent="0.3">
      <c r="A68" s="89"/>
      <c r="B68" s="89"/>
      <c r="C68" s="89"/>
      <c r="D68" s="89"/>
      <c r="E68" s="89"/>
      <c r="F68" s="89"/>
      <c r="G68" s="89"/>
      <c r="H68" s="89"/>
      <c r="I68" s="89"/>
      <c r="J68" s="89"/>
      <c r="K68" s="89"/>
      <c r="L68" s="89"/>
      <c r="M68" s="89"/>
      <c r="N68" s="89"/>
      <c r="O68" s="89"/>
      <c r="P68" s="89"/>
      <c r="Q68" s="90"/>
    </row>
    <row r="69" spans="1:17" ht="7.5" customHeight="1" x14ac:dyDescent="0.3">
      <c r="A69" s="89"/>
      <c r="B69" s="89"/>
      <c r="C69" s="89"/>
      <c r="D69" s="89"/>
      <c r="E69" s="89"/>
      <c r="F69" s="89"/>
      <c r="G69" s="89"/>
      <c r="H69" s="89"/>
      <c r="I69" s="89"/>
      <c r="J69" s="89"/>
      <c r="K69" s="89"/>
      <c r="L69" s="89"/>
      <c r="M69" s="89"/>
      <c r="N69" s="89"/>
      <c r="O69" s="89"/>
      <c r="P69" s="89"/>
      <c r="Q69" s="90"/>
    </row>
    <row r="70" spans="1:17" ht="7.5" customHeight="1" x14ac:dyDescent="0.3">
      <c r="A70" s="89"/>
      <c r="B70" s="89"/>
      <c r="C70" s="89"/>
      <c r="D70" s="89"/>
      <c r="E70" s="89"/>
      <c r="F70" s="89"/>
      <c r="G70" s="89"/>
      <c r="H70" s="89"/>
      <c r="I70" s="89"/>
      <c r="J70" s="89"/>
      <c r="K70" s="89"/>
      <c r="L70" s="89"/>
      <c r="M70" s="89"/>
      <c r="N70" s="89"/>
      <c r="O70" s="89"/>
      <c r="P70" s="89"/>
      <c r="Q70" s="90"/>
    </row>
    <row r="71" spans="1:17" ht="7.5" customHeight="1" x14ac:dyDescent="0.3">
      <c r="A71" s="89"/>
      <c r="B71" s="89"/>
      <c r="C71" s="89"/>
      <c r="D71" s="89"/>
      <c r="E71" s="89"/>
      <c r="F71" s="89"/>
      <c r="G71" s="89"/>
      <c r="H71" s="89"/>
      <c r="I71" s="89"/>
      <c r="J71" s="89"/>
      <c r="K71" s="89"/>
      <c r="L71" s="89"/>
      <c r="M71" s="89"/>
      <c r="N71" s="89"/>
      <c r="O71" s="89"/>
      <c r="P71" s="89"/>
      <c r="Q71" s="90"/>
    </row>
  </sheetData>
  <mergeCells count="30">
    <mergeCell ref="N36:O36"/>
    <mergeCell ref="N37:O37"/>
    <mergeCell ref="B54:L54"/>
    <mergeCell ref="J31:L31"/>
    <mergeCell ref="J32:L32"/>
    <mergeCell ref="J33:L33"/>
    <mergeCell ref="B35:L35"/>
    <mergeCell ref="B52:L52"/>
    <mergeCell ref="B15:F15"/>
    <mergeCell ref="H15:L15"/>
    <mergeCell ref="H22:L22"/>
    <mergeCell ref="B28:F28"/>
    <mergeCell ref="H29:L29"/>
    <mergeCell ref="J30:L30"/>
    <mergeCell ref="B8:L8"/>
    <mergeCell ref="B9:L9"/>
    <mergeCell ref="B10:L10"/>
    <mergeCell ref="B11:L11"/>
    <mergeCell ref="B12:L12"/>
    <mergeCell ref="B13:L13"/>
    <mergeCell ref="B2:L2"/>
    <mergeCell ref="B3:L3"/>
    <mergeCell ref="B5:C5"/>
    <mergeCell ref="B6:C6"/>
    <mergeCell ref="E5:F5"/>
    <mergeCell ref="E6:F6"/>
    <mergeCell ref="H5:I5"/>
    <mergeCell ref="H6:I6"/>
    <mergeCell ref="K5:L5"/>
    <mergeCell ref="K6:L6"/>
  </mergeCells>
  <conditionalFormatting sqref="F17:F26">
    <cfRule type="containsText" dxfId="3" priority="1" operator="containsText" text="Early">
      <formula>NOT(ISERROR(SEARCH("Early",F17)))</formula>
    </cfRule>
  </conditionalFormatting>
  <conditionalFormatting sqref="F17:F26">
    <cfRule type="containsText" dxfId="2" priority="2" operator="containsText" text="Late">
      <formula>NOT(ISERROR(SEARCH("Late",F17)))</formula>
    </cfRule>
  </conditionalFormatting>
  <conditionalFormatting sqref="L17:L20">
    <cfRule type="containsText" dxfId="1" priority="3" operator="containsText" text="Early">
      <formula>NOT(ISERROR(SEARCH("Early",L17)))</formula>
    </cfRule>
  </conditionalFormatting>
  <conditionalFormatting sqref="L17:L20">
    <cfRule type="containsText" dxfId="0" priority="4" operator="containsText" text="Late">
      <formula>NOT(ISERROR(SEARCH("Late",L17)))</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1752AD-FAEE-4E4C-B22F-BF6B2B495C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dim_fleet_260</vt:lpstr>
      <vt:lpstr>fact_orders_1000</vt:lpstr>
      <vt:lpstr>Cascade_Cargo_late_20%</vt:lpstr>
      <vt:lpstr>Insights</vt:lpstr>
      <vt:lpstr>Day_of_the _week_Values</vt:lpstr>
      <vt:lpstr>Variable_CPM</vt:lpstr>
      <vt:lpstr>%delay_by_reason</vt:lpstr>
      <vt:lpstr>Deadhead_miles_per_region</vt:lpstr>
      <vt:lpstr>Sheet9</vt:lpstr>
      <vt:lpstr>SevereDelayAnalysis</vt:lpstr>
      <vt:lpstr>RegressionAnalysis</vt:lpstr>
      <vt:lpstr>RPM_Correlation</vt:lpstr>
      <vt:lpstr>OpCostAnalysis</vt:lpstr>
      <vt:lpstr>CostStrategy</vt:lpstr>
      <vt:lpstr>Capstone_Methodology</vt:lpstr>
      <vt:lpstr>RawDataSample</vt:lpstr>
      <vt:lpstr>DataCleaningLog</vt:lpstr>
      <vt:lpstr>Trucking Capstone Dashboard</vt:lpstr>
      <vt:lpstr>Key Insights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K Lacy</cp:lastModifiedBy>
  <dcterms:created xsi:type="dcterms:W3CDTF">2026-03-20T05:49:56Z</dcterms:created>
  <dcterms:modified xsi:type="dcterms:W3CDTF">2026-04-12T09:06:59Z</dcterms:modified>
</cp:coreProperties>
</file>